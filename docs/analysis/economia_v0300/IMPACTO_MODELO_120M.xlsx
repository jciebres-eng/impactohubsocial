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Cons-Atual" sheetId="2" state="visible" r:id="rId2"/>
    <sheet xmlns:r="http://schemas.openxmlformats.org/officeDocument/2006/relationships" name="Cons-Híbrido" sheetId="3" state="visible" r:id="rId3"/>
    <sheet xmlns:r="http://schemas.openxmlformats.org/officeDocument/2006/relationships" name="Base-Atual" sheetId="4" state="visible" r:id="rId4"/>
    <sheet xmlns:r="http://schemas.openxmlformats.org/officeDocument/2006/relationships" name="Base-Híbrido" sheetId="5" state="visible" r:id="rId5"/>
    <sheet xmlns:r="http://schemas.openxmlformats.org/officeDocument/2006/relationships" name="Agre-Atual" sheetId="6" state="visible" r:id="rId6"/>
    <sheet xmlns:r="http://schemas.openxmlformats.org/officeDocument/2006/relationships" name="Agre-Híbrido" sheetId="7" state="visible" r:id="rId7"/>
    <sheet xmlns:r="http://schemas.openxmlformats.org/officeDocument/2006/relationships" name="Marcos" sheetId="8" state="visible" r:id="rId8"/>
    <sheet xmlns:r="http://schemas.openxmlformats.org/officeDocument/2006/relationships" name="Fo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conservador · Atual: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'Cons-Atual'!O3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'Cons-Atual'!$A$4:$A$123</f>
            </numRef>
          </cat>
          <val>
            <numRef>
              <f>'Cons-Atual'!$O$4:$O$123</f>
            </numRef>
          </val>
        </ser>
        <ser>
          <idx val="1"/>
          <order val="1"/>
          <tx>
            <strRef>
              <f>'Cons-Atual'!Y3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'Cons-Atual'!$A$4:$A$123</f>
            </numRef>
          </cat>
          <val>
            <numRef>
              <f>'Cons-Atual'!$Y$4:$Y$123</f>
            </numRef>
          </val>
        </ser>
        <ser>
          <idx val="2"/>
          <order val="2"/>
          <tx>
            <strRef>
              <f>'Cons-Atual'!AA3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'Cons-Atual'!$A$4:$A$123</f>
            </numRef>
          </cat>
          <val>
            <numRef>
              <f>'Cons-Atual'!$AA$4:$AA$123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conservador · Híbrido: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'Cons-Híbrido'!O3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'Cons-Híbrido'!$A$4:$A$123</f>
            </numRef>
          </cat>
          <val>
            <numRef>
              <f>'Cons-Híbrido'!$O$4:$O$123</f>
            </numRef>
          </val>
        </ser>
        <ser>
          <idx val="1"/>
          <order val="1"/>
          <tx>
            <strRef>
              <f>'Cons-Híbrido'!Y3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'Cons-Híbrido'!$A$4:$A$123</f>
            </numRef>
          </cat>
          <val>
            <numRef>
              <f>'Cons-Híbrido'!$Y$4:$Y$123</f>
            </numRef>
          </val>
        </ser>
        <ser>
          <idx val="2"/>
          <order val="2"/>
          <tx>
            <strRef>
              <f>'Cons-Híbrido'!AA3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'Cons-Híbrido'!$A$4:$A$123</f>
            </numRef>
          </cat>
          <val>
            <numRef>
              <f>'Cons-Híbrido'!$AA$4:$AA$123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· Atual: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'Base-Atual'!O3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'Base-Atual'!$A$4:$A$123</f>
            </numRef>
          </cat>
          <val>
            <numRef>
              <f>'Base-Atual'!$O$4:$O$123</f>
            </numRef>
          </val>
        </ser>
        <ser>
          <idx val="1"/>
          <order val="1"/>
          <tx>
            <strRef>
              <f>'Base-Atual'!Y3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'Base-Atual'!$A$4:$A$123</f>
            </numRef>
          </cat>
          <val>
            <numRef>
              <f>'Base-Atual'!$Y$4:$Y$123</f>
            </numRef>
          </val>
        </ser>
        <ser>
          <idx val="2"/>
          <order val="2"/>
          <tx>
            <strRef>
              <f>'Base-Atual'!AA3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'Base-Atual'!$A$4:$A$123</f>
            </numRef>
          </cat>
          <val>
            <numRef>
              <f>'Base-Atual'!$AA$4:$AA$123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· Híbrido: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'Base-Híbrido'!O3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'Base-Híbrido'!$A$4:$A$123</f>
            </numRef>
          </cat>
          <val>
            <numRef>
              <f>'Base-Híbrido'!$O$4:$O$123</f>
            </numRef>
          </val>
        </ser>
        <ser>
          <idx val="1"/>
          <order val="1"/>
          <tx>
            <strRef>
              <f>'Base-Híbrido'!Y3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'Base-Híbrido'!$A$4:$A$123</f>
            </numRef>
          </cat>
          <val>
            <numRef>
              <f>'Base-Híbrido'!$Y$4:$Y$123</f>
            </numRef>
          </val>
        </ser>
        <ser>
          <idx val="2"/>
          <order val="2"/>
          <tx>
            <strRef>
              <f>'Base-Híbrido'!AA3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'Base-Híbrido'!$A$4:$A$123</f>
            </numRef>
          </cat>
          <val>
            <numRef>
              <f>'Base-Híbrido'!$AA$4:$AA$123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agressivo · Atual: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'Agre-Atual'!O3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'Agre-Atual'!$A$4:$A$123</f>
            </numRef>
          </cat>
          <val>
            <numRef>
              <f>'Agre-Atual'!$O$4:$O$123</f>
            </numRef>
          </val>
        </ser>
        <ser>
          <idx val="1"/>
          <order val="1"/>
          <tx>
            <strRef>
              <f>'Agre-Atual'!Y3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'Agre-Atual'!$A$4:$A$123</f>
            </numRef>
          </cat>
          <val>
            <numRef>
              <f>'Agre-Atual'!$Y$4:$Y$123</f>
            </numRef>
          </val>
        </ser>
        <ser>
          <idx val="2"/>
          <order val="2"/>
          <tx>
            <strRef>
              <f>'Agre-Atual'!AA3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'Agre-Atual'!$A$4:$A$123</f>
            </numRef>
          </cat>
          <val>
            <numRef>
              <f>'Agre-Atual'!$AA$4:$AA$123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agressivo · Híbrido: receita reconhecida × EBITDA × caixa (centavos)</a:t>
            </a:r>
          </a:p>
        </rich>
      </tx>
    </title>
    <plotArea>
      <lineChart>
        <grouping val="standard"/>
        <ser>
          <idx val="0"/>
          <order val="0"/>
          <tx>
            <strRef>
              <f>'Agre-Híbrido'!O3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'Agre-Híbrido'!$A$4:$A$123</f>
            </numRef>
          </cat>
          <val>
            <numRef>
              <f>'Agre-Híbrido'!$O$4:$O$123</f>
            </numRef>
          </val>
        </ser>
        <ser>
          <idx val="1"/>
          <order val="1"/>
          <tx>
            <strRef>
              <f>'Agre-Híbrido'!Y3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'Agre-Híbrido'!$A$4:$A$123</f>
            </numRef>
          </cat>
          <val>
            <numRef>
              <f>'Agre-Híbrido'!$Y$4:$Y$123</f>
            </numRef>
          </val>
        </ser>
        <ser>
          <idx val="2"/>
          <order val="2"/>
          <tx>
            <strRef>
              <f>'Agre-Híbrido'!AA3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'Agre-Híbrido'!$A$4:$A$123</f>
            </numRef>
          </cat>
          <val>
            <numRef>
              <f>'Agre-Híbrido'!$AA$4:$AA$123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90" customWidth="1" min="7" max="7"/>
  </cols>
  <sheetData>
    <row r="1">
      <c r="A1" t="inlineStr">
        <is>
          <t>IMPACTO — modelo de 120 meses (análise v0.30.0). Edite as colunas C–E; tudo nas abas mensais recalcula. Nada aqui altera o produto.</t>
        </is>
      </c>
    </row>
    <row r="2">
      <c r="A2" t="inlineStr">
        <is>
          <t>Natureza: FATO = está no repositório · HIPÓTESE DO PROPRIETÁRIO = já declarada no repositório · PREMISSA DE MERCADO = não verificada, editável · DERIVADO = cálculo</t>
        </is>
      </c>
    </row>
    <row r="4">
      <c r="A4" s="1" t="inlineStr">
        <is>
          <t>chave</t>
        </is>
      </c>
      <c r="B4" s="1" t="inlineStr">
        <is>
          <t>premissa</t>
        </is>
      </c>
      <c r="C4" s="1" t="inlineStr">
        <is>
          <t>Conservador</t>
        </is>
      </c>
      <c r="D4" s="1" t="inlineStr">
        <is>
          <t>Base</t>
        </is>
      </c>
      <c r="E4" s="1" t="inlineStr">
        <is>
          <t>Agressivo</t>
        </is>
      </c>
      <c r="F4" s="1" t="inlineStr">
        <is>
          <t>natureza</t>
        </is>
      </c>
      <c r="G4" s="1" t="inlineStr">
        <is>
          <t>fonte</t>
        </is>
      </c>
    </row>
    <row r="5">
      <c r="A5" t="inlineStr">
        <is>
          <t>service_bps</t>
        </is>
      </c>
      <c r="B5" t="inlineStr">
        <is>
          <t>Taxa de serviço (bps)</t>
        </is>
      </c>
      <c r="C5" s="2" t="n">
        <v>350</v>
      </c>
      <c r="D5" s="2" t="n">
        <v>350</v>
      </c>
      <c r="E5" s="2" t="n">
        <v>350</v>
      </c>
      <c r="F5" t="inlineStr">
        <is>
          <t>FATO</t>
        </is>
      </c>
      <c r="G5" t="inlineStr">
        <is>
          <t>config/economic_model.json · monetization_rules (contract.platform_service_fee, INATIVA)</t>
        </is>
      </c>
    </row>
    <row r="6">
      <c r="A6" t="inlineStr">
        <is>
          <t>authorship_bps</t>
        </is>
      </c>
      <c r="B6" t="inlineStr">
        <is>
          <t>Participação de autoria (bps) — NÃO é receita</t>
        </is>
      </c>
      <c r="C6" s="2" t="n">
        <v>150</v>
      </c>
      <c r="D6" s="2" t="n">
        <v>150</v>
      </c>
      <c r="E6" s="2" t="n">
        <v>150</v>
      </c>
      <c r="F6" t="inlineStr">
        <is>
          <t>FATO</t>
        </is>
      </c>
      <c r="G6" t="inlineStr">
        <is>
          <t>config/economic_model.json · ADR-337</t>
        </is>
      </c>
    </row>
    <row r="7">
      <c r="A7" t="inlineStr">
        <is>
          <t>ai_pack_price_per_credit_cents</t>
        </is>
      </c>
      <c r="B7" t="inlineStr">
        <is>
          <t>Preço por crédito de IA (centavos) — hipótese de teste</t>
        </is>
      </c>
      <c r="C7" s="2" t="n">
        <v>10</v>
      </c>
      <c r="D7" s="2" t="n">
        <v>10</v>
      </c>
      <c r="E7" s="2" t="n">
        <v>10</v>
      </c>
      <c r="F7" t="inlineStr">
        <is>
          <t>HIPÓTESE DO PROPRIETÁRIO</t>
        </is>
      </c>
      <c r="G7" t="inlineStr">
        <is>
          <t>ai_credit_packs (pack.100 = R$ 10,00 / 100)</t>
        </is>
      </c>
    </row>
    <row r="8">
      <c r="A8" t="inlineStr">
        <is>
          <t>pix_fee_pct</t>
        </is>
      </c>
      <c r="B8" t="inlineStr">
        <is>
          <t>Taxa de pagamento (PIX) %</t>
        </is>
      </c>
      <c r="C8" s="2" t="n">
        <v>1</v>
      </c>
      <c r="D8" s="2" t="n">
        <v>1</v>
      </c>
      <c r="E8" s="2" t="n">
        <v>1</v>
      </c>
      <c r="F8" t="inlineStr">
        <is>
          <t>HIPÓTESE DO PROPRIETÁRIO</t>
        </is>
      </c>
      <c r="G8" t="inlineStr">
        <is>
          <t>config/ai_economics.json pix_fee_pct_hypothesis</t>
        </is>
      </c>
    </row>
    <row r="9">
      <c r="A9" t="inlineStr">
        <is>
          <t>tax_pct</t>
        </is>
      </c>
      <c r="B9" t="inlineStr">
        <is>
          <t>Tributos sobre receita % (hipótese)</t>
        </is>
      </c>
      <c r="C9" s="2" t="n">
        <v>8.65</v>
      </c>
      <c r="D9" s="2" t="n">
        <v>8.65</v>
      </c>
      <c r="E9" s="2" t="n">
        <v>8.65</v>
      </c>
      <c r="F9" t="inlineStr">
        <is>
          <t>HIPÓTESE DO PROPRIETÁRIO</t>
        </is>
      </c>
      <c r="G9" t="inlineStr">
        <is>
          <t>config/ai_economics.json tax_pct_hypothesis (não é parecer)</t>
        </is>
      </c>
    </row>
    <row r="10">
      <c r="A10" t="inlineStr">
        <is>
          <t>support_cents_user_month</t>
        </is>
      </c>
      <c r="B10" t="inlineStr">
        <is>
          <t>Suporte por usuário ativo/mês (centavos)</t>
        </is>
      </c>
      <c r="C10" s="2" t="n">
        <v>30</v>
      </c>
      <c r="D10" s="2" t="n">
        <v>30</v>
      </c>
      <c r="E10" s="2" t="n">
        <v>30</v>
      </c>
      <c r="F10" t="inlineStr">
        <is>
          <t>HIPÓTESE DO PROPRIETÁRIO</t>
        </is>
      </c>
      <c r="G10" t="inlineStr">
        <is>
          <t>config/ai_economics.json</t>
        </is>
      </c>
    </row>
    <row r="11">
      <c r="A11" t="inlineStr">
        <is>
          <t>ai_infra_cents_op</t>
        </is>
      </c>
      <c r="B11" t="inlineStr">
        <is>
          <t>Infra de IA por operação (centavos, motor local)</t>
        </is>
      </c>
      <c r="C11" s="2" t="n">
        <v>2</v>
      </c>
      <c r="D11" s="2" t="n">
        <v>2</v>
      </c>
      <c r="E11" s="2" t="n">
        <v>2</v>
      </c>
      <c r="F11" t="inlineStr">
        <is>
          <t>HIPÓTESE DO PROPRIETÁRIO</t>
        </is>
      </c>
      <c r="G11" t="inlineStr">
        <is>
          <t>config/ai_economics.json infra_cents_per_operation_hypothesis.local</t>
        </is>
      </c>
    </row>
    <row r="12">
      <c r="A12" t="inlineStr">
        <is>
          <t>new_funders_month</t>
        </is>
      </c>
      <c r="B12" t="inlineStr">
        <is>
          <t>Novos financiadores por mês (operacional)</t>
        </is>
      </c>
      <c r="C12" s="2" t="n">
        <v>3</v>
      </c>
      <c r="D12" s="2" t="n">
        <v>3</v>
      </c>
      <c r="E12" s="2" t="n">
        <v>3</v>
      </c>
      <c r="F12" t="inlineStr">
        <is>
          <t>HIPÓTESE DO PROPRIETÁRIO</t>
        </is>
      </c>
      <c r="G12" t="inlineStr">
        <is>
          <t>config/economic_model.json new_funding_clients_per_month = 3 em todos os cenários</t>
        </is>
      </c>
    </row>
    <row r="13">
      <c r="A13" t="inlineStr">
        <is>
          <t>ops_per_funder_year</t>
        </is>
      </c>
      <c r="B13" t="inlineStr">
        <is>
          <t>Operações por financiador por ano</t>
        </is>
      </c>
      <c r="C13" s="2" t="n">
        <v>1</v>
      </c>
      <c r="D13" s="2" t="n">
        <v>2</v>
      </c>
      <c r="E13" s="2" t="n">
        <v>3</v>
      </c>
      <c r="F13" t="inlineStr">
        <is>
          <t>HIPÓTESE DO PROPRIETÁRIO</t>
        </is>
      </c>
      <c r="G13" t="inlineStr">
        <is>
          <t>config/economic_model.json scenarios</t>
        </is>
      </c>
    </row>
    <row r="14">
      <c r="A14" t="inlineStr">
        <is>
          <t>avg_op_cents</t>
        </is>
      </c>
      <c r="B14" t="inlineStr">
        <is>
          <t>Ticket médio financiado (centavos)</t>
        </is>
      </c>
      <c r="C14" s="2" t="n">
        <v>5000000</v>
      </c>
      <c r="D14" s="2" t="n">
        <v>15000000</v>
      </c>
      <c r="E14" s="2" t="n">
        <v>50000000</v>
      </c>
      <c r="F14" t="inlineStr">
        <is>
          <t>HIPÓTESE DO PROPRIETÁRIO</t>
        </is>
      </c>
      <c r="G14" t="inlineStr">
        <is>
          <t>config/economic_model.json scenarios</t>
        </is>
      </c>
    </row>
    <row r="15">
      <c r="A15" t="inlineStr">
        <is>
          <t>settled_share</t>
        </is>
      </c>
      <c r="B15" t="inlineStr">
        <is>
          <t>Fração das operações que chega à quitação</t>
        </is>
      </c>
      <c r="C15" s="2" t="n">
        <v>0.6</v>
      </c>
      <c r="D15" s="2" t="n">
        <v>0.75</v>
      </c>
      <c r="E15" s="2" t="n">
        <v>0.85</v>
      </c>
      <c r="F15" t="inlineStr">
        <is>
          <t>HIPÓTESE DO PROPRIETÁRIO</t>
        </is>
      </c>
      <c r="G15" t="inlineStr">
        <is>
          <t>config/economic_model.json scenarios</t>
        </is>
      </c>
    </row>
    <row r="16">
      <c r="A16" t="inlineStr">
        <is>
          <t>months_to_settle</t>
        </is>
      </c>
      <c r="B16" t="inlineStr">
        <is>
          <t>Meses até quitar</t>
        </is>
      </c>
      <c r="C16" s="2" t="n">
        <v>6</v>
      </c>
      <c r="D16" s="2" t="n">
        <v>5</v>
      </c>
      <c r="E16" s="2" t="n">
        <v>4</v>
      </c>
      <c r="F16" t="inlineStr">
        <is>
          <t>HIPÓTESE DO PROPRIETÁRIO</t>
        </is>
      </c>
      <c r="G16" t="inlineStr">
        <is>
          <t>config/economic_model.json scenarios</t>
        </is>
      </c>
    </row>
    <row r="17">
      <c r="A17" t="inlineStr">
        <is>
          <t>ramp_months</t>
        </is>
      </c>
      <c r="B17" t="inlineStr">
        <is>
          <t>Rampa de entrada do financiador (meses)</t>
        </is>
      </c>
      <c r="C17" s="2" t="n">
        <v>6</v>
      </c>
      <c r="D17" s="2" t="n">
        <v>4</v>
      </c>
      <c r="E17" s="2" t="n">
        <v>3</v>
      </c>
      <c r="F17" t="inlineStr">
        <is>
          <t>HIPÓTESE DO PROPRIETÁRIO</t>
        </is>
      </c>
      <c r="G17" t="inlineStr">
        <is>
          <t>config/economic_model.json scenarios</t>
        </is>
      </c>
    </row>
    <row r="18">
      <c r="A18" t="inlineStr">
        <is>
          <t>funder_churn_annual</t>
        </is>
      </c>
      <c r="B18" t="inlineStr">
        <is>
          <t>Churn anual de financiadores (deixam de originar)</t>
        </is>
      </c>
      <c r="C18" s="2" t="n">
        <v>0.25</v>
      </c>
      <c r="D18" s="2" t="n">
        <v>0.15</v>
      </c>
      <c r="E18" s="2" t="n">
        <v>0.1</v>
      </c>
      <c r="F18" t="inlineStr">
        <is>
          <t>PREMISSA DE MERCADO</t>
        </is>
      </c>
      <c r="G18" t="inlineStr">
        <is>
          <t>não há histórico; valor editável</t>
        </is>
      </c>
    </row>
    <row r="19">
      <c r="A19" t="inlineStr">
        <is>
          <t>fee_activation_month</t>
        </is>
      </c>
      <c r="B19" t="inlineStr">
        <is>
          <t>Mês de ativação da regra da taxa (parecer + carta verde)</t>
        </is>
      </c>
      <c r="C19" s="2" t="n">
        <v>13</v>
      </c>
      <c r="D19" s="2" t="n">
        <v>7</v>
      </c>
      <c r="E19" s="2" t="n">
        <v>4</v>
      </c>
      <c r="F19" t="inlineStr">
        <is>
          <t>PREMISSA DE MERCADO</t>
        </is>
      </c>
      <c r="G19" t="inlineStr">
        <is>
          <t>hoje INATIVA; depende de parecer — BLOCKED_EXTERNAL</t>
        </is>
      </c>
    </row>
    <row r="20">
      <c r="A20" t="inlineStr">
        <is>
          <t>fee_default_pct</t>
        </is>
      </c>
      <c r="B20" t="inlineStr">
        <is>
          <t>Inadimplência da taxa cobrada %</t>
        </is>
      </c>
      <c r="C20" s="2" t="n">
        <v>8</v>
      </c>
      <c r="D20" s="2" t="n">
        <v>4</v>
      </c>
      <c r="E20" s="2" t="n">
        <v>2</v>
      </c>
      <c r="F20" t="inlineStr">
        <is>
          <t>PREMISSA DE MERCADO</t>
        </is>
      </c>
      <c r="G20" t="inlineStr">
        <is>
          <t>sem histórico</t>
        </is>
      </c>
    </row>
    <row r="21">
      <c r="A21" t="inlineStr">
        <is>
          <t>receipt_lag_months</t>
        </is>
      </c>
      <c r="B21" t="inlineStr">
        <is>
          <t>Prazo de recebimento (meses) de qualquer fatura</t>
        </is>
      </c>
      <c r="C21" s="2" t="n">
        <v>2</v>
      </c>
      <c r="D21" s="2" t="n">
        <v>1</v>
      </c>
      <c r="E21" s="2" t="n">
        <v>1</v>
      </c>
      <c r="F21" t="inlineStr">
        <is>
          <t>PREMISSA DE MERCADO</t>
        </is>
      </c>
      <c r="G21" t="inlineStr">
        <is>
          <t>sem histórico</t>
        </is>
      </c>
    </row>
    <row r="22">
      <c r="A22" t="inlineStr">
        <is>
          <t>inst_new_month</t>
        </is>
      </c>
      <c r="B22" t="inlineStr">
        <is>
          <t>Novos contratos institucionais por mês (HÍBRIDO)</t>
        </is>
      </c>
      <c r="C22" s="2" t="n">
        <v>0.5</v>
      </c>
      <c r="D22" s="2" t="n">
        <v>1</v>
      </c>
      <c r="E22" s="2" t="n">
        <v>2</v>
      </c>
      <c r="F22" t="inlineStr">
        <is>
          <t>PREMISSA DE MERCADO</t>
        </is>
      </c>
      <c r="G22" t="inlineStr">
        <is>
          <t>não verificada; ADR-341 recusa assinatura — proposta a decidir</t>
        </is>
      </c>
    </row>
    <row r="23">
      <c r="A23" t="inlineStr">
        <is>
          <t>inst_start_month</t>
        </is>
      </c>
      <c r="B23" t="inlineStr">
        <is>
          <t>Mês em que o primeiro contrato institucional pode ser assinado</t>
        </is>
      </c>
      <c r="C23" s="2" t="n">
        <v>10</v>
      </c>
      <c r="D23" s="2" t="n">
        <v>7</v>
      </c>
      <c r="E23" s="2" t="n">
        <v>4</v>
      </c>
      <c r="F23" t="inlineStr">
        <is>
          <t>PREMISSA DE MERCADO</t>
        </is>
      </c>
      <c r="G23" t="inlineStr">
        <is>
          <t>validação comercial antes (roadmap)</t>
        </is>
      </c>
    </row>
    <row r="24">
      <c r="A24" t="inlineStr">
        <is>
          <t>inst_acv_cents</t>
        </is>
      </c>
      <c r="B24" t="inlineStr">
        <is>
          <t>Valor anual do contrato institucional (centavos)</t>
        </is>
      </c>
      <c r="C24" s="2" t="n">
        <v>3600000</v>
      </c>
      <c r="D24" s="2" t="n">
        <v>7200000</v>
      </c>
      <c r="E24" s="2" t="n">
        <v>12000000</v>
      </c>
      <c r="F24" t="inlineStr">
        <is>
          <t>PREMISSA DE MERCADO</t>
        </is>
      </c>
      <c r="G24" t="inlineStr">
        <is>
          <t>ancorada nas faixas-hipótese do catálogo recusado (R$ 2–10 mil/mês funder; R$ 3–15 mil ESG; R$ 3–50 mil gov)</t>
        </is>
      </c>
    </row>
    <row r="25">
      <c r="A25" t="inlineStr">
        <is>
          <t>inst_setup_cents</t>
        </is>
      </c>
      <c r="B25" t="inlineStr">
        <is>
          <t>Implantação por contrato (centavos, uma vez)</t>
        </is>
      </c>
      <c r="C25" s="2" t="n">
        <v>1000000</v>
      </c>
      <c r="D25" s="2" t="n">
        <v>2000000</v>
      </c>
      <c r="E25" s="2" t="n">
        <v>3000000</v>
      </c>
      <c r="F25" t="inlineStr">
        <is>
          <t>PREMISSA DE MERCADO</t>
        </is>
      </c>
      <c r="G25" t="inlineStr">
        <is>
          <t>implementation.setup 'em aberto' no catálogo</t>
        </is>
      </c>
    </row>
    <row r="26">
      <c r="A26" t="inlineStr">
        <is>
          <t>inst_churn_annual</t>
        </is>
      </c>
      <c r="B26" t="inlineStr">
        <is>
          <t>Churn anual de contratos institucionais</t>
        </is>
      </c>
      <c r="C26" s="2" t="n">
        <v>0.2</v>
      </c>
      <c r="D26" s="2" t="n">
        <v>0.12</v>
      </c>
      <c r="E26" s="2" t="n">
        <v>0.08</v>
      </c>
      <c r="F26" t="inlineStr">
        <is>
          <t>PREMISSA DE MERCADO</t>
        </is>
      </c>
      <c r="G26" t="inlineStr">
        <is>
          <t>sem histórico</t>
        </is>
      </c>
    </row>
    <row r="27">
      <c r="A27" t="inlineStr">
        <is>
          <t>inst_cac_cents</t>
        </is>
      </c>
      <c r="B27" t="inlineStr">
        <is>
          <t>CAC por contrato institucional (centavos)</t>
        </is>
      </c>
      <c r="C27" s="2" t="n">
        <v>1500000</v>
      </c>
      <c r="D27" s="2" t="n">
        <v>1200000</v>
      </c>
      <c r="E27" s="2" t="n">
        <v>1000000</v>
      </c>
      <c r="F27" t="inlineStr">
        <is>
          <t>PREMISSA DE MERCADO</t>
        </is>
      </c>
      <c r="G27" t="inlineStr">
        <is>
          <t>sem histórico</t>
        </is>
      </c>
    </row>
    <row r="28">
      <c r="A28" t="inlineStr">
        <is>
          <t>osc_per_funder</t>
        </is>
      </c>
      <c r="B28" t="inlineStr">
        <is>
          <t>OSCs ativas atraídas por financiador ativo</t>
        </is>
      </c>
      <c r="C28" s="2" t="n">
        <v>4</v>
      </c>
      <c r="D28" s="2" t="n">
        <v>8</v>
      </c>
      <c r="E28" s="2" t="n">
        <v>12</v>
      </c>
      <c r="F28" t="inlineStr">
        <is>
          <t>PREMISSA DE MERCADO</t>
        </is>
      </c>
      <c r="G28" t="inlineStr">
        <is>
          <t>sem histórico</t>
        </is>
      </c>
    </row>
    <row r="29">
      <c r="A29" t="inlineStr">
        <is>
          <t>services_cents_per_osc_month</t>
        </is>
      </c>
      <c r="B29" t="inlineStr">
        <is>
          <t>Serviços/IA por OSC ativa por mês (centavos) — créditos, prontidão, documentos</t>
        </is>
      </c>
      <c r="C29" s="2" t="n">
        <v>150</v>
      </c>
      <c r="D29" s="2" t="n">
        <v>400</v>
      </c>
      <c r="E29" s="2" t="n">
        <v>800</v>
      </c>
      <c r="F29" t="inlineStr">
        <is>
          <t>PREMISSA DE MERCADO</t>
        </is>
      </c>
      <c r="G29" t="inlineStr">
        <is>
          <t>ancorada em R$ 29 / R$ 79 / pacotes (hipóteses do catálogo); baixa adoção</t>
        </is>
      </c>
    </row>
    <row r="30">
      <c r="A30" t="inlineStr">
        <is>
          <t>services_cents_per_funder_month</t>
        </is>
      </c>
      <c r="B30" t="inlineStr">
        <is>
          <t>Serviços/IA por financiador ativo por mês (centavos)</t>
        </is>
      </c>
      <c r="C30" s="2" t="n">
        <v>2000</v>
      </c>
      <c r="D30" s="2" t="n">
        <v>6000</v>
      </c>
      <c r="E30" s="2" t="n">
        <v>12000</v>
      </c>
      <c r="F30" t="inlineStr">
        <is>
          <t>PREMISSA DE MERCADO</t>
        </is>
      </c>
      <c r="G30" t="inlineStr">
        <is>
          <t>relatórios/IA avulsos</t>
        </is>
      </c>
    </row>
    <row r="31">
      <c r="A31" t="inlineStr">
        <is>
          <t>services_cogs_pct</t>
        </is>
      </c>
      <c r="B31" t="inlineStr">
        <is>
          <t>Custo direto dos serviços % (IA/provedor, horas)</t>
        </is>
      </c>
      <c r="C31" s="2" t="n">
        <v>45</v>
      </c>
      <c r="D31" s="2" t="n">
        <v>35</v>
      </c>
      <c r="E31" s="2" t="n">
        <v>30</v>
      </c>
      <c r="F31" t="inlineStr">
        <is>
          <t>PREMISSA DE MERCADO</t>
        </is>
      </c>
      <c r="G31" t="inlineStr">
        <is>
          <t>AI_COST_MODEL.md: margem por operação depende de provedor</t>
        </is>
      </c>
    </row>
    <row r="32">
      <c r="A32" t="inlineStr">
        <is>
          <t>fte_base</t>
        </is>
      </c>
      <c r="B32" t="inlineStr">
        <is>
          <t>Equipe inicial (FTE)</t>
        </is>
      </c>
      <c r="C32" s="2" t="n">
        <v>3</v>
      </c>
      <c r="D32" s="2" t="n">
        <v>4</v>
      </c>
      <c r="E32" s="2" t="n">
        <v>6</v>
      </c>
      <c r="F32" t="inlineStr">
        <is>
          <t>PREMISSA DE MERCADO</t>
        </is>
      </c>
      <c r="G32" t="inlineStr">
        <is>
          <t>sem folha hoje; editável</t>
        </is>
      </c>
    </row>
    <row r="33">
      <c r="A33" t="inlineStr">
        <is>
          <t>fte_cost_cents_month</t>
        </is>
      </c>
      <c r="B33" t="inlineStr">
        <is>
          <t>Custo por FTE/mês, encargos inclusos (centavos)</t>
        </is>
      </c>
      <c r="C33" s="2" t="n">
        <v>1200000</v>
      </c>
      <c r="D33" s="2" t="n">
        <v>1500000</v>
      </c>
      <c r="E33" s="2" t="n">
        <v>1800000</v>
      </c>
      <c r="F33" t="inlineStr">
        <is>
          <t>PREMISSA DE MERCADO</t>
        </is>
      </c>
      <c r="G33" t="inlineStr">
        <is>
          <t>não verificada</t>
        </is>
      </c>
    </row>
    <row r="34">
      <c r="A34" t="inlineStr">
        <is>
          <t>clients_per_extra_fte</t>
        </is>
      </c>
      <c r="B34" t="inlineStr">
        <is>
          <t>Clientes (financiadores + contratos) por FTE adicional</t>
        </is>
      </c>
      <c r="C34" s="2" t="n">
        <v>15</v>
      </c>
      <c r="D34" s="2" t="n">
        <v>20</v>
      </c>
      <c r="E34" s="2" t="n">
        <v>25</v>
      </c>
      <c r="F34" t="inlineStr">
        <is>
          <t>PREMISSA DE MERCADO</t>
        </is>
      </c>
      <c r="G34" t="inlineStr">
        <is>
          <t>não verificada</t>
        </is>
      </c>
    </row>
    <row r="35">
      <c r="A35" t="inlineStr">
        <is>
          <t>infra_fixed_cents_month</t>
        </is>
      </c>
      <c r="B35" t="inlineStr">
        <is>
          <t>Infra fixa/mês (hospedagem, banco gerenciado, monitoramento) (centavos)</t>
        </is>
      </c>
      <c r="C35" s="2" t="n">
        <v>300000</v>
      </c>
      <c r="D35" s="2" t="n">
        <v>400000</v>
      </c>
      <c r="E35" s="2" t="n">
        <v>600000</v>
      </c>
      <c r="F35" t="inlineStr">
        <is>
          <t>PREMISSA DE MERCADO</t>
        </is>
      </c>
      <c r="G35" t="inlineStr">
        <is>
          <t>sem fatura; editável</t>
        </is>
      </c>
    </row>
    <row r="36">
      <c r="A36" t="inlineStr">
        <is>
          <t>infra_var_cents_client_month</t>
        </is>
      </c>
      <c r="B36" t="inlineStr">
        <is>
          <t>Infra variável por cliente ativo/mês (centavos)</t>
        </is>
      </c>
      <c r="C36" s="2" t="n">
        <v>4000</v>
      </c>
      <c r="D36" s="2" t="n">
        <v>5000</v>
      </c>
      <c r="E36" s="2" t="n">
        <v>6000</v>
      </c>
      <c r="F36" t="inlineStr">
        <is>
          <t>PREMISSA DE MERCADO</t>
        </is>
      </c>
      <c r="G36" t="inlineStr">
        <is>
          <t>sem medição</t>
        </is>
      </c>
    </row>
    <row r="37">
      <c r="A37" t="inlineStr">
        <is>
          <t>marketing_cents_month</t>
        </is>
      </c>
      <c r="B37" t="inlineStr">
        <is>
          <t>Marketing/vendas fixo por mês (centavos)</t>
        </is>
      </c>
      <c r="C37" s="2" t="n">
        <v>200000</v>
      </c>
      <c r="D37" s="2" t="n">
        <v>600000</v>
      </c>
      <c r="E37" s="2" t="n">
        <v>1500000</v>
      </c>
      <c r="F37" t="inlineStr">
        <is>
          <t>PREMISSA DE MERCADO</t>
        </is>
      </c>
      <c r="G37" t="inlineStr">
        <is>
          <t>editável</t>
        </is>
      </c>
    </row>
    <row r="38">
      <c r="A38" t="inlineStr">
        <is>
          <t>funder_cac_cents</t>
        </is>
      </c>
      <c r="B38" t="inlineStr">
        <is>
          <t>CAC por financiador (centavos)</t>
        </is>
      </c>
      <c r="C38" s="2" t="n">
        <v>300000</v>
      </c>
      <c r="D38" s="2" t="n">
        <v>250000</v>
      </c>
      <c r="E38" s="2" t="n">
        <v>200000</v>
      </c>
      <c r="F38" t="inlineStr">
        <is>
          <t>PREMISSA DE MERCADO</t>
        </is>
      </c>
      <c r="G38" t="inlineStr">
        <is>
          <t>sem histórico</t>
        </is>
      </c>
    </row>
    <row r="39">
      <c r="A39" t="inlineStr">
        <is>
          <t>admin_cents_month</t>
        </is>
      </c>
      <c r="B39" t="inlineStr">
        <is>
          <t>Despesas administrativas/mês (contabilidade, jurídico recorrente, seguros) (centavos)</t>
        </is>
      </c>
      <c r="C39" s="2" t="n">
        <v>300000</v>
      </c>
      <c r="D39" s="2" t="n">
        <v>400000</v>
      </c>
      <c r="E39" s="2" t="n">
        <v>500000</v>
      </c>
      <c r="F39" t="inlineStr">
        <is>
          <t>PREMISSA DE MERCADO</t>
        </is>
      </c>
      <c r="G39" t="inlineStr">
        <is>
          <t>editável</t>
        </is>
      </c>
    </row>
    <row r="40">
      <c r="A40" t="inlineStr">
        <is>
          <t>initial_cash_cents</t>
        </is>
      </c>
      <c r="B40" t="inlineStr">
        <is>
          <t>Caixa inicial (centavos)</t>
        </is>
      </c>
      <c r="C40" s="2" t="n">
        <v>0</v>
      </c>
      <c r="D40" s="2" t="n">
        <v>0</v>
      </c>
      <c r="E40" s="2" t="n">
        <v>0</v>
      </c>
      <c r="F40" t="inlineStr">
        <is>
          <t>PREMISSA DE MERCADO</t>
        </is>
      </c>
      <c r="G40" t="inlineStr">
        <is>
          <t>não informado pelo proprietário — zero por padrão</t>
        </is>
      </c>
    </row>
    <row r="41">
      <c r="C41" s="2" t="n"/>
      <c r="D41" s="2" t="n"/>
      <c r="E41" s="2" t="n"/>
    </row>
    <row r="42">
      <c r="A42" t="inlineStr">
        <is>
          <t>— VALUATION (premissas de mercado; fontes no relatório) —</t>
        </is>
      </c>
      <c r="C42" s="2" t="n"/>
      <c r="D42" s="2" t="n"/>
      <c r="E42" s="2" t="n"/>
    </row>
    <row r="43">
      <c r="A43" t="inlineStr">
        <is>
          <t>saas_multiple</t>
        </is>
      </c>
      <c r="B43" t="inlineStr">
        <is>
          <t>Múltiplo sobre ARR de software (×)</t>
        </is>
      </c>
      <c r="C43" s="2" t="n">
        <v>2.5</v>
      </c>
      <c r="D43" s="2" t="n">
        <v>4</v>
      </c>
      <c r="E43" s="2" t="n">
        <v>6</v>
      </c>
      <c r="F43" t="inlineStr">
        <is>
          <t>PREMISSA DE MERCADO</t>
        </is>
      </c>
      <c r="G43" t="inlineStr">
        <is>
          <t>SEG 2Q26: público mediana 3,2×; M&amp;A privado mediana 4,0×, média 6,2×; SaaS Capital 4,8–5,3× (modelado)</t>
        </is>
      </c>
    </row>
    <row r="44">
      <c r="A44" t="inlineStr">
        <is>
          <t>txn_multiple</t>
        </is>
      </c>
      <c r="B44" t="inlineStr">
        <is>
          <t>Múltiplo sobre receita líquida transacional (×)</t>
        </is>
      </c>
      <c r="C44" s="2" t="n">
        <v>1.5</v>
      </c>
      <c r="D44" s="2" t="n">
        <v>2.3</v>
      </c>
      <c r="E44" s="2" t="n">
        <v>4</v>
      </c>
      <c r="F44" t="inlineStr">
        <is>
          <t>PREMISSA DE MERCADO</t>
        </is>
      </c>
      <c r="G44" t="inlineStr">
        <is>
          <t>Aventis 2025: marketplaces públicos mediana EV/Receita 2,3×; média histórica 5,6×</t>
        </is>
      </c>
    </row>
    <row r="45">
      <c r="A45" t="inlineStr">
        <is>
          <t>services_multiple</t>
        </is>
      </c>
      <c r="B45" t="inlineStr">
        <is>
          <t>Múltiplo sobre receita de serviços (×)</t>
        </is>
      </c>
      <c r="C45" s="2" t="n">
        <v>1</v>
      </c>
      <c r="D45" s="2" t="n">
        <v>1.5</v>
      </c>
      <c r="E45" s="2" t="n">
        <v>2</v>
      </c>
      <c r="F45" t="inlineStr">
        <is>
          <t>PREMISSA DE MERCADO</t>
        </is>
      </c>
      <c r="G45" t="inlineStr">
        <is>
          <t>receita não recorrente; desconto forte</t>
        </is>
      </c>
    </row>
    <row r="46">
      <c r="A46" t="inlineStr">
        <is>
          <t>ebitda_multiple</t>
        </is>
      </c>
      <c r="B46" t="inlineStr">
        <is>
          <t>Múltiplo EV/EBITDA (só quando EBITDA &gt; 0, cruzamento)</t>
        </is>
      </c>
      <c r="C46" s="2" t="n">
        <v>8</v>
      </c>
      <c r="D46" s="2" t="n">
        <v>12</v>
      </c>
      <c r="E46" s="2" t="n">
        <v>15</v>
      </c>
      <c r="F46" t="inlineStr">
        <is>
          <t>PREMISSA DE MERCADO</t>
        </is>
      </c>
      <c r="G46" t="inlineStr">
        <is>
          <t>Aventis 2025: marketplaces públicos mediana 18×; privado menor</t>
        </is>
      </c>
    </row>
    <row r="47">
      <c r="A47" t="inlineStr">
        <is>
          <t>discount_pct</t>
        </is>
      </c>
      <c r="B47" t="inlineStr">
        <is>
          <t>Desconto por concentração, risco regulatório, iliquidez e dependência do fundador %</t>
        </is>
      </c>
      <c r="C47" s="2" t="n">
        <v>45</v>
      </c>
      <c r="D47" s="2" t="n">
        <v>35</v>
      </c>
      <c r="E47" s="2" t="n">
        <v>25</v>
      </c>
      <c r="F47" t="inlineStr">
        <is>
          <t>PREMISSA DE MERCADO</t>
        </is>
      </c>
      <c r="G47" t="inlineStr">
        <is>
          <t>julgamento; editável</t>
        </is>
      </c>
    </row>
    <row r="48">
      <c r="A48" t="inlineStr">
        <is>
          <t>usd_brl</t>
        </is>
      </c>
      <c r="B48" t="inlineStr">
        <is>
          <t>Câmbio US$/R$ (só para a meta em US$)</t>
        </is>
      </c>
      <c r="C48" s="2" t="n">
        <v>5.5</v>
      </c>
      <c r="D48" s="2" t="n">
        <v>5.5</v>
      </c>
      <c r="E48" s="2" t="n">
        <v>5.5</v>
      </c>
      <c r="F48" t="inlineStr">
        <is>
          <t>PREMISSA DE MERCADO</t>
        </is>
      </c>
      <c r="G48" t="inlineStr">
        <is>
          <t>não cotado</t>
        </is>
      </c>
    </row>
    <row r="49">
      <c r="C49" s="2" t="n"/>
      <c r="D49" s="2" t="n"/>
      <c r="E49" s="2" t="n"/>
    </row>
    <row r="50">
      <c r="A50" t="inlineStr">
        <is>
          <t>— DILUIÇÃO DO FUNDADOR (mês, participação após a rodada) —</t>
        </is>
      </c>
      <c r="C50" s="2" t="n"/>
      <c r="D50" s="2" t="n"/>
      <c r="E50" s="2" t="n"/>
    </row>
    <row r="51">
      <c r="A51" t="inlineStr">
        <is>
          <t>dil_0</t>
        </is>
      </c>
      <c r="B51" t="inlineStr">
        <is>
          <t>participação do fundador a partir do mês 0</t>
        </is>
      </c>
      <c r="C51" s="2" t="n">
        <v>1</v>
      </c>
      <c r="D51" s="2" t="n">
        <v>1</v>
      </c>
      <c r="E51" s="2" t="n">
        <v>1</v>
      </c>
      <c r="F51" t="inlineStr">
        <is>
          <t>PREMISSA DE MERCADO</t>
        </is>
      </c>
      <c r="G51" t="inlineStr">
        <is>
          <t>editável</t>
        </is>
      </c>
    </row>
    <row r="52">
      <c r="A52" t="inlineStr">
        <is>
          <t>dil_12</t>
        </is>
      </c>
      <c r="B52" t="inlineStr">
        <is>
          <t>participação do fundador a partir do mês 12</t>
        </is>
      </c>
      <c r="C52" s="2" t="n">
        <v>0.85</v>
      </c>
      <c r="D52" s="2" t="n">
        <v>0.85</v>
      </c>
      <c r="E52" s="2" t="n">
        <v>0.85</v>
      </c>
      <c r="F52" t="inlineStr">
        <is>
          <t>PREMISSA DE MERCADO</t>
        </is>
      </c>
      <c r="G52" t="inlineStr">
        <is>
          <t>editável</t>
        </is>
      </c>
    </row>
    <row r="53">
      <c r="A53" t="inlineStr">
        <is>
          <t>dil_24</t>
        </is>
      </c>
      <c r="B53" t="inlineStr">
        <is>
          <t>participação do fundador a partir do mês 24</t>
        </is>
      </c>
      <c r="C53" s="2" t="n">
        <v>0.7</v>
      </c>
      <c r="D53" s="2" t="n">
        <v>0.7</v>
      </c>
      <c r="E53" s="2" t="n">
        <v>0.7</v>
      </c>
      <c r="F53" t="inlineStr">
        <is>
          <t>PREMISSA DE MERCADO</t>
        </is>
      </c>
      <c r="G53" t="inlineStr">
        <is>
          <t>editável</t>
        </is>
      </c>
    </row>
    <row r="54">
      <c r="A54" t="inlineStr">
        <is>
          <t>dil_48</t>
        </is>
      </c>
      <c r="B54" t="inlineStr">
        <is>
          <t>participação do fundador a partir do mês 48</t>
        </is>
      </c>
      <c r="C54" s="2" t="n">
        <v>0.55</v>
      </c>
      <c r="D54" s="2" t="n">
        <v>0.55</v>
      </c>
      <c r="E54" s="2" t="n">
        <v>0.55</v>
      </c>
      <c r="F54" t="inlineStr">
        <is>
          <t>PREMISSA DE MERCADO</t>
        </is>
      </c>
      <c r="G54" t="inlineStr">
        <is>
          <t>editável</t>
        </is>
      </c>
    </row>
    <row r="55">
      <c r="A55" t="inlineStr">
        <is>
          <t>dil_120</t>
        </is>
      </c>
      <c r="B55" t="inlineStr">
        <is>
          <t>participação do fundador a partir do mês 120</t>
        </is>
      </c>
      <c r="C55" s="2" t="n">
        <v>0.45</v>
      </c>
      <c r="D55" s="2" t="n">
        <v>0.45</v>
      </c>
      <c r="E55" s="2" t="n">
        <v>0.45</v>
      </c>
      <c r="F55" t="inlineStr">
        <is>
          <t>PREMISSA DE MERCADO</t>
        </is>
      </c>
      <c r="G55" t="inlineStr">
        <is>
          <t>editável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conservador · desenho Atual (0 = sem contratos institucionais; 1 = com) · valores em CENTAVOS · fórmulas abertas</t>
        </is>
      </c>
    </row>
    <row r="2">
      <c r="A2" t="inlineStr">
        <is>
          <t>hybrid</t>
        </is>
      </c>
      <c r="B2" t="n">
        <v>0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0*(1-Premissas!$C$18/12)+Premissas!$C$12</f>
        <v/>
      </c>
      <c r="C4">
        <f>IF($B$2=1,0*(1-Premissas!$C$26/12)+D4,0)</f>
        <v/>
      </c>
      <c r="D4">
        <f>IF(AND($B$2=1,A4&gt;=Premissas!$C$23),Premissas!$C$22,0)</f>
        <v/>
      </c>
      <c r="E4">
        <f>B4*Premissas!$C$28</f>
        <v/>
      </c>
      <c r="F4">
        <f>B4*Premissas!$C$13/12*MIN(1,A4/Premissas!$C$17)</f>
        <v/>
      </c>
      <c r="G4">
        <f>F4*Premissas!$C$14</f>
        <v/>
      </c>
      <c r="H4">
        <f>IF(IF(A4-1-Premissas!$C$16&gt;=0,OFFSET($J$4,A4-1-Premissas!$C$16,0),0)&gt;0,ROUND(IF(A4-1-Premissas!$C$16&gt;=0,OFFSET($J$4,A4-1-Premissas!$C$16,0),0)*10000/Premissas!$C$5*Premissas!$C$15,0),0)</f>
        <v/>
      </c>
      <c r="I4">
        <f>ROUND(G4*Premissas!$C$6/10000,0)</f>
        <v/>
      </c>
      <c r="J4">
        <f>ROUND(G4*Premissas!$C$5/10000,0)</f>
        <v/>
      </c>
      <c r="K4">
        <f>IF(IF(A4-1-Premissas!$C$16&gt;=0,OFFSET($A$4,A4-1-Premissas!$C$16,0)&gt;=Premissas!$C$19,FALSE),ROUND(IF(A4-1-Premissas!$C$16&gt;=0,OFFSET($J$4,A4-1-Premissas!$C$16,0),0)*Premissas!$C$15,0),0)</f>
        <v/>
      </c>
      <c r="L4">
        <f>ROUND(C4*Premissas!$C$24/12,0)</f>
        <v/>
      </c>
      <c r="M4">
        <f>ROUND(D4*Premissas!$C$25,0)</f>
        <v/>
      </c>
      <c r="N4">
        <f>ROUND(E4*Premissas!$C$29+B4*Premissas!$C$30,0)</f>
        <v/>
      </c>
      <c r="O4">
        <f>K4+L4+M4+N4</f>
        <v/>
      </c>
      <c r="P4">
        <f>K4+ROUND(AC4*Premissas!$C$24,0)+M4+N4</f>
        <v/>
      </c>
      <c r="Q4">
        <f>ROUND(IF(A4-1-Premissas!$C$21&gt;=0,OFFSET($P$4,A4-1-Premissas!$C$21,0),0)*(1-Premissas!$C$20/100),0)</f>
        <v/>
      </c>
      <c r="R4">
        <f>ROUND(F4*Premissas!$C$11+N4*Premissas!$C$31/100,0)+ROUND((E4+B4)*Premissas!$C$10,0)+ROUND(Q4*Premissas!$C$8/100,0)+ROUND(Premissas!$C$35+(B4+C4)*Premissas!$C$36,0)</f>
        <v/>
      </c>
      <c r="S4">
        <f>O4-R4</f>
        <v/>
      </c>
      <c r="T4">
        <f>ROUND(O4*Premissas!$C$9/100,0)</f>
        <v/>
      </c>
      <c r="U4">
        <f>ROUND(AB4*Premissas!$C$33,0)</f>
        <v/>
      </c>
      <c r="V4">
        <f>Premissas!$C$37+ROUND(Premissas!$C$12*Premissas!$C$38+D4*Premissas!$C$27,0)</f>
        <v/>
      </c>
      <c r="W4">
        <f>Premissas!$C$39</f>
        <v/>
      </c>
      <c r="X4">
        <f>S4-T4-ROUND(Premissas!$C$12*Premissas!$C$38+D4*Premissas!$C$27,0)</f>
        <v/>
      </c>
      <c r="Y4">
        <f>O4-R4-T4-U4-V4-W4</f>
        <v/>
      </c>
      <c r="Z4">
        <f>Q4-R4-T4-U4-V4-W4</f>
        <v/>
      </c>
      <c r="AA4">
        <f>Premissas!$C$40+Z4</f>
        <v/>
      </c>
      <c r="AB4">
        <f>Premissas!$C$32+(B4+C4)/Premissas!$C$34</f>
        <v/>
      </c>
      <c r="AC4">
        <f>D4</f>
        <v/>
      </c>
    </row>
    <row r="5">
      <c r="A5" t="n">
        <v>2</v>
      </c>
      <c r="B5">
        <f>B4*(1-Premissas!$C$18/12)+Premissas!$C$12</f>
        <v/>
      </c>
      <c r="C5">
        <f>IF($B$2=1,C4*(1-Premissas!$C$26/12)+D5,0)</f>
        <v/>
      </c>
      <c r="D5">
        <f>IF(AND($B$2=1,A5&gt;=Premissas!$C$23),Premissas!$C$22,0)</f>
        <v/>
      </c>
      <c r="E5">
        <f>B5*Premissas!$C$28</f>
        <v/>
      </c>
      <c r="F5">
        <f>B5*Premissas!$C$13/12*MIN(1,A5/Premissas!$C$17)</f>
        <v/>
      </c>
      <c r="G5">
        <f>F5*Premissas!$C$14</f>
        <v/>
      </c>
      <c r="H5">
        <f>IF(IF(A5-1-Premissas!$C$16&gt;=0,OFFSET($J$4,A5-1-Premissas!$C$16,0),0)&gt;0,ROUND(IF(A5-1-Premissas!$C$16&gt;=0,OFFSET($J$4,A5-1-Premissas!$C$16,0),0)*10000/Premissas!$C$5*Premissas!$C$15,0),0)</f>
        <v/>
      </c>
      <c r="I5">
        <f>ROUND(G5*Premissas!$C$6/10000,0)</f>
        <v/>
      </c>
      <c r="J5">
        <f>ROUND(G5*Premissas!$C$5/10000,0)</f>
        <v/>
      </c>
      <c r="K5">
        <f>IF(IF(A5-1-Premissas!$C$16&gt;=0,OFFSET($A$4,A5-1-Premissas!$C$16,0)&gt;=Premissas!$C$19,FALSE),ROUND(IF(A5-1-Premissas!$C$16&gt;=0,OFFSET($J$4,A5-1-Premissas!$C$16,0),0)*Premissas!$C$15,0),0)</f>
        <v/>
      </c>
      <c r="L5">
        <f>ROUND(C5*Premissas!$C$24/12,0)</f>
        <v/>
      </c>
      <c r="M5">
        <f>ROUND(D5*Premissas!$C$25,0)</f>
        <v/>
      </c>
      <c r="N5">
        <f>ROUND(E5*Premissas!$C$29+B5*Premissas!$C$30,0)</f>
        <v/>
      </c>
      <c r="O5">
        <f>K5+L5+M5+N5</f>
        <v/>
      </c>
      <c r="P5">
        <f>K5+ROUND(AC5*Premissas!$C$24,0)+M5+N5</f>
        <v/>
      </c>
      <c r="Q5">
        <f>ROUND(IF(A5-1-Premissas!$C$21&gt;=0,OFFSET($P$4,A5-1-Premissas!$C$21,0),0)*(1-Premissas!$C$20/100),0)</f>
        <v/>
      </c>
      <c r="R5">
        <f>ROUND(F5*Premissas!$C$11+N5*Premissas!$C$31/100,0)+ROUND((E5+B5)*Premissas!$C$10,0)+ROUND(Q5*Premissas!$C$8/100,0)+ROUND(Premissas!$C$35+(B5+C5)*Premissas!$C$36,0)</f>
        <v/>
      </c>
      <c r="S5">
        <f>O5-R5</f>
        <v/>
      </c>
      <c r="T5">
        <f>ROUND(O5*Premissas!$C$9/100,0)</f>
        <v/>
      </c>
      <c r="U5">
        <f>ROUND(AB5*Premissas!$C$33,0)</f>
        <v/>
      </c>
      <c r="V5">
        <f>Premissas!$C$37+ROUND(Premissas!$C$12*Premissas!$C$38+D5*Premissas!$C$27,0)</f>
        <v/>
      </c>
      <c r="W5">
        <f>Premissas!$C$39</f>
        <v/>
      </c>
      <c r="X5">
        <f>S5-T5-ROUND(Premissas!$C$12*Premissas!$C$38+D5*Premissas!$C$27,0)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Premissas!$C$32+(B5+C5)/Premissas!$C$34</f>
        <v/>
      </c>
      <c r="AC5">
        <f>D5</f>
        <v/>
      </c>
    </row>
    <row r="6">
      <c r="A6" t="n">
        <v>3</v>
      </c>
      <c r="B6">
        <f>B5*(1-Premissas!$C$18/12)+Premissas!$C$12</f>
        <v/>
      </c>
      <c r="C6">
        <f>IF($B$2=1,C5*(1-Premissas!$C$26/12)+D6,0)</f>
        <v/>
      </c>
      <c r="D6">
        <f>IF(AND($B$2=1,A6&gt;=Premissas!$C$23),Premissas!$C$22,0)</f>
        <v/>
      </c>
      <c r="E6">
        <f>B6*Premissas!$C$28</f>
        <v/>
      </c>
      <c r="F6">
        <f>B6*Premissas!$C$13/12*MIN(1,A6/Premissas!$C$17)</f>
        <v/>
      </c>
      <c r="G6">
        <f>F6*Premissas!$C$14</f>
        <v/>
      </c>
      <c r="H6">
        <f>IF(IF(A6-1-Premissas!$C$16&gt;=0,OFFSET($J$4,A6-1-Premissas!$C$16,0),0)&gt;0,ROUND(IF(A6-1-Premissas!$C$16&gt;=0,OFFSET($J$4,A6-1-Premissas!$C$16,0),0)*10000/Premissas!$C$5*Premissas!$C$15,0),0)</f>
        <v/>
      </c>
      <c r="I6">
        <f>ROUND(G6*Premissas!$C$6/10000,0)</f>
        <v/>
      </c>
      <c r="J6">
        <f>ROUND(G6*Premissas!$C$5/10000,0)</f>
        <v/>
      </c>
      <c r="K6">
        <f>IF(IF(A6-1-Premissas!$C$16&gt;=0,OFFSET($A$4,A6-1-Premissas!$C$16,0)&gt;=Premissas!$C$19,FALSE),ROUND(IF(A6-1-Premissas!$C$16&gt;=0,OFFSET($J$4,A6-1-Premissas!$C$16,0),0)*Premissas!$C$15,0),0)</f>
        <v/>
      </c>
      <c r="L6">
        <f>ROUND(C6*Premissas!$C$24/12,0)</f>
        <v/>
      </c>
      <c r="M6">
        <f>ROUND(D6*Premissas!$C$25,0)</f>
        <v/>
      </c>
      <c r="N6">
        <f>ROUND(E6*Premissas!$C$29+B6*Premissas!$C$30,0)</f>
        <v/>
      </c>
      <c r="O6">
        <f>K6+L6+M6+N6</f>
        <v/>
      </c>
      <c r="P6">
        <f>K6+ROUND(AC6*Premissas!$C$24,0)+M6+N6</f>
        <v/>
      </c>
      <c r="Q6">
        <f>ROUND(IF(A6-1-Premissas!$C$21&gt;=0,OFFSET($P$4,A6-1-Premissas!$C$21,0),0)*(1-Premissas!$C$20/100),0)</f>
        <v/>
      </c>
      <c r="R6">
        <f>ROUND(F6*Premissas!$C$11+N6*Premissas!$C$31/100,0)+ROUND((E6+B6)*Premissas!$C$10,0)+ROUND(Q6*Premissas!$C$8/100,0)+ROUND(Premissas!$C$35+(B6+C6)*Premissas!$C$36,0)</f>
        <v/>
      </c>
      <c r="S6">
        <f>O6-R6</f>
        <v/>
      </c>
      <c r="T6">
        <f>ROUND(O6*Premissas!$C$9/100,0)</f>
        <v/>
      </c>
      <c r="U6">
        <f>ROUND(AB6*Premissas!$C$33,0)</f>
        <v/>
      </c>
      <c r="V6">
        <f>Premissas!$C$37+ROUND(Premissas!$C$12*Premissas!$C$38+D6*Premissas!$C$27,0)</f>
        <v/>
      </c>
      <c r="W6">
        <f>Premissas!$C$39</f>
        <v/>
      </c>
      <c r="X6">
        <f>S6-T6-ROUND(Premissas!$C$12*Premissas!$C$38+D6*Premissas!$C$27,0)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Premissas!$C$32+(B6+C6)/Premissas!$C$34</f>
        <v/>
      </c>
      <c r="AC6">
        <f>D6</f>
        <v/>
      </c>
    </row>
    <row r="7">
      <c r="A7" t="n">
        <v>4</v>
      </c>
      <c r="B7">
        <f>B6*(1-Premissas!$C$18/12)+Premissas!$C$12</f>
        <v/>
      </c>
      <c r="C7">
        <f>IF($B$2=1,C6*(1-Premissas!$C$26/12)+D7,0)</f>
        <v/>
      </c>
      <c r="D7">
        <f>IF(AND($B$2=1,A7&gt;=Premissas!$C$23),Premissas!$C$22,0)</f>
        <v/>
      </c>
      <c r="E7">
        <f>B7*Premissas!$C$28</f>
        <v/>
      </c>
      <c r="F7">
        <f>B7*Premissas!$C$13/12*MIN(1,A7/Premissas!$C$17)</f>
        <v/>
      </c>
      <c r="G7">
        <f>F7*Premissas!$C$14</f>
        <v/>
      </c>
      <c r="H7">
        <f>IF(IF(A7-1-Premissas!$C$16&gt;=0,OFFSET($J$4,A7-1-Premissas!$C$16,0),0)&gt;0,ROUND(IF(A7-1-Premissas!$C$16&gt;=0,OFFSET($J$4,A7-1-Premissas!$C$16,0),0)*10000/Premissas!$C$5*Premissas!$C$15,0),0)</f>
        <v/>
      </c>
      <c r="I7">
        <f>ROUND(G7*Premissas!$C$6/10000,0)</f>
        <v/>
      </c>
      <c r="J7">
        <f>ROUND(G7*Premissas!$C$5/10000,0)</f>
        <v/>
      </c>
      <c r="K7">
        <f>IF(IF(A7-1-Premissas!$C$16&gt;=0,OFFSET($A$4,A7-1-Premissas!$C$16,0)&gt;=Premissas!$C$19,FALSE),ROUND(IF(A7-1-Premissas!$C$16&gt;=0,OFFSET($J$4,A7-1-Premissas!$C$16,0),0)*Premissas!$C$15,0),0)</f>
        <v/>
      </c>
      <c r="L7">
        <f>ROUND(C7*Premissas!$C$24/12,0)</f>
        <v/>
      </c>
      <c r="M7">
        <f>ROUND(D7*Premissas!$C$25,0)</f>
        <v/>
      </c>
      <c r="N7">
        <f>ROUND(E7*Premissas!$C$29+B7*Premissas!$C$30,0)</f>
        <v/>
      </c>
      <c r="O7">
        <f>K7+L7+M7+N7</f>
        <v/>
      </c>
      <c r="P7">
        <f>K7+ROUND(AC7*Premissas!$C$24,0)+M7+N7</f>
        <v/>
      </c>
      <c r="Q7">
        <f>ROUND(IF(A7-1-Premissas!$C$21&gt;=0,OFFSET($P$4,A7-1-Premissas!$C$21,0),0)*(1-Premissas!$C$20/100),0)</f>
        <v/>
      </c>
      <c r="R7">
        <f>ROUND(F7*Premissas!$C$11+N7*Premissas!$C$31/100,0)+ROUND((E7+B7)*Premissas!$C$10,0)+ROUND(Q7*Premissas!$C$8/100,0)+ROUND(Premissas!$C$35+(B7+C7)*Premissas!$C$36,0)</f>
        <v/>
      </c>
      <c r="S7">
        <f>O7-R7</f>
        <v/>
      </c>
      <c r="T7">
        <f>ROUND(O7*Premissas!$C$9/100,0)</f>
        <v/>
      </c>
      <c r="U7">
        <f>ROUND(AB7*Premissas!$C$33,0)</f>
        <v/>
      </c>
      <c r="V7">
        <f>Premissas!$C$37+ROUND(Premissas!$C$12*Premissas!$C$38+D7*Premissas!$C$27,0)</f>
        <v/>
      </c>
      <c r="W7">
        <f>Premissas!$C$39</f>
        <v/>
      </c>
      <c r="X7">
        <f>S7-T7-ROUND(Premissas!$C$12*Premissas!$C$38+D7*Premissas!$C$27,0)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Premissas!$C$32+(B7+C7)/Premissas!$C$34</f>
        <v/>
      </c>
      <c r="AC7">
        <f>D7</f>
        <v/>
      </c>
    </row>
    <row r="8">
      <c r="A8" t="n">
        <v>5</v>
      </c>
      <c r="B8">
        <f>B7*(1-Premissas!$C$18/12)+Premissas!$C$12</f>
        <v/>
      </c>
      <c r="C8">
        <f>IF($B$2=1,C7*(1-Premissas!$C$26/12)+D8,0)</f>
        <v/>
      </c>
      <c r="D8">
        <f>IF(AND($B$2=1,A8&gt;=Premissas!$C$23),Premissas!$C$22,0)</f>
        <v/>
      </c>
      <c r="E8">
        <f>B8*Premissas!$C$28</f>
        <v/>
      </c>
      <c r="F8">
        <f>B8*Premissas!$C$13/12*MIN(1,A8/Premissas!$C$17)</f>
        <v/>
      </c>
      <c r="G8">
        <f>F8*Premissas!$C$14</f>
        <v/>
      </c>
      <c r="H8">
        <f>IF(IF(A8-1-Premissas!$C$16&gt;=0,OFFSET($J$4,A8-1-Premissas!$C$16,0),0)&gt;0,ROUND(IF(A8-1-Premissas!$C$16&gt;=0,OFFSET($J$4,A8-1-Premissas!$C$16,0),0)*10000/Premissas!$C$5*Premissas!$C$15,0),0)</f>
        <v/>
      </c>
      <c r="I8">
        <f>ROUND(G8*Premissas!$C$6/10000,0)</f>
        <v/>
      </c>
      <c r="J8">
        <f>ROUND(G8*Premissas!$C$5/10000,0)</f>
        <v/>
      </c>
      <c r="K8">
        <f>IF(IF(A8-1-Premissas!$C$16&gt;=0,OFFSET($A$4,A8-1-Premissas!$C$16,0)&gt;=Premissas!$C$19,FALSE),ROUND(IF(A8-1-Premissas!$C$16&gt;=0,OFFSET($J$4,A8-1-Premissas!$C$16,0),0)*Premissas!$C$15,0),0)</f>
        <v/>
      </c>
      <c r="L8">
        <f>ROUND(C8*Premissas!$C$24/12,0)</f>
        <v/>
      </c>
      <c r="M8">
        <f>ROUND(D8*Premissas!$C$25,0)</f>
        <v/>
      </c>
      <c r="N8">
        <f>ROUND(E8*Premissas!$C$29+B8*Premissas!$C$30,0)</f>
        <v/>
      </c>
      <c r="O8">
        <f>K8+L8+M8+N8</f>
        <v/>
      </c>
      <c r="P8">
        <f>K8+ROUND(AC8*Premissas!$C$24,0)+M8+N8</f>
        <v/>
      </c>
      <c r="Q8">
        <f>ROUND(IF(A8-1-Premissas!$C$21&gt;=0,OFFSET($P$4,A8-1-Premissas!$C$21,0),0)*(1-Premissas!$C$20/100),0)</f>
        <v/>
      </c>
      <c r="R8">
        <f>ROUND(F8*Premissas!$C$11+N8*Premissas!$C$31/100,0)+ROUND((E8+B8)*Premissas!$C$10,0)+ROUND(Q8*Premissas!$C$8/100,0)+ROUND(Premissas!$C$35+(B8+C8)*Premissas!$C$36,0)</f>
        <v/>
      </c>
      <c r="S8">
        <f>O8-R8</f>
        <v/>
      </c>
      <c r="T8">
        <f>ROUND(O8*Premissas!$C$9/100,0)</f>
        <v/>
      </c>
      <c r="U8">
        <f>ROUND(AB8*Premissas!$C$33,0)</f>
        <v/>
      </c>
      <c r="V8">
        <f>Premissas!$C$37+ROUND(Premissas!$C$12*Premissas!$C$38+D8*Premissas!$C$27,0)</f>
        <v/>
      </c>
      <c r="W8">
        <f>Premissas!$C$39</f>
        <v/>
      </c>
      <c r="X8">
        <f>S8-T8-ROUND(Premissas!$C$12*Premissas!$C$38+D8*Premissas!$C$27,0)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Premissas!$C$32+(B8+C8)/Premissas!$C$34</f>
        <v/>
      </c>
      <c r="AC8">
        <f>D8</f>
        <v/>
      </c>
    </row>
    <row r="9">
      <c r="A9" t="n">
        <v>6</v>
      </c>
      <c r="B9">
        <f>B8*(1-Premissas!$C$18/12)+Premissas!$C$12</f>
        <v/>
      </c>
      <c r="C9">
        <f>IF($B$2=1,C8*(1-Premissas!$C$26/12)+D9,0)</f>
        <v/>
      </c>
      <c r="D9">
        <f>IF(AND($B$2=1,A9&gt;=Premissas!$C$23),Premissas!$C$22,0)</f>
        <v/>
      </c>
      <c r="E9">
        <f>B9*Premissas!$C$28</f>
        <v/>
      </c>
      <c r="F9">
        <f>B9*Premissas!$C$13/12*MIN(1,A9/Premissas!$C$17)</f>
        <v/>
      </c>
      <c r="G9">
        <f>F9*Premissas!$C$14</f>
        <v/>
      </c>
      <c r="H9">
        <f>IF(IF(A9-1-Premissas!$C$16&gt;=0,OFFSET($J$4,A9-1-Premissas!$C$16,0),0)&gt;0,ROUND(IF(A9-1-Premissas!$C$16&gt;=0,OFFSET($J$4,A9-1-Premissas!$C$16,0),0)*10000/Premissas!$C$5*Premissas!$C$15,0),0)</f>
        <v/>
      </c>
      <c r="I9">
        <f>ROUND(G9*Premissas!$C$6/10000,0)</f>
        <v/>
      </c>
      <c r="J9">
        <f>ROUND(G9*Premissas!$C$5/10000,0)</f>
        <v/>
      </c>
      <c r="K9">
        <f>IF(IF(A9-1-Premissas!$C$16&gt;=0,OFFSET($A$4,A9-1-Premissas!$C$16,0)&gt;=Premissas!$C$19,FALSE),ROUND(IF(A9-1-Premissas!$C$16&gt;=0,OFFSET($J$4,A9-1-Premissas!$C$16,0),0)*Premissas!$C$15,0),0)</f>
        <v/>
      </c>
      <c r="L9">
        <f>ROUND(C9*Premissas!$C$24/12,0)</f>
        <v/>
      </c>
      <c r="M9">
        <f>ROUND(D9*Premissas!$C$25,0)</f>
        <v/>
      </c>
      <c r="N9">
        <f>ROUND(E9*Premissas!$C$29+B9*Premissas!$C$30,0)</f>
        <v/>
      </c>
      <c r="O9">
        <f>K9+L9+M9+N9</f>
        <v/>
      </c>
      <c r="P9">
        <f>K9+ROUND(AC9*Premissas!$C$24,0)+M9+N9</f>
        <v/>
      </c>
      <c r="Q9">
        <f>ROUND(IF(A9-1-Premissas!$C$21&gt;=0,OFFSET($P$4,A9-1-Premissas!$C$21,0),0)*(1-Premissas!$C$20/100),0)</f>
        <v/>
      </c>
      <c r="R9">
        <f>ROUND(F9*Premissas!$C$11+N9*Premissas!$C$31/100,0)+ROUND((E9+B9)*Premissas!$C$10,0)+ROUND(Q9*Premissas!$C$8/100,0)+ROUND(Premissas!$C$35+(B9+C9)*Premissas!$C$36,0)</f>
        <v/>
      </c>
      <c r="S9">
        <f>O9-R9</f>
        <v/>
      </c>
      <c r="T9">
        <f>ROUND(O9*Premissas!$C$9/100,0)</f>
        <v/>
      </c>
      <c r="U9">
        <f>ROUND(AB9*Premissas!$C$33,0)</f>
        <v/>
      </c>
      <c r="V9">
        <f>Premissas!$C$37+ROUND(Premissas!$C$12*Premissas!$C$38+D9*Premissas!$C$27,0)</f>
        <v/>
      </c>
      <c r="W9">
        <f>Premissas!$C$39</f>
        <v/>
      </c>
      <c r="X9">
        <f>S9-T9-ROUND(Premissas!$C$12*Premissas!$C$38+D9*Premissas!$C$27,0)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Premissas!$C$32+(B9+C9)/Premissas!$C$34</f>
        <v/>
      </c>
      <c r="AC9">
        <f>D9</f>
        <v/>
      </c>
    </row>
    <row r="10">
      <c r="A10" t="n">
        <v>7</v>
      </c>
      <c r="B10">
        <f>B9*(1-Premissas!$C$18/12)+Premissas!$C$12</f>
        <v/>
      </c>
      <c r="C10">
        <f>IF($B$2=1,C9*(1-Premissas!$C$26/12)+D10,0)</f>
        <v/>
      </c>
      <c r="D10">
        <f>IF(AND($B$2=1,A10&gt;=Premissas!$C$23),Premissas!$C$22,0)</f>
        <v/>
      </c>
      <c r="E10">
        <f>B10*Premissas!$C$28</f>
        <v/>
      </c>
      <c r="F10">
        <f>B10*Premissas!$C$13/12*MIN(1,A10/Premissas!$C$17)</f>
        <v/>
      </c>
      <c r="G10">
        <f>F10*Premissas!$C$14</f>
        <v/>
      </c>
      <c r="H10">
        <f>IF(IF(A10-1-Premissas!$C$16&gt;=0,OFFSET($J$4,A10-1-Premissas!$C$16,0),0)&gt;0,ROUND(IF(A10-1-Premissas!$C$16&gt;=0,OFFSET($J$4,A10-1-Premissas!$C$16,0),0)*10000/Premissas!$C$5*Premissas!$C$15,0),0)</f>
        <v/>
      </c>
      <c r="I10">
        <f>ROUND(G10*Premissas!$C$6/10000,0)</f>
        <v/>
      </c>
      <c r="J10">
        <f>ROUND(G10*Premissas!$C$5/10000,0)</f>
        <v/>
      </c>
      <c r="K10">
        <f>IF(IF(A10-1-Premissas!$C$16&gt;=0,OFFSET($A$4,A10-1-Premissas!$C$16,0)&gt;=Premissas!$C$19,FALSE),ROUND(IF(A10-1-Premissas!$C$16&gt;=0,OFFSET($J$4,A10-1-Premissas!$C$16,0),0)*Premissas!$C$15,0),0)</f>
        <v/>
      </c>
      <c r="L10">
        <f>ROUND(C10*Premissas!$C$24/12,0)</f>
        <v/>
      </c>
      <c r="M10">
        <f>ROUND(D10*Premissas!$C$25,0)</f>
        <v/>
      </c>
      <c r="N10">
        <f>ROUND(E10*Premissas!$C$29+B10*Premissas!$C$30,0)</f>
        <v/>
      </c>
      <c r="O10">
        <f>K10+L10+M10+N10</f>
        <v/>
      </c>
      <c r="P10">
        <f>K10+ROUND(AC10*Premissas!$C$24,0)+M10+N10</f>
        <v/>
      </c>
      <c r="Q10">
        <f>ROUND(IF(A10-1-Premissas!$C$21&gt;=0,OFFSET($P$4,A10-1-Premissas!$C$21,0),0)*(1-Premissas!$C$20/100),0)</f>
        <v/>
      </c>
      <c r="R10">
        <f>ROUND(F10*Premissas!$C$11+N10*Premissas!$C$31/100,0)+ROUND((E10+B10)*Premissas!$C$10,0)+ROUND(Q10*Premissas!$C$8/100,0)+ROUND(Premissas!$C$35+(B10+C10)*Premissas!$C$36,0)</f>
        <v/>
      </c>
      <c r="S10">
        <f>O10-R10</f>
        <v/>
      </c>
      <c r="T10">
        <f>ROUND(O10*Premissas!$C$9/100,0)</f>
        <v/>
      </c>
      <c r="U10">
        <f>ROUND(AB10*Premissas!$C$33,0)</f>
        <v/>
      </c>
      <c r="V10">
        <f>Premissas!$C$37+ROUND(Premissas!$C$12*Premissas!$C$38+D10*Premissas!$C$27,0)</f>
        <v/>
      </c>
      <c r="W10">
        <f>Premissas!$C$39</f>
        <v/>
      </c>
      <c r="X10">
        <f>S10-T10-ROUND(Premissas!$C$12*Premissas!$C$38+D10*Premissas!$C$27,0)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Premissas!$C$32+(B10+C10)/Premissas!$C$34</f>
        <v/>
      </c>
      <c r="AC10">
        <f>D10</f>
        <v/>
      </c>
    </row>
    <row r="11">
      <c r="A11" t="n">
        <v>8</v>
      </c>
      <c r="B11">
        <f>B10*(1-Premissas!$C$18/12)+Premissas!$C$12</f>
        <v/>
      </c>
      <c r="C11">
        <f>IF($B$2=1,C10*(1-Premissas!$C$26/12)+D11,0)</f>
        <v/>
      </c>
      <c r="D11">
        <f>IF(AND($B$2=1,A11&gt;=Premissas!$C$23),Premissas!$C$22,0)</f>
        <v/>
      </c>
      <c r="E11">
        <f>B11*Premissas!$C$28</f>
        <v/>
      </c>
      <c r="F11">
        <f>B11*Premissas!$C$13/12*MIN(1,A11/Premissas!$C$17)</f>
        <v/>
      </c>
      <c r="G11">
        <f>F11*Premissas!$C$14</f>
        <v/>
      </c>
      <c r="H11">
        <f>IF(IF(A11-1-Premissas!$C$16&gt;=0,OFFSET($J$4,A11-1-Premissas!$C$16,0),0)&gt;0,ROUND(IF(A11-1-Premissas!$C$16&gt;=0,OFFSET($J$4,A11-1-Premissas!$C$16,0),0)*10000/Premissas!$C$5*Premissas!$C$15,0),0)</f>
        <v/>
      </c>
      <c r="I11">
        <f>ROUND(G11*Premissas!$C$6/10000,0)</f>
        <v/>
      </c>
      <c r="J11">
        <f>ROUND(G11*Premissas!$C$5/10000,0)</f>
        <v/>
      </c>
      <c r="K11">
        <f>IF(IF(A11-1-Premissas!$C$16&gt;=0,OFFSET($A$4,A11-1-Premissas!$C$16,0)&gt;=Premissas!$C$19,FALSE),ROUND(IF(A11-1-Premissas!$C$16&gt;=0,OFFSET($J$4,A11-1-Premissas!$C$16,0),0)*Premissas!$C$15,0),0)</f>
        <v/>
      </c>
      <c r="L11">
        <f>ROUND(C11*Premissas!$C$24/12,0)</f>
        <v/>
      </c>
      <c r="M11">
        <f>ROUND(D11*Premissas!$C$25,0)</f>
        <v/>
      </c>
      <c r="N11">
        <f>ROUND(E11*Premissas!$C$29+B11*Premissas!$C$30,0)</f>
        <v/>
      </c>
      <c r="O11">
        <f>K11+L11+M11+N11</f>
        <v/>
      </c>
      <c r="P11">
        <f>K11+ROUND(AC11*Premissas!$C$24,0)+M11+N11</f>
        <v/>
      </c>
      <c r="Q11">
        <f>ROUND(IF(A11-1-Premissas!$C$21&gt;=0,OFFSET($P$4,A11-1-Premissas!$C$21,0),0)*(1-Premissas!$C$20/100),0)</f>
        <v/>
      </c>
      <c r="R11">
        <f>ROUND(F11*Premissas!$C$11+N11*Premissas!$C$31/100,0)+ROUND((E11+B11)*Premissas!$C$10,0)+ROUND(Q11*Premissas!$C$8/100,0)+ROUND(Premissas!$C$35+(B11+C11)*Premissas!$C$36,0)</f>
        <v/>
      </c>
      <c r="S11">
        <f>O11-R11</f>
        <v/>
      </c>
      <c r="T11">
        <f>ROUND(O11*Premissas!$C$9/100,0)</f>
        <v/>
      </c>
      <c r="U11">
        <f>ROUND(AB11*Premissas!$C$33,0)</f>
        <v/>
      </c>
      <c r="V11">
        <f>Premissas!$C$37+ROUND(Premissas!$C$12*Premissas!$C$38+D11*Premissas!$C$27,0)</f>
        <v/>
      </c>
      <c r="W11">
        <f>Premissas!$C$39</f>
        <v/>
      </c>
      <c r="X11">
        <f>S11-T11-ROUND(Premissas!$C$12*Premissas!$C$38+D11*Premissas!$C$27,0)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Premissas!$C$32+(B11+C11)/Premissas!$C$34</f>
        <v/>
      </c>
      <c r="AC11">
        <f>D11</f>
        <v/>
      </c>
    </row>
    <row r="12">
      <c r="A12" t="n">
        <v>9</v>
      </c>
      <c r="B12">
        <f>B11*(1-Premissas!$C$18/12)+Premissas!$C$12</f>
        <v/>
      </c>
      <c r="C12">
        <f>IF($B$2=1,C11*(1-Premissas!$C$26/12)+D12,0)</f>
        <v/>
      </c>
      <c r="D12">
        <f>IF(AND($B$2=1,A12&gt;=Premissas!$C$23),Premissas!$C$22,0)</f>
        <v/>
      </c>
      <c r="E12">
        <f>B12*Premissas!$C$28</f>
        <v/>
      </c>
      <c r="F12">
        <f>B12*Premissas!$C$13/12*MIN(1,A12/Premissas!$C$17)</f>
        <v/>
      </c>
      <c r="G12">
        <f>F12*Premissas!$C$14</f>
        <v/>
      </c>
      <c r="H12">
        <f>IF(IF(A12-1-Premissas!$C$16&gt;=0,OFFSET($J$4,A12-1-Premissas!$C$16,0),0)&gt;0,ROUND(IF(A12-1-Premissas!$C$16&gt;=0,OFFSET($J$4,A12-1-Premissas!$C$16,0),0)*10000/Premissas!$C$5*Premissas!$C$15,0),0)</f>
        <v/>
      </c>
      <c r="I12">
        <f>ROUND(G12*Premissas!$C$6/10000,0)</f>
        <v/>
      </c>
      <c r="J12">
        <f>ROUND(G12*Premissas!$C$5/10000,0)</f>
        <v/>
      </c>
      <c r="K12">
        <f>IF(IF(A12-1-Premissas!$C$16&gt;=0,OFFSET($A$4,A12-1-Premissas!$C$16,0)&gt;=Premissas!$C$19,FALSE),ROUND(IF(A12-1-Premissas!$C$16&gt;=0,OFFSET($J$4,A12-1-Premissas!$C$16,0),0)*Premissas!$C$15,0),0)</f>
        <v/>
      </c>
      <c r="L12">
        <f>ROUND(C12*Premissas!$C$24/12,0)</f>
        <v/>
      </c>
      <c r="M12">
        <f>ROUND(D12*Premissas!$C$25,0)</f>
        <v/>
      </c>
      <c r="N12">
        <f>ROUND(E12*Premissas!$C$29+B12*Premissas!$C$30,0)</f>
        <v/>
      </c>
      <c r="O12">
        <f>K12+L12+M12+N12</f>
        <v/>
      </c>
      <c r="P12">
        <f>K12+ROUND(AC12*Premissas!$C$24,0)+M12+N12</f>
        <v/>
      </c>
      <c r="Q12">
        <f>ROUND(IF(A12-1-Premissas!$C$21&gt;=0,OFFSET($P$4,A12-1-Premissas!$C$21,0),0)*(1-Premissas!$C$20/100),0)</f>
        <v/>
      </c>
      <c r="R12">
        <f>ROUND(F12*Premissas!$C$11+N12*Premissas!$C$31/100,0)+ROUND((E12+B12)*Premissas!$C$10,0)+ROUND(Q12*Premissas!$C$8/100,0)+ROUND(Premissas!$C$35+(B12+C12)*Premissas!$C$36,0)</f>
        <v/>
      </c>
      <c r="S12">
        <f>O12-R12</f>
        <v/>
      </c>
      <c r="T12">
        <f>ROUND(O12*Premissas!$C$9/100,0)</f>
        <v/>
      </c>
      <c r="U12">
        <f>ROUND(AB12*Premissas!$C$33,0)</f>
        <v/>
      </c>
      <c r="V12">
        <f>Premissas!$C$37+ROUND(Premissas!$C$12*Premissas!$C$38+D12*Premissas!$C$27,0)</f>
        <v/>
      </c>
      <c r="W12">
        <f>Premissas!$C$39</f>
        <v/>
      </c>
      <c r="X12">
        <f>S12-T12-ROUND(Premissas!$C$12*Premissas!$C$38+D12*Premissas!$C$27,0)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Premissas!$C$32+(B12+C12)/Premissas!$C$34</f>
        <v/>
      </c>
      <c r="AC12">
        <f>D12</f>
        <v/>
      </c>
    </row>
    <row r="13">
      <c r="A13" t="n">
        <v>10</v>
      </c>
      <c r="B13">
        <f>B12*(1-Premissas!$C$18/12)+Premissas!$C$12</f>
        <v/>
      </c>
      <c r="C13">
        <f>IF($B$2=1,C12*(1-Premissas!$C$26/12)+D13,0)</f>
        <v/>
      </c>
      <c r="D13">
        <f>IF(AND($B$2=1,A13&gt;=Premissas!$C$23),Premissas!$C$22,0)</f>
        <v/>
      </c>
      <c r="E13">
        <f>B13*Premissas!$C$28</f>
        <v/>
      </c>
      <c r="F13">
        <f>B13*Premissas!$C$13/12*MIN(1,A13/Premissas!$C$17)</f>
        <v/>
      </c>
      <c r="G13">
        <f>F13*Premissas!$C$14</f>
        <v/>
      </c>
      <c r="H13">
        <f>IF(IF(A13-1-Premissas!$C$16&gt;=0,OFFSET($J$4,A13-1-Premissas!$C$16,0),0)&gt;0,ROUND(IF(A13-1-Premissas!$C$16&gt;=0,OFFSET($J$4,A13-1-Premissas!$C$16,0),0)*10000/Premissas!$C$5*Premissas!$C$15,0),0)</f>
        <v/>
      </c>
      <c r="I13">
        <f>ROUND(G13*Premissas!$C$6/10000,0)</f>
        <v/>
      </c>
      <c r="J13">
        <f>ROUND(G13*Premissas!$C$5/10000,0)</f>
        <v/>
      </c>
      <c r="K13">
        <f>IF(IF(A13-1-Premissas!$C$16&gt;=0,OFFSET($A$4,A13-1-Premissas!$C$16,0)&gt;=Premissas!$C$19,FALSE),ROUND(IF(A13-1-Premissas!$C$16&gt;=0,OFFSET($J$4,A13-1-Premissas!$C$16,0),0)*Premissas!$C$15,0),0)</f>
        <v/>
      </c>
      <c r="L13">
        <f>ROUND(C13*Premissas!$C$24/12,0)</f>
        <v/>
      </c>
      <c r="M13">
        <f>ROUND(D13*Premissas!$C$25,0)</f>
        <v/>
      </c>
      <c r="N13">
        <f>ROUND(E13*Premissas!$C$29+B13*Premissas!$C$30,0)</f>
        <v/>
      </c>
      <c r="O13">
        <f>K13+L13+M13+N13</f>
        <v/>
      </c>
      <c r="P13">
        <f>K13+ROUND(AC13*Premissas!$C$24,0)+M13+N13</f>
        <v/>
      </c>
      <c r="Q13">
        <f>ROUND(IF(A13-1-Premissas!$C$21&gt;=0,OFFSET($P$4,A13-1-Premissas!$C$21,0),0)*(1-Premissas!$C$20/100),0)</f>
        <v/>
      </c>
      <c r="R13">
        <f>ROUND(F13*Premissas!$C$11+N13*Premissas!$C$31/100,0)+ROUND((E13+B13)*Premissas!$C$10,0)+ROUND(Q13*Premissas!$C$8/100,0)+ROUND(Premissas!$C$35+(B13+C13)*Premissas!$C$36,0)</f>
        <v/>
      </c>
      <c r="S13">
        <f>O13-R13</f>
        <v/>
      </c>
      <c r="T13">
        <f>ROUND(O13*Premissas!$C$9/100,0)</f>
        <v/>
      </c>
      <c r="U13">
        <f>ROUND(AB13*Premissas!$C$33,0)</f>
        <v/>
      </c>
      <c r="V13">
        <f>Premissas!$C$37+ROUND(Premissas!$C$12*Premissas!$C$38+D13*Premissas!$C$27,0)</f>
        <v/>
      </c>
      <c r="W13">
        <f>Premissas!$C$39</f>
        <v/>
      </c>
      <c r="X13">
        <f>S13-T13-ROUND(Premissas!$C$12*Premissas!$C$38+D13*Premissas!$C$27,0)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Premissas!$C$32+(B13+C13)/Premissas!$C$34</f>
        <v/>
      </c>
      <c r="AC13">
        <f>D13</f>
        <v/>
      </c>
    </row>
    <row r="14">
      <c r="A14" t="n">
        <v>11</v>
      </c>
      <c r="B14">
        <f>B13*(1-Premissas!$C$18/12)+Premissas!$C$12</f>
        <v/>
      </c>
      <c r="C14">
        <f>IF($B$2=1,C13*(1-Premissas!$C$26/12)+D14,0)</f>
        <v/>
      </c>
      <c r="D14">
        <f>IF(AND($B$2=1,A14&gt;=Premissas!$C$23),Premissas!$C$22,0)</f>
        <v/>
      </c>
      <c r="E14">
        <f>B14*Premissas!$C$28</f>
        <v/>
      </c>
      <c r="F14">
        <f>B14*Premissas!$C$13/12*MIN(1,A14/Premissas!$C$17)</f>
        <v/>
      </c>
      <c r="G14">
        <f>F14*Premissas!$C$14</f>
        <v/>
      </c>
      <c r="H14">
        <f>IF(IF(A14-1-Premissas!$C$16&gt;=0,OFFSET($J$4,A14-1-Premissas!$C$16,0),0)&gt;0,ROUND(IF(A14-1-Premissas!$C$16&gt;=0,OFFSET($J$4,A14-1-Premissas!$C$16,0),0)*10000/Premissas!$C$5*Premissas!$C$15,0),0)</f>
        <v/>
      </c>
      <c r="I14">
        <f>ROUND(G14*Premissas!$C$6/10000,0)</f>
        <v/>
      </c>
      <c r="J14">
        <f>ROUND(G14*Premissas!$C$5/10000,0)</f>
        <v/>
      </c>
      <c r="K14">
        <f>IF(IF(A14-1-Premissas!$C$16&gt;=0,OFFSET($A$4,A14-1-Premissas!$C$16,0)&gt;=Premissas!$C$19,FALSE),ROUND(IF(A14-1-Premissas!$C$16&gt;=0,OFFSET($J$4,A14-1-Premissas!$C$16,0),0)*Premissas!$C$15,0),0)</f>
        <v/>
      </c>
      <c r="L14">
        <f>ROUND(C14*Premissas!$C$24/12,0)</f>
        <v/>
      </c>
      <c r="M14">
        <f>ROUND(D14*Premissas!$C$25,0)</f>
        <v/>
      </c>
      <c r="N14">
        <f>ROUND(E14*Premissas!$C$29+B14*Premissas!$C$30,0)</f>
        <v/>
      </c>
      <c r="O14">
        <f>K14+L14+M14+N14</f>
        <v/>
      </c>
      <c r="P14">
        <f>K14+ROUND(AC14*Premissas!$C$24,0)+M14+N14</f>
        <v/>
      </c>
      <c r="Q14">
        <f>ROUND(IF(A14-1-Premissas!$C$21&gt;=0,OFFSET($P$4,A14-1-Premissas!$C$21,0),0)*(1-Premissas!$C$20/100),0)</f>
        <v/>
      </c>
      <c r="R14">
        <f>ROUND(F14*Premissas!$C$11+N14*Premissas!$C$31/100,0)+ROUND((E14+B14)*Premissas!$C$10,0)+ROUND(Q14*Premissas!$C$8/100,0)+ROUND(Premissas!$C$35+(B14+C14)*Premissas!$C$36,0)</f>
        <v/>
      </c>
      <c r="S14">
        <f>O14-R14</f>
        <v/>
      </c>
      <c r="T14">
        <f>ROUND(O14*Premissas!$C$9/100,0)</f>
        <v/>
      </c>
      <c r="U14">
        <f>ROUND(AB14*Premissas!$C$33,0)</f>
        <v/>
      </c>
      <c r="V14">
        <f>Premissas!$C$37+ROUND(Premissas!$C$12*Premissas!$C$38+D14*Premissas!$C$27,0)</f>
        <v/>
      </c>
      <c r="W14">
        <f>Premissas!$C$39</f>
        <v/>
      </c>
      <c r="X14">
        <f>S14-T14-ROUND(Premissas!$C$12*Premissas!$C$38+D14*Premissas!$C$27,0)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Premissas!$C$32+(B14+C14)/Premissas!$C$34</f>
        <v/>
      </c>
      <c r="AC14">
        <f>D14</f>
        <v/>
      </c>
    </row>
    <row r="15">
      <c r="A15" t="n">
        <v>12</v>
      </c>
      <c r="B15">
        <f>B14*(1-Premissas!$C$18/12)+Premissas!$C$12</f>
        <v/>
      </c>
      <c r="C15">
        <f>IF($B$2=1,C14*(1-Premissas!$C$26/12)+D15,0)</f>
        <v/>
      </c>
      <c r="D15">
        <f>IF(AND($B$2=1,A15&gt;=Premissas!$C$23),Premissas!$C$22,0)</f>
        <v/>
      </c>
      <c r="E15">
        <f>B15*Premissas!$C$28</f>
        <v/>
      </c>
      <c r="F15">
        <f>B15*Premissas!$C$13/12*MIN(1,A15/Premissas!$C$17)</f>
        <v/>
      </c>
      <c r="G15">
        <f>F15*Premissas!$C$14</f>
        <v/>
      </c>
      <c r="H15">
        <f>IF(IF(A15-1-Premissas!$C$16&gt;=0,OFFSET($J$4,A15-1-Premissas!$C$16,0),0)&gt;0,ROUND(IF(A15-1-Premissas!$C$16&gt;=0,OFFSET($J$4,A15-1-Premissas!$C$16,0),0)*10000/Premissas!$C$5*Premissas!$C$15,0),0)</f>
        <v/>
      </c>
      <c r="I15">
        <f>ROUND(G15*Premissas!$C$6/10000,0)</f>
        <v/>
      </c>
      <c r="J15">
        <f>ROUND(G15*Premissas!$C$5/10000,0)</f>
        <v/>
      </c>
      <c r="K15">
        <f>IF(IF(A15-1-Premissas!$C$16&gt;=0,OFFSET($A$4,A15-1-Premissas!$C$16,0)&gt;=Premissas!$C$19,FALSE),ROUND(IF(A15-1-Premissas!$C$16&gt;=0,OFFSET($J$4,A15-1-Premissas!$C$16,0),0)*Premissas!$C$15,0),0)</f>
        <v/>
      </c>
      <c r="L15">
        <f>ROUND(C15*Premissas!$C$24/12,0)</f>
        <v/>
      </c>
      <c r="M15">
        <f>ROUND(D15*Premissas!$C$25,0)</f>
        <v/>
      </c>
      <c r="N15">
        <f>ROUND(E15*Premissas!$C$29+B15*Premissas!$C$30,0)</f>
        <v/>
      </c>
      <c r="O15">
        <f>K15+L15+M15+N15</f>
        <v/>
      </c>
      <c r="P15">
        <f>K15+ROUND(AC15*Premissas!$C$24,0)+M15+N15</f>
        <v/>
      </c>
      <c r="Q15">
        <f>ROUND(IF(A15-1-Premissas!$C$21&gt;=0,OFFSET($P$4,A15-1-Premissas!$C$21,0),0)*(1-Premissas!$C$20/100),0)</f>
        <v/>
      </c>
      <c r="R15">
        <f>ROUND(F15*Premissas!$C$11+N15*Premissas!$C$31/100,0)+ROUND((E15+B15)*Premissas!$C$10,0)+ROUND(Q15*Premissas!$C$8/100,0)+ROUND(Premissas!$C$35+(B15+C15)*Premissas!$C$36,0)</f>
        <v/>
      </c>
      <c r="S15">
        <f>O15-R15</f>
        <v/>
      </c>
      <c r="T15">
        <f>ROUND(O15*Premissas!$C$9/100,0)</f>
        <v/>
      </c>
      <c r="U15">
        <f>ROUND(AB15*Premissas!$C$33,0)</f>
        <v/>
      </c>
      <c r="V15">
        <f>Premissas!$C$37+ROUND(Premissas!$C$12*Premissas!$C$38+D15*Premissas!$C$27,0)</f>
        <v/>
      </c>
      <c r="W15">
        <f>Premissas!$C$39</f>
        <v/>
      </c>
      <c r="X15">
        <f>S15-T15-ROUND(Premissas!$C$12*Premissas!$C$38+D15*Premissas!$C$27,0)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Premissas!$C$32+(B15+C15)/Premissas!$C$34</f>
        <v/>
      </c>
      <c r="AC15">
        <f>D15</f>
        <v/>
      </c>
    </row>
    <row r="16">
      <c r="A16" t="n">
        <v>13</v>
      </c>
      <c r="B16">
        <f>B15*(1-Premissas!$C$18/12)+Premissas!$C$12</f>
        <v/>
      </c>
      <c r="C16">
        <f>IF($B$2=1,C15*(1-Premissas!$C$26/12)+D16,0)</f>
        <v/>
      </c>
      <c r="D16">
        <f>IF(AND($B$2=1,A16&gt;=Premissas!$C$23),Premissas!$C$22,0)</f>
        <v/>
      </c>
      <c r="E16">
        <f>B16*Premissas!$C$28</f>
        <v/>
      </c>
      <c r="F16">
        <f>B16*Premissas!$C$13/12*MIN(1,A16/Premissas!$C$17)</f>
        <v/>
      </c>
      <c r="G16">
        <f>F16*Premissas!$C$14</f>
        <v/>
      </c>
      <c r="H16">
        <f>IF(IF(A16-1-Premissas!$C$16&gt;=0,OFFSET($J$4,A16-1-Premissas!$C$16,0),0)&gt;0,ROUND(IF(A16-1-Premissas!$C$16&gt;=0,OFFSET($J$4,A16-1-Premissas!$C$16,0),0)*10000/Premissas!$C$5*Premissas!$C$15,0),0)</f>
        <v/>
      </c>
      <c r="I16">
        <f>ROUND(G16*Premissas!$C$6/10000,0)</f>
        <v/>
      </c>
      <c r="J16">
        <f>ROUND(G16*Premissas!$C$5/10000,0)</f>
        <v/>
      </c>
      <c r="K16">
        <f>IF(IF(A16-1-Premissas!$C$16&gt;=0,OFFSET($A$4,A16-1-Premissas!$C$16,0)&gt;=Premissas!$C$19,FALSE),ROUND(IF(A16-1-Premissas!$C$16&gt;=0,OFFSET($J$4,A16-1-Premissas!$C$16,0),0)*Premissas!$C$15,0),0)</f>
        <v/>
      </c>
      <c r="L16">
        <f>ROUND(C16*Premissas!$C$24/12,0)</f>
        <v/>
      </c>
      <c r="M16">
        <f>ROUND(D16*Premissas!$C$25,0)</f>
        <v/>
      </c>
      <c r="N16">
        <f>ROUND(E16*Premissas!$C$29+B16*Premissas!$C$30,0)</f>
        <v/>
      </c>
      <c r="O16">
        <f>K16+L16+M16+N16</f>
        <v/>
      </c>
      <c r="P16">
        <f>K16+ROUND(AC16*Premissas!$C$24,0)+M16+N16</f>
        <v/>
      </c>
      <c r="Q16">
        <f>ROUND(IF(A16-1-Premissas!$C$21&gt;=0,OFFSET($P$4,A16-1-Premissas!$C$21,0),0)*(1-Premissas!$C$20/100),0)</f>
        <v/>
      </c>
      <c r="R16">
        <f>ROUND(F16*Premissas!$C$11+N16*Premissas!$C$31/100,0)+ROUND((E16+B16)*Premissas!$C$10,0)+ROUND(Q16*Premissas!$C$8/100,0)+ROUND(Premissas!$C$35+(B16+C16)*Premissas!$C$36,0)</f>
        <v/>
      </c>
      <c r="S16">
        <f>O16-R16</f>
        <v/>
      </c>
      <c r="T16">
        <f>ROUND(O16*Premissas!$C$9/100,0)</f>
        <v/>
      </c>
      <c r="U16">
        <f>ROUND(AB16*Premissas!$C$33,0)</f>
        <v/>
      </c>
      <c r="V16">
        <f>Premissas!$C$37+ROUND(Premissas!$C$12*Premissas!$C$38+D16*Premissas!$C$27,0)</f>
        <v/>
      </c>
      <c r="W16">
        <f>Premissas!$C$39</f>
        <v/>
      </c>
      <c r="X16">
        <f>S16-T16-ROUND(Premissas!$C$12*Premissas!$C$38+D16*Premissas!$C$27,0)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Premissas!$C$32+(B16+C16)/Premissas!$C$34</f>
        <v/>
      </c>
      <c r="AC16">
        <f>D16+AC4*(1-Premissas!$C$26/12)^12</f>
        <v/>
      </c>
    </row>
    <row r="17">
      <c r="A17" t="n">
        <v>14</v>
      </c>
      <c r="B17">
        <f>B16*(1-Premissas!$C$18/12)+Premissas!$C$12</f>
        <v/>
      </c>
      <c r="C17">
        <f>IF($B$2=1,C16*(1-Premissas!$C$26/12)+D17,0)</f>
        <v/>
      </c>
      <c r="D17">
        <f>IF(AND($B$2=1,A17&gt;=Premissas!$C$23),Premissas!$C$22,0)</f>
        <v/>
      </c>
      <c r="E17">
        <f>B17*Premissas!$C$28</f>
        <v/>
      </c>
      <c r="F17">
        <f>B17*Premissas!$C$13/12*MIN(1,A17/Premissas!$C$17)</f>
        <v/>
      </c>
      <c r="G17">
        <f>F17*Premissas!$C$14</f>
        <v/>
      </c>
      <c r="H17">
        <f>IF(IF(A17-1-Premissas!$C$16&gt;=0,OFFSET($J$4,A17-1-Premissas!$C$16,0),0)&gt;0,ROUND(IF(A17-1-Premissas!$C$16&gt;=0,OFFSET($J$4,A17-1-Premissas!$C$16,0),0)*10000/Premissas!$C$5*Premissas!$C$15,0),0)</f>
        <v/>
      </c>
      <c r="I17">
        <f>ROUND(G17*Premissas!$C$6/10000,0)</f>
        <v/>
      </c>
      <c r="J17">
        <f>ROUND(G17*Premissas!$C$5/10000,0)</f>
        <v/>
      </c>
      <c r="K17">
        <f>IF(IF(A17-1-Premissas!$C$16&gt;=0,OFFSET($A$4,A17-1-Premissas!$C$16,0)&gt;=Premissas!$C$19,FALSE),ROUND(IF(A17-1-Premissas!$C$16&gt;=0,OFFSET($J$4,A17-1-Premissas!$C$16,0),0)*Premissas!$C$15,0),0)</f>
        <v/>
      </c>
      <c r="L17">
        <f>ROUND(C17*Premissas!$C$24/12,0)</f>
        <v/>
      </c>
      <c r="M17">
        <f>ROUND(D17*Premissas!$C$25,0)</f>
        <v/>
      </c>
      <c r="N17">
        <f>ROUND(E17*Premissas!$C$29+B17*Premissas!$C$30,0)</f>
        <v/>
      </c>
      <c r="O17">
        <f>K17+L17+M17+N17</f>
        <v/>
      </c>
      <c r="P17">
        <f>K17+ROUND(AC17*Premissas!$C$24,0)+M17+N17</f>
        <v/>
      </c>
      <c r="Q17">
        <f>ROUND(IF(A17-1-Premissas!$C$21&gt;=0,OFFSET($P$4,A17-1-Premissas!$C$21,0),0)*(1-Premissas!$C$20/100),0)</f>
        <v/>
      </c>
      <c r="R17">
        <f>ROUND(F17*Premissas!$C$11+N17*Premissas!$C$31/100,0)+ROUND((E17+B17)*Premissas!$C$10,0)+ROUND(Q17*Premissas!$C$8/100,0)+ROUND(Premissas!$C$35+(B17+C17)*Premissas!$C$36,0)</f>
        <v/>
      </c>
      <c r="S17">
        <f>O17-R17</f>
        <v/>
      </c>
      <c r="T17">
        <f>ROUND(O17*Premissas!$C$9/100,0)</f>
        <v/>
      </c>
      <c r="U17">
        <f>ROUND(AB17*Premissas!$C$33,0)</f>
        <v/>
      </c>
      <c r="V17">
        <f>Premissas!$C$37+ROUND(Premissas!$C$12*Premissas!$C$38+D17*Premissas!$C$27,0)</f>
        <v/>
      </c>
      <c r="W17">
        <f>Premissas!$C$39</f>
        <v/>
      </c>
      <c r="X17">
        <f>S17-T17-ROUND(Premissas!$C$12*Premissas!$C$38+D17*Premissas!$C$27,0)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Premissas!$C$32+(B17+C17)/Premissas!$C$34</f>
        <v/>
      </c>
      <c r="AC17">
        <f>D17+AC5*(1-Premissas!$C$26/12)^12</f>
        <v/>
      </c>
    </row>
    <row r="18">
      <c r="A18" t="n">
        <v>15</v>
      </c>
      <c r="B18">
        <f>B17*(1-Premissas!$C$18/12)+Premissas!$C$12</f>
        <v/>
      </c>
      <c r="C18">
        <f>IF($B$2=1,C17*(1-Premissas!$C$26/12)+D18,0)</f>
        <v/>
      </c>
      <c r="D18">
        <f>IF(AND($B$2=1,A18&gt;=Premissas!$C$23),Premissas!$C$22,0)</f>
        <v/>
      </c>
      <c r="E18">
        <f>B18*Premissas!$C$28</f>
        <v/>
      </c>
      <c r="F18">
        <f>B18*Premissas!$C$13/12*MIN(1,A18/Premissas!$C$17)</f>
        <v/>
      </c>
      <c r="G18">
        <f>F18*Premissas!$C$14</f>
        <v/>
      </c>
      <c r="H18">
        <f>IF(IF(A18-1-Premissas!$C$16&gt;=0,OFFSET($J$4,A18-1-Premissas!$C$16,0),0)&gt;0,ROUND(IF(A18-1-Premissas!$C$16&gt;=0,OFFSET($J$4,A18-1-Premissas!$C$16,0),0)*10000/Premissas!$C$5*Premissas!$C$15,0),0)</f>
        <v/>
      </c>
      <c r="I18">
        <f>ROUND(G18*Premissas!$C$6/10000,0)</f>
        <v/>
      </c>
      <c r="J18">
        <f>ROUND(G18*Premissas!$C$5/10000,0)</f>
        <v/>
      </c>
      <c r="K18">
        <f>IF(IF(A18-1-Premissas!$C$16&gt;=0,OFFSET($A$4,A18-1-Premissas!$C$16,0)&gt;=Premissas!$C$19,FALSE),ROUND(IF(A18-1-Premissas!$C$16&gt;=0,OFFSET($J$4,A18-1-Premissas!$C$16,0),0)*Premissas!$C$15,0),0)</f>
        <v/>
      </c>
      <c r="L18">
        <f>ROUND(C18*Premissas!$C$24/12,0)</f>
        <v/>
      </c>
      <c r="M18">
        <f>ROUND(D18*Premissas!$C$25,0)</f>
        <v/>
      </c>
      <c r="N18">
        <f>ROUND(E18*Premissas!$C$29+B18*Premissas!$C$30,0)</f>
        <v/>
      </c>
      <c r="O18">
        <f>K18+L18+M18+N18</f>
        <v/>
      </c>
      <c r="P18">
        <f>K18+ROUND(AC18*Premissas!$C$24,0)+M18+N18</f>
        <v/>
      </c>
      <c r="Q18">
        <f>ROUND(IF(A18-1-Premissas!$C$21&gt;=0,OFFSET($P$4,A18-1-Premissas!$C$21,0),0)*(1-Premissas!$C$20/100),0)</f>
        <v/>
      </c>
      <c r="R18">
        <f>ROUND(F18*Premissas!$C$11+N18*Premissas!$C$31/100,0)+ROUND((E18+B18)*Premissas!$C$10,0)+ROUND(Q18*Premissas!$C$8/100,0)+ROUND(Premissas!$C$35+(B18+C18)*Premissas!$C$36,0)</f>
        <v/>
      </c>
      <c r="S18">
        <f>O18-R18</f>
        <v/>
      </c>
      <c r="T18">
        <f>ROUND(O18*Premissas!$C$9/100,0)</f>
        <v/>
      </c>
      <c r="U18">
        <f>ROUND(AB18*Premissas!$C$33,0)</f>
        <v/>
      </c>
      <c r="V18">
        <f>Premissas!$C$37+ROUND(Premissas!$C$12*Premissas!$C$38+D18*Premissas!$C$27,0)</f>
        <v/>
      </c>
      <c r="W18">
        <f>Premissas!$C$39</f>
        <v/>
      </c>
      <c r="X18">
        <f>S18-T18-ROUND(Premissas!$C$12*Premissas!$C$38+D18*Premissas!$C$27,0)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Premissas!$C$32+(B18+C18)/Premissas!$C$34</f>
        <v/>
      </c>
      <c r="AC18">
        <f>D18+AC6*(1-Premissas!$C$26/12)^12</f>
        <v/>
      </c>
    </row>
    <row r="19">
      <c r="A19" t="n">
        <v>16</v>
      </c>
      <c r="B19">
        <f>B18*(1-Premissas!$C$18/12)+Premissas!$C$12</f>
        <v/>
      </c>
      <c r="C19">
        <f>IF($B$2=1,C18*(1-Premissas!$C$26/12)+D19,0)</f>
        <v/>
      </c>
      <c r="D19">
        <f>IF(AND($B$2=1,A19&gt;=Premissas!$C$23),Premissas!$C$22,0)</f>
        <v/>
      </c>
      <c r="E19">
        <f>B19*Premissas!$C$28</f>
        <v/>
      </c>
      <c r="F19">
        <f>B19*Premissas!$C$13/12*MIN(1,A19/Premissas!$C$17)</f>
        <v/>
      </c>
      <c r="G19">
        <f>F19*Premissas!$C$14</f>
        <v/>
      </c>
      <c r="H19">
        <f>IF(IF(A19-1-Premissas!$C$16&gt;=0,OFFSET($J$4,A19-1-Premissas!$C$16,0),0)&gt;0,ROUND(IF(A19-1-Premissas!$C$16&gt;=0,OFFSET($J$4,A19-1-Premissas!$C$16,0),0)*10000/Premissas!$C$5*Premissas!$C$15,0),0)</f>
        <v/>
      </c>
      <c r="I19">
        <f>ROUND(G19*Premissas!$C$6/10000,0)</f>
        <v/>
      </c>
      <c r="J19">
        <f>ROUND(G19*Premissas!$C$5/10000,0)</f>
        <v/>
      </c>
      <c r="K19">
        <f>IF(IF(A19-1-Premissas!$C$16&gt;=0,OFFSET($A$4,A19-1-Premissas!$C$16,0)&gt;=Premissas!$C$19,FALSE),ROUND(IF(A19-1-Premissas!$C$16&gt;=0,OFFSET($J$4,A19-1-Premissas!$C$16,0),0)*Premissas!$C$15,0),0)</f>
        <v/>
      </c>
      <c r="L19">
        <f>ROUND(C19*Premissas!$C$24/12,0)</f>
        <v/>
      </c>
      <c r="M19">
        <f>ROUND(D19*Premissas!$C$25,0)</f>
        <v/>
      </c>
      <c r="N19">
        <f>ROUND(E19*Premissas!$C$29+B19*Premissas!$C$30,0)</f>
        <v/>
      </c>
      <c r="O19">
        <f>K19+L19+M19+N19</f>
        <v/>
      </c>
      <c r="P19">
        <f>K19+ROUND(AC19*Premissas!$C$24,0)+M19+N19</f>
        <v/>
      </c>
      <c r="Q19">
        <f>ROUND(IF(A19-1-Premissas!$C$21&gt;=0,OFFSET($P$4,A19-1-Premissas!$C$21,0),0)*(1-Premissas!$C$20/100),0)</f>
        <v/>
      </c>
      <c r="R19">
        <f>ROUND(F19*Premissas!$C$11+N19*Premissas!$C$31/100,0)+ROUND((E19+B19)*Premissas!$C$10,0)+ROUND(Q19*Premissas!$C$8/100,0)+ROUND(Premissas!$C$35+(B19+C19)*Premissas!$C$36,0)</f>
        <v/>
      </c>
      <c r="S19">
        <f>O19-R19</f>
        <v/>
      </c>
      <c r="T19">
        <f>ROUND(O19*Premissas!$C$9/100,0)</f>
        <v/>
      </c>
      <c r="U19">
        <f>ROUND(AB19*Premissas!$C$33,0)</f>
        <v/>
      </c>
      <c r="V19">
        <f>Premissas!$C$37+ROUND(Premissas!$C$12*Premissas!$C$38+D19*Premissas!$C$27,0)</f>
        <v/>
      </c>
      <c r="W19">
        <f>Premissas!$C$39</f>
        <v/>
      </c>
      <c r="X19">
        <f>S19-T19-ROUND(Premissas!$C$12*Premissas!$C$38+D19*Premissas!$C$27,0)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Premissas!$C$32+(B19+C19)/Premissas!$C$34</f>
        <v/>
      </c>
      <c r="AC19">
        <f>D19+AC7*(1-Premissas!$C$26/12)^12</f>
        <v/>
      </c>
    </row>
    <row r="20">
      <c r="A20" t="n">
        <v>17</v>
      </c>
      <c r="B20">
        <f>B19*(1-Premissas!$C$18/12)+Premissas!$C$12</f>
        <v/>
      </c>
      <c r="C20">
        <f>IF($B$2=1,C19*(1-Premissas!$C$26/12)+D20,0)</f>
        <v/>
      </c>
      <c r="D20">
        <f>IF(AND($B$2=1,A20&gt;=Premissas!$C$23),Premissas!$C$22,0)</f>
        <v/>
      </c>
      <c r="E20">
        <f>B20*Premissas!$C$28</f>
        <v/>
      </c>
      <c r="F20">
        <f>B20*Premissas!$C$13/12*MIN(1,A20/Premissas!$C$17)</f>
        <v/>
      </c>
      <c r="G20">
        <f>F20*Premissas!$C$14</f>
        <v/>
      </c>
      <c r="H20">
        <f>IF(IF(A20-1-Premissas!$C$16&gt;=0,OFFSET($J$4,A20-1-Premissas!$C$16,0),0)&gt;0,ROUND(IF(A20-1-Premissas!$C$16&gt;=0,OFFSET($J$4,A20-1-Premissas!$C$16,0),0)*10000/Premissas!$C$5*Premissas!$C$15,0),0)</f>
        <v/>
      </c>
      <c r="I20">
        <f>ROUND(G20*Premissas!$C$6/10000,0)</f>
        <v/>
      </c>
      <c r="J20">
        <f>ROUND(G20*Premissas!$C$5/10000,0)</f>
        <v/>
      </c>
      <c r="K20">
        <f>IF(IF(A20-1-Premissas!$C$16&gt;=0,OFFSET($A$4,A20-1-Premissas!$C$16,0)&gt;=Premissas!$C$19,FALSE),ROUND(IF(A20-1-Premissas!$C$16&gt;=0,OFFSET($J$4,A20-1-Premissas!$C$16,0),0)*Premissas!$C$15,0),0)</f>
        <v/>
      </c>
      <c r="L20">
        <f>ROUND(C20*Premissas!$C$24/12,0)</f>
        <v/>
      </c>
      <c r="M20">
        <f>ROUND(D20*Premissas!$C$25,0)</f>
        <v/>
      </c>
      <c r="N20">
        <f>ROUND(E20*Premissas!$C$29+B20*Premissas!$C$30,0)</f>
        <v/>
      </c>
      <c r="O20">
        <f>K20+L20+M20+N20</f>
        <v/>
      </c>
      <c r="P20">
        <f>K20+ROUND(AC20*Premissas!$C$24,0)+M20+N20</f>
        <v/>
      </c>
      <c r="Q20">
        <f>ROUND(IF(A20-1-Premissas!$C$21&gt;=0,OFFSET($P$4,A20-1-Premissas!$C$21,0),0)*(1-Premissas!$C$20/100),0)</f>
        <v/>
      </c>
      <c r="R20">
        <f>ROUND(F20*Premissas!$C$11+N20*Premissas!$C$31/100,0)+ROUND((E20+B20)*Premissas!$C$10,0)+ROUND(Q20*Premissas!$C$8/100,0)+ROUND(Premissas!$C$35+(B20+C20)*Premissas!$C$36,0)</f>
        <v/>
      </c>
      <c r="S20">
        <f>O20-R20</f>
        <v/>
      </c>
      <c r="T20">
        <f>ROUND(O20*Premissas!$C$9/100,0)</f>
        <v/>
      </c>
      <c r="U20">
        <f>ROUND(AB20*Premissas!$C$33,0)</f>
        <v/>
      </c>
      <c r="V20">
        <f>Premissas!$C$37+ROUND(Premissas!$C$12*Premissas!$C$38+D20*Premissas!$C$27,0)</f>
        <v/>
      </c>
      <c r="W20">
        <f>Premissas!$C$39</f>
        <v/>
      </c>
      <c r="X20">
        <f>S20-T20-ROUND(Premissas!$C$12*Premissas!$C$38+D20*Premissas!$C$27,0)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Premissas!$C$32+(B20+C20)/Premissas!$C$34</f>
        <v/>
      </c>
      <c r="AC20">
        <f>D20+AC8*(1-Premissas!$C$26/12)^12</f>
        <v/>
      </c>
    </row>
    <row r="21">
      <c r="A21" t="n">
        <v>18</v>
      </c>
      <c r="B21">
        <f>B20*(1-Premissas!$C$18/12)+Premissas!$C$12</f>
        <v/>
      </c>
      <c r="C21">
        <f>IF($B$2=1,C20*(1-Premissas!$C$26/12)+D21,0)</f>
        <v/>
      </c>
      <c r="D21">
        <f>IF(AND($B$2=1,A21&gt;=Premissas!$C$23),Premissas!$C$22,0)</f>
        <v/>
      </c>
      <c r="E21">
        <f>B21*Premissas!$C$28</f>
        <v/>
      </c>
      <c r="F21">
        <f>B21*Premissas!$C$13/12*MIN(1,A21/Premissas!$C$17)</f>
        <v/>
      </c>
      <c r="G21">
        <f>F21*Premissas!$C$14</f>
        <v/>
      </c>
      <c r="H21">
        <f>IF(IF(A21-1-Premissas!$C$16&gt;=0,OFFSET($J$4,A21-1-Premissas!$C$16,0),0)&gt;0,ROUND(IF(A21-1-Premissas!$C$16&gt;=0,OFFSET($J$4,A21-1-Premissas!$C$16,0),0)*10000/Premissas!$C$5*Premissas!$C$15,0),0)</f>
        <v/>
      </c>
      <c r="I21">
        <f>ROUND(G21*Premissas!$C$6/10000,0)</f>
        <v/>
      </c>
      <c r="J21">
        <f>ROUND(G21*Premissas!$C$5/10000,0)</f>
        <v/>
      </c>
      <c r="K21">
        <f>IF(IF(A21-1-Premissas!$C$16&gt;=0,OFFSET($A$4,A21-1-Premissas!$C$16,0)&gt;=Premissas!$C$19,FALSE),ROUND(IF(A21-1-Premissas!$C$16&gt;=0,OFFSET($J$4,A21-1-Premissas!$C$16,0),0)*Premissas!$C$15,0),0)</f>
        <v/>
      </c>
      <c r="L21">
        <f>ROUND(C21*Premissas!$C$24/12,0)</f>
        <v/>
      </c>
      <c r="M21">
        <f>ROUND(D21*Premissas!$C$25,0)</f>
        <v/>
      </c>
      <c r="N21">
        <f>ROUND(E21*Premissas!$C$29+B21*Premissas!$C$30,0)</f>
        <v/>
      </c>
      <c r="O21">
        <f>K21+L21+M21+N21</f>
        <v/>
      </c>
      <c r="P21">
        <f>K21+ROUND(AC21*Premissas!$C$24,0)+M21+N21</f>
        <v/>
      </c>
      <c r="Q21">
        <f>ROUND(IF(A21-1-Premissas!$C$21&gt;=0,OFFSET($P$4,A21-1-Premissas!$C$21,0),0)*(1-Premissas!$C$20/100),0)</f>
        <v/>
      </c>
      <c r="R21">
        <f>ROUND(F21*Premissas!$C$11+N21*Premissas!$C$31/100,0)+ROUND((E21+B21)*Premissas!$C$10,0)+ROUND(Q21*Premissas!$C$8/100,0)+ROUND(Premissas!$C$35+(B21+C21)*Premissas!$C$36,0)</f>
        <v/>
      </c>
      <c r="S21">
        <f>O21-R21</f>
        <v/>
      </c>
      <c r="T21">
        <f>ROUND(O21*Premissas!$C$9/100,0)</f>
        <v/>
      </c>
      <c r="U21">
        <f>ROUND(AB21*Premissas!$C$33,0)</f>
        <v/>
      </c>
      <c r="V21">
        <f>Premissas!$C$37+ROUND(Premissas!$C$12*Premissas!$C$38+D21*Premissas!$C$27,0)</f>
        <v/>
      </c>
      <c r="W21">
        <f>Premissas!$C$39</f>
        <v/>
      </c>
      <c r="X21">
        <f>S21-T21-ROUND(Premissas!$C$12*Premissas!$C$38+D21*Premissas!$C$27,0)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Premissas!$C$32+(B21+C21)/Premissas!$C$34</f>
        <v/>
      </c>
      <c r="AC21">
        <f>D21+AC9*(1-Premissas!$C$26/12)^12</f>
        <v/>
      </c>
    </row>
    <row r="22">
      <c r="A22" t="n">
        <v>19</v>
      </c>
      <c r="B22">
        <f>B21*(1-Premissas!$C$18/12)+Premissas!$C$12</f>
        <v/>
      </c>
      <c r="C22">
        <f>IF($B$2=1,C21*(1-Premissas!$C$26/12)+D22,0)</f>
        <v/>
      </c>
      <c r="D22">
        <f>IF(AND($B$2=1,A22&gt;=Premissas!$C$23),Premissas!$C$22,0)</f>
        <v/>
      </c>
      <c r="E22">
        <f>B22*Premissas!$C$28</f>
        <v/>
      </c>
      <c r="F22">
        <f>B22*Premissas!$C$13/12*MIN(1,A22/Premissas!$C$17)</f>
        <v/>
      </c>
      <c r="G22">
        <f>F22*Premissas!$C$14</f>
        <v/>
      </c>
      <c r="H22">
        <f>IF(IF(A22-1-Premissas!$C$16&gt;=0,OFFSET($J$4,A22-1-Premissas!$C$16,0),0)&gt;0,ROUND(IF(A22-1-Premissas!$C$16&gt;=0,OFFSET($J$4,A22-1-Premissas!$C$16,0),0)*10000/Premissas!$C$5*Premissas!$C$15,0),0)</f>
        <v/>
      </c>
      <c r="I22">
        <f>ROUND(G22*Premissas!$C$6/10000,0)</f>
        <v/>
      </c>
      <c r="J22">
        <f>ROUND(G22*Premissas!$C$5/10000,0)</f>
        <v/>
      </c>
      <c r="K22">
        <f>IF(IF(A22-1-Premissas!$C$16&gt;=0,OFFSET($A$4,A22-1-Premissas!$C$16,0)&gt;=Premissas!$C$19,FALSE),ROUND(IF(A22-1-Premissas!$C$16&gt;=0,OFFSET($J$4,A22-1-Premissas!$C$16,0),0)*Premissas!$C$15,0),0)</f>
        <v/>
      </c>
      <c r="L22">
        <f>ROUND(C22*Premissas!$C$24/12,0)</f>
        <v/>
      </c>
      <c r="M22">
        <f>ROUND(D22*Premissas!$C$25,0)</f>
        <v/>
      </c>
      <c r="N22">
        <f>ROUND(E22*Premissas!$C$29+B22*Premissas!$C$30,0)</f>
        <v/>
      </c>
      <c r="O22">
        <f>K22+L22+M22+N22</f>
        <v/>
      </c>
      <c r="P22">
        <f>K22+ROUND(AC22*Premissas!$C$24,0)+M22+N22</f>
        <v/>
      </c>
      <c r="Q22">
        <f>ROUND(IF(A22-1-Premissas!$C$21&gt;=0,OFFSET($P$4,A22-1-Premissas!$C$21,0),0)*(1-Premissas!$C$20/100),0)</f>
        <v/>
      </c>
      <c r="R22">
        <f>ROUND(F22*Premissas!$C$11+N22*Premissas!$C$31/100,0)+ROUND((E22+B22)*Premissas!$C$10,0)+ROUND(Q22*Premissas!$C$8/100,0)+ROUND(Premissas!$C$35+(B22+C22)*Premissas!$C$36,0)</f>
        <v/>
      </c>
      <c r="S22">
        <f>O22-R22</f>
        <v/>
      </c>
      <c r="T22">
        <f>ROUND(O22*Premissas!$C$9/100,0)</f>
        <v/>
      </c>
      <c r="U22">
        <f>ROUND(AB22*Premissas!$C$33,0)</f>
        <v/>
      </c>
      <c r="V22">
        <f>Premissas!$C$37+ROUND(Premissas!$C$12*Premissas!$C$38+D22*Premissas!$C$27,0)</f>
        <v/>
      </c>
      <c r="W22">
        <f>Premissas!$C$39</f>
        <v/>
      </c>
      <c r="X22">
        <f>S22-T22-ROUND(Premissas!$C$12*Premissas!$C$38+D22*Premissas!$C$27,0)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Premissas!$C$32+(B22+C22)/Premissas!$C$34</f>
        <v/>
      </c>
      <c r="AC22">
        <f>D22+AC10*(1-Premissas!$C$26/12)^12</f>
        <v/>
      </c>
    </row>
    <row r="23">
      <c r="A23" t="n">
        <v>20</v>
      </c>
      <c r="B23">
        <f>B22*(1-Premissas!$C$18/12)+Premissas!$C$12</f>
        <v/>
      </c>
      <c r="C23">
        <f>IF($B$2=1,C22*(1-Premissas!$C$26/12)+D23,0)</f>
        <v/>
      </c>
      <c r="D23">
        <f>IF(AND($B$2=1,A23&gt;=Premissas!$C$23),Premissas!$C$22,0)</f>
        <v/>
      </c>
      <c r="E23">
        <f>B23*Premissas!$C$28</f>
        <v/>
      </c>
      <c r="F23">
        <f>B23*Premissas!$C$13/12*MIN(1,A23/Premissas!$C$17)</f>
        <v/>
      </c>
      <c r="G23">
        <f>F23*Premissas!$C$14</f>
        <v/>
      </c>
      <c r="H23">
        <f>IF(IF(A23-1-Premissas!$C$16&gt;=0,OFFSET($J$4,A23-1-Premissas!$C$16,0),0)&gt;0,ROUND(IF(A23-1-Premissas!$C$16&gt;=0,OFFSET($J$4,A23-1-Premissas!$C$16,0),0)*10000/Premissas!$C$5*Premissas!$C$15,0),0)</f>
        <v/>
      </c>
      <c r="I23">
        <f>ROUND(G23*Premissas!$C$6/10000,0)</f>
        <v/>
      </c>
      <c r="J23">
        <f>ROUND(G23*Premissas!$C$5/10000,0)</f>
        <v/>
      </c>
      <c r="K23">
        <f>IF(IF(A23-1-Premissas!$C$16&gt;=0,OFFSET($A$4,A23-1-Premissas!$C$16,0)&gt;=Premissas!$C$19,FALSE),ROUND(IF(A23-1-Premissas!$C$16&gt;=0,OFFSET($J$4,A23-1-Premissas!$C$16,0),0)*Premissas!$C$15,0),0)</f>
        <v/>
      </c>
      <c r="L23">
        <f>ROUND(C23*Premissas!$C$24/12,0)</f>
        <v/>
      </c>
      <c r="M23">
        <f>ROUND(D23*Premissas!$C$25,0)</f>
        <v/>
      </c>
      <c r="N23">
        <f>ROUND(E23*Premissas!$C$29+B23*Premissas!$C$30,0)</f>
        <v/>
      </c>
      <c r="O23">
        <f>K23+L23+M23+N23</f>
        <v/>
      </c>
      <c r="P23">
        <f>K23+ROUND(AC23*Premissas!$C$24,0)+M23+N23</f>
        <v/>
      </c>
      <c r="Q23">
        <f>ROUND(IF(A23-1-Premissas!$C$21&gt;=0,OFFSET($P$4,A23-1-Premissas!$C$21,0),0)*(1-Premissas!$C$20/100),0)</f>
        <v/>
      </c>
      <c r="R23">
        <f>ROUND(F23*Premissas!$C$11+N23*Premissas!$C$31/100,0)+ROUND((E23+B23)*Premissas!$C$10,0)+ROUND(Q23*Premissas!$C$8/100,0)+ROUND(Premissas!$C$35+(B23+C23)*Premissas!$C$36,0)</f>
        <v/>
      </c>
      <c r="S23">
        <f>O23-R23</f>
        <v/>
      </c>
      <c r="T23">
        <f>ROUND(O23*Premissas!$C$9/100,0)</f>
        <v/>
      </c>
      <c r="U23">
        <f>ROUND(AB23*Premissas!$C$33,0)</f>
        <v/>
      </c>
      <c r="V23">
        <f>Premissas!$C$37+ROUND(Premissas!$C$12*Premissas!$C$38+D23*Premissas!$C$27,0)</f>
        <v/>
      </c>
      <c r="W23">
        <f>Premissas!$C$39</f>
        <v/>
      </c>
      <c r="X23">
        <f>S23-T23-ROUND(Premissas!$C$12*Premissas!$C$38+D23*Premissas!$C$27,0)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Premissas!$C$32+(B23+C23)/Premissas!$C$34</f>
        <v/>
      </c>
      <c r="AC23">
        <f>D23+AC11*(1-Premissas!$C$26/12)^12</f>
        <v/>
      </c>
    </row>
    <row r="24">
      <c r="A24" t="n">
        <v>21</v>
      </c>
      <c r="B24">
        <f>B23*(1-Premissas!$C$18/12)+Premissas!$C$12</f>
        <v/>
      </c>
      <c r="C24">
        <f>IF($B$2=1,C23*(1-Premissas!$C$26/12)+D24,0)</f>
        <v/>
      </c>
      <c r="D24">
        <f>IF(AND($B$2=1,A24&gt;=Premissas!$C$23),Premissas!$C$22,0)</f>
        <v/>
      </c>
      <c r="E24">
        <f>B24*Premissas!$C$28</f>
        <v/>
      </c>
      <c r="F24">
        <f>B24*Premissas!$C$13/12*MIN(1,A24/Premissas!$C$17)</f>
        <v/>
      </c>
      <c r="G24">
        <f>F24*Premissas!$C$14</f>
        <v/>
      </c>
      <c r="H24">
        <f>IF(IF(A24-1-Premissas!$C$16&gt;=0,OFFSET($J$4,A24-1-Premissas!$C$16,0),0)&gt;0,ROUND(IF(A24-1-Premissas!$C$16&gt;=0,OFFSET($J$4,A24-1-Premissas!$C$16,0),0)*10000/Premissas!$C$5*Premissas!$C$15,0),0)</f>
        <v/>
      </c>
      <c r="I24">
        <f>ROUND(G24*Premissas!$C$6/10000,0)</f>
        <v/>
      </c>
      <c r="J24">
        <f>ROUND(G24*Premissas!$C$5/10000,0)</f>
        <v/>
      </c>
      <c r="K24">
        <f>IF(IF(A24-1-Premissas!$C$16&gt;=0,OFFSET($A$4,A24-1-Premissas!$C$16,0)&gt;=Premissas!$C$19,FALSE),ROUND(IF(A24-1-Premissas!$C$16&gt;=0,OFFSET($J$4,A24-1-Premissas!$C$16,0),0)*Premissas!$C$15,0),0)</f>
        <v/>
      </c>
      <c r="L24">
        <f>ROUND(C24*Premissas!$C$24/12,0)</f>
        <v/>
      </c>
      <c r="M24">
        <f>ROUND(D24*Premissas!$C$25,0)</f>
        <v/>
      </c>
      <c r="N24">
        <f>ROUND(E24*Premissas!$C$29+B24*Premissas!$C$30,0)</f>
        <v/>
      </c>
      <c r="O24">
        <f>K24+L24+M24+N24</f>
        <v/>
      </c>
      <c r="P24">
        <f>K24+ROUND(AC24*Premissas!$C$24,0)+M24+N24</f>
        <v/>
      </c>
      <c r="Q24">
        <f>ROUND(IF(A24-1-Premissas!$C$21&gt;=0,OFFSET($P$4,A24-1-Premissas!$C$21,0),0)*(1-Premissas!$C$20/100),0)</f>
        <v/>
      </c>
      <c r="R24">
        <f>ROUND(F24*Premissas!$C$11+N24*Premissas!$C$31/100,0)+ROUND((E24+B24)*Premissas!$C$10,0)+ROUND(Q24*Premissas!$C$8/100,0)+ROUND(Premissas!$C$35+(B24+C24)*Premissas!$C$36,0)</f>
        <v/>
      </c>
      <c r="S24">
        <f>O24-R24</f>
        <v/>
      </c>
      <c r="T24">
        <f>ROUND(O24*Premissas!$C$9/100,0)</f>
        <v/>
      </c>
      <c r="U24">
        <f>ROUND(AB24*Premissas!$C$33,0)</f>
        <v/>
      </c>
      <c r="V24">
        <f>Premissas!$C$37+ROUND(Premissas!$C$12*Premissas!$C$38+D24*Premissas!$C$27,0)</f>
        <v/>
      </c>
      <c r="W24">
        <f>Premissas!$C$39</f>
        <v/>
      </c>
      <c r="X24">
        <f>S24-T24-ROUND(Premissas!$C$12*Premissas!$C$38+D24*Premissas!$C$27,0)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Premissas!$C$32+(B24+C24)/Premissas!$C$34</f>
        <v/>
      </c>
      <c r="AC24">
        <f>D24+AC12*(1-Premissas!$C$26/12)^12</f>
        <v/>
      </c>
    </row>
    <row r="25">
      <c r="A25" t="n">
        <v>22</v>
      </c>
      <c r="B25">
        <f>B24*(1-Premissas!$C$18/12)+Premissas!$C$12</f>
        <v/>
      </c>
      <c r="C25">
        <f>IF($B$2=1,C24*(1-Premissas!$C$26/12)+D25,0)</f>
        <v/>
      </c>
      <c r="D25">
        <f>IF(AND($B$2=1,A25&gt;=Premissas!$C$23),Premissas!$C$22,0)</f>
        <v/>
      </c>
      <c r="E25">
        <f>B25*Premissas!$C$28</f>
        <v/>
      </c>
      <c r="F25">
        <f>B25*Premissas!$C$13/12*MIN(1,A25/Premissas!$C$17)</f>
        <v/>
      </c>
      <c r="G25">
        <f>F25*Premissas!$C$14</f>
        <v/>
      </c>
      <c r="H25">
        <f>IF(IF(A25-1-Premissas!$C$16&gt;=0,OFFSET($J$4,A25-1-Premissas!$C$16,0),0)&gt;0,ROUND(IF(A25-1-Premissas!$C$16&gt;=0,OFFSET($J$4,A25-1-Premissas!$C$16,0),0)*10000/Premissas!$C$5*Premissas!$C$15,0),0)</f>
        <v/>
      </c>
      <c r="I25">
        <f>ROUND(G25*Premissas!$C$6/10000,0)</f>
        <v/>
      </c>
      <c r="J25">
        <f>ROUND(G25*Premissas!$C$5/10000,0)</f>
        <v/>
      </c>
      <c r="K25">
        <f>IF(IF(A25-1-Premissas!$C$16&gt;=0,OFFSET($A$4,A25-1-Premissas!$C$16,0)&gt;=Premissas!$C$19,FALSE),ROUND(IF(A25-1-Premissas!$C$16&gt;=0,OFFSET($J$4,A25-1-Premissas!$C$16,0),0)*Premissas!$C$15,0),0)</f>
        <v/>
      </c>
      <c r="L25">
        <f>ROUND(C25*Premissas!$C$24/12,0)</f>
        <v/>
      </c>
      <c r="M25">
        <f>ROUND(D25*Premissas!$C$25,0)</f>
        <v/>
      </c>
      <c r="N25">
        <f>ROUND(E25*Premissas!$C$29+B25*Premissas!$C$30,0)</f>
        <v/>
      </c>
      <c r="O25">
        <f>K25+L25+M25+N25</f>
        <v/>
      </c>
      <c r="P25">
        <f>K25+ROUND(AC25*Premissas!$C$24,0)+M25+N25</f>
        <v/>
      </c>
      <c r="Q25">
        <f>ROUND(IF(A25-1-Premissas!$C$21&gt;=0,OFFSET($P$4,A25-1-Premissas!$C$21,0),0)*(1-Premissas!$C$20/100),0)</f>
        <v/>
      </c>
      <c r="R25">
        <f>ROUND(F25*Premissas!$C$11+N25*Premissas!$C$31/100,0)+ROUND((E25+B25)*Premissas!$C$10,0)+ROUND(Q25*Premissas!$C$8/100,0)+ROUND(Premissas!$C$35+(B25+C25)*Premissas!$C$36,0)</f>
        <v/>
      </c>
      <c r="S25">
        <f>O25-R25</f>
        <v/>
      </c>
      <c r="T25">
        <f>ROUND(O25*Premissas!$C$9/100,0)</f>
        <v/>
      </c>
      <c r="U25">
        <f>ROUND(AB25*Premissas!$C$33,0)</f>
        <v/>
      </c>
      <c r="V25">
        <f>Premissas!$C$37+ROUND(Premissas!$C$12*Premissas!$C$38+D25*Premissas!$C$27,0)</f>
        <v/>
      </c>
      <c r="W25">
        <f>Premissas!$C$39</f>
        <v/>
      </c>
      <c r="X25">
        <f>S25-T25-ROUND(Premissas!$C$12*Premissas!$C$38+D25*Premissas!$C$27,0)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Premissas!$C$32+(B25+C25)/Premissas!$C$34</f>
        <v/>
      </c>
      <c r="AC25">
        <f>D25+AC13*(1-Premissas!$C$26/12)^12</f>
        <v/>
      </c>
    </row>
    <row r="26">
      <c r="A26" t="n">
        <v>23</v>
      </c>
      <c r="B26">
        <f>B25*(1-Premissas!$C$18/12)+Premissas!$C$12</f>
        <v/>
      </c>
      <c r="C26">
        <f>IF($B$2=1,C25*(1-Premissas!$C$26/12)+D26,0)</f>
        <v/>
      </c>
      <c r="D26">
        <f>IF(AND($B$2=1,A26&gt;=Premissas!$C$23),Premissas!$C$22,0)</f>
        <v/>
      </c>
      <c r="E26">
        <f>B26*Premissas!$C$28</f>
        <v/>
      </c>
      <c r="F26">
        <f>B26*Premissas!$C$13/12*MIN(1,A26/Premissas!$C$17)</f>
        <v/>
      </c>
      <c r="G26">
        <f>F26*Premissas!$C$14</f>
        <v/>
      </c>
      <c r="H26">
        <f>IF(IF(A26-1-Premissas!$C$16&gt;=0,OFFSET($J$4,A26-1-Premissas!$C$16,0),0)&gt;0,ROUND(IF(A26-1-Premissas!$C$16&gt;=0,OFFSET($J$4,A26-1-Premissas!$C$16,0),0)*10000/Premissas!$C$5*Premissas!$C$15,0),0)</f>
        <v/>
      </c>
      <c r="I26">
        <f>ROUND(G26*Premissas!$C$6/10000,0)</f>
        <v/>
      </c>
      <c r="J26">
        <f>ROUND(G26*Premissas!$C$5/10000,0)</f>
        <v/>
      </c>
      <c r="K26">
        <f>IF(IF(A26-1-Premissas!$C$16&gt;=0,OFFSET($A$4,A26-1-Premissas!$C$16,0)&gt;=Premissas!$C$19,FALSE),ROUND(IF(A26-1-Premissas!$C$16&gt;=0,OFFSET($J$4,A26-1-Premissas!$C$16,0),0)*Premissas!$C$15,0),0)</f>
        <v/>
      </c>
      <c r="L26">
        <f>ROUND(C26*Premissas!$C$24/12,0)</f>
        <v/>
      </c>
      <c r="M26">
        <f>ROUND(D26*Premissas!$C$25,0)</f>
        <v/>
      </c>
      <c r="N26">
        <f>ROUND(E26*Premissas!$C$29+B26*Premissas!$C$30,0)</f>
        <v/>
      </c>
      <c r="O26">
        <f>K26+L26+M26+N26</f>
        <v/>
      </c>
      <c r="P26">
        <f>K26+ROUND(AC26*Premissas!$C$24,0)+M26+N26</f>
        <v/>
      </c>
      <c r="Q26">
        <f>ROUND(IF(A26-1-Premissas!$C$21&gt;=0,OFFSET($P$4,A26-1-Premissas!$C$21,0),0)*(1-Premissas!$C$20/100),0)</f>
        <v/>
      </c>
      <c r="R26">
        <f>ROUND(F26*Premissas!$C$11+N26*Premissas!$C$31/100,0)+ROUND((E26+B26)*Premissas!$C$10,0)+ROUND(Q26*Premissas!$C$8/100,0)+ROUND(Premissas!$C$35+(B26+C26)*Premissas!$C$36,0)</f>
        <v/>
      </c>
      <c r="S26">
        <f>O26-R26</f>
        <v/>
      </c>
      <c r="T26">
        <f>ROUND(O26*Premissas!$C$9/100,0)</f>
        <v/>
      </c>
      <c r="U26">
        <f>ROUND(AB26*Premissas!$C$33,0)</f>
        <v/>
      </c>
      <c r="V26">
        <f>Premissas!$C$37+ROUND(Premissas!$C$12*Premissas!$C$38+D26*Premissas!$C$27,0)</f>
        <v/>
      </c>
      <c r="W26">
        <f>Premissas!$C$39</f>
        <v/>
      </c>
      <c r="X26">
        <f>S26-T26-ROUND(Premissas!$C$12*Premissas!$C$38+D26*Premissas!$C$27,0)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Premissas!$C$32+(B26+C26)/Premissas!$C$34</f>
        <v/>
      </c>
      <c r="AC26">
        <f>D26+AC14*(1-Premissas!$C$26/12)^12</f>
        <v/>
      </c>
    </row>
    <row r="27">
      <c r="A27" t="n">
        <v>24</v>
      </c>
      <c r="B27">
        <f>B26*(1-Premissas!$C$18/12)+Premissas!$C$12</f>
        <v/>
      </c>
      <c r="C27">
        <f>IF($B$2=1,C26*(1-Premissas!$C$26/12)+D27,0)</f>
        <v/>
      </c>
      <c r="D27">
        <f>IF(AND($B$2=1,A27&gt;=Premissas!$C$23),Premissas!$C$22,0)</f>
        <v/>
      </c>
      <c r="E27">
        <f>B27*Premissas!$C$28</f>
        <v/>
      </c>
      <c r="F27">
        <f>B27*Premissas!$C$13/12*MIN(1,A27/Premissas!$C$17)</f>
        <v/>
      </c>
      <c r="G27">
        <f>F27*Premissas!$C$14</f>
        <v/>
      </c>
      <c r="H27">
        <f>IF(IF(A27-1-Premissas!$C$16&gt;=0,OFFSET($J$4,A27-1-Premissas!$C$16,0),0)&gt;0,ROUND(IF(A27-1-Premissas!$C$16&gt;=0,OFFSET($J$4,A27-1-Premissas!$C$16,0),0)*10000/Premissas!$C$5*Premissas!$C$15,0),0)</f>
        <v/>
      </c>
      <c r="I27">
        <f>ROUND(G27*Premissas!$C$6/10000,0)</f>
        <v/>
      </c>
      <c r="J27">
        <f>ROUND(G27*Premissas!$C$5/10000,0)</f>
        <v/>
      </c>
      <c r="K27">
        <f>IF(IF(A27-1-Premissas!$C$16&gt;=0,OFFSET($A$4,A27-1-Premissas!$C$16,0)&gt;=Premissas!$C$19,FALSE),ROUND(IF(A27-1-Premissas!$C$16&gt;=0,OFFSET($J$4,A27-1-Premissas!$C$16,0),0)*Premissas!$C$15,0),0)</f>
        <v/>
      </c>
      <c r="L27">
        <f>ROUND(C27*Premissas!$C$24/12,0)</f>
        <v/>
      </c>
      <c r="M27">
        <f>ROUND(D27*Premissas!$C$25,0)</f>
        <v/>
      </c>
      <c r="N27">
        <f>ROUND(E27*Premissas!$C$29+B27*Premissas!$C$30,0)</f>
        <v/>
      </c>
      <c r="O27">
        <f>K27+L27+M27+N27</f>
        <v/>
      </c>
      <c r="P27">
        <f>K27+ROUND(AC27*Premissas!$C$24,0)+M27+N27</f>
        <v/>
      </c>
      <c r="Q27">
        <f>ROUND(IF(A27-1-Premissas!$C$21&gt;=0,OFFSET($P$4,A27-1-Premissas!$C$21,0),0)*(1-Premissas!$C$20/100),0)</f>
        <v/>
      </c>
      <c r="R27">
        <f>ROUND(F27*Premissas!$C$11+N27*Premissas!$C$31/100,0)+ROUND((E27+B27)*Premissas!$C$10,0)+ROUND(Q27*Premissas!$C$8/100,0)+ROUND(Premissas!$C$35+(B27+C27)*Premissas!$C$36,0)</f>
        <v/>
      </c>
      <c r="S27">
        <f>O27-R27</f>
        <v/>
      </c>
      <c r="T27">
        <f>ROUND(O27*Premissas!$C$9/100,0)</f>
        <v/>
      </c>
      <c r="U27">
        <f>ROUND(AB27*Premissas!$C$33,0)</f>
        <v/>
      </c>
      <c r="V27">
        <f>Premissas!$C$37+ROUND(Premissas!$C$12*Premissas!$C$38+D27*Premissas!$C$27,0)</f>
        <v/>
      </c>
      <c r="W27">
        <f>Premissas!$C$39</f>
        <v/>
      </c>
      <c r="X27">
        <f>S27-T27-ROUND(Premissas!$C$12*Premissas!$C$38+D27*Premissas!$C$27,0)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Premissas!$C$32+(B27+C27)/Premissas!$C$34</f>
        <v/>
      </c>
      <c r="AC27">
        <f>D27+AC15*(1-Premissas!$C$26/12)^12</f>
        <v/>
      </c>
    </row>
    <row r="28">
      <c r="A28" t="n">
        <v>25</v>
      </c>
      <c r="B28">
        <f>B27*(1-Premissas!$C$18/12)+Premissas!$C$12</f>
        <v/>
      </c>
      <c r="C28">
        <f>IF($B$2=1,C27*(1-Premissas!$C$26/12)+D28,0)</f>
        <v/>
      </c>
      <c r="D28">
        <f>IF(AND($B$2=1,A28&gt;=Premissas!$C$23),Premissas!$C$22,0)</f>
        <v/>
      </c>
      <c r="E28">
        <f>B28*Premissas!$C$28</f>
        <v/>
      </c>
      <c r="F28">
        <f>B28*Premissas!$C$13/12*MIN(1,A28/Premissas!$C$17)</f>
        <v/>
      </c>
      <c r="G28">
        <f>F28*Premissas!$C$14</f>
        <v/>
      </c>
      <c r="H28">
        <f>IF(IF(A28-1-Premissas!$C$16&gt;=0,OFFSET($J$4,A28-1-Premissas!$C$16,0),0)&gt;0,ROUND(IF(A28-1-Premissas!$C$16&gt;=0,OFFSET($J$4,A28-1-Premissas!$C$16,0),0)*10000/Premissas!$C$5*Premissas!$C$15,0),0)</f>
        <v/>
      </c>
      <c r="I28">
        <f>ROUND(G28*Premissas!$C$6/10000,0)</f>
        <v/>
      </c>
      <c r="J28">
        <f>ROUND(G28*Premissas!$C$5/10000,0)</f>
        <v/>
      </c>
      <c r="K28">
        <f>IF(IF(A28-1-Premissas!$C$16&gt;=0,OFFSET($A$4,A28-1-Premissas!$C$16,0)&gt;=Premissas!$C$19,FALSE),ROUND(IF(A28-1-Premissas!$C$16&gt;=0,OFFSET($J$4,A28-1-Premissas!$C$16,0),0)*Premissas!$C$15,0),0)</f>
        <v/>
      </c>
      <c r="L28">
        <f>ROUND(C28*Premissas!$C$24/12,0)</f>
        <v/>
      </c>
      <c r="M28">
        <f>ROUND(D28*Premissas!$C$25,0)</f>
        <v/>
      </c>
      <c r="N28">
        <f>ROUND(E28*Premissas!$C$29+B28*Premissas!$C$30,0)</f>
        <v/>
      </c>
      <c r="O28">
        <f>K28+L28+M28+N28</f>
        <v/>
      </c>
      <c r="P28">
        <f>K28+ROUND(AC28*Premissas!$C$24,0)+M28+N28</f>
        <v/>
      </c>
      <c r="Q28">
        <f>ROUND(IF(A28-1-Premissas!$C$21&gt;=0,OFFSET($P$4,A28-1-Premissas!$C$21,0),0)*(1-Premissas!$C$20/100),0)</f>
        <v/>
      </c>
      <c r="R28">
        <f>ROUND(F28*Premissas!$C$11+N28*Premissas!$C$31/100,0)+ROUND((E28+B28)*Premissas!$C$10,0)+ROUND(Q28*Premissas!$C$8/100,0)+ROUND(Premissas!$C$35+(B28+C28)*Premissas!$C$36,0)</f>
        <v/>
      </c>
      <c r="S28">
        <f>O28-R28</f>
        <v/>
      </c>
      <c r="T28">
        <f>ROUND(O28*Premissas!$C$9/100,0)</f>
        <v/>
      </c>
      <c r="U28">
        <f>ROUND(AB28*Premissas!$C$33,0)</f>
        <v/>
      </c>
      <c r="V28">
        <f>Premissas!$C$37+ROUND(Premissas!$C$12*Premissas!$C$38+D28*Premissas!$C$27,0)</f>
        <v/>
      </c>
      <c r="W28">
        <f>Premissas!$C$39</f>
        <v/>
      </c>
      <c r="X28">
        <f>S28-T28-ROUND(Premissas!$C$12*Premissas!$C$38+D28*Premissas!$C$27,0)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Premissas!$C$32+(B28+C28)/Premissas!$C$34</f>
        <v/>
      </c>
      <c r="AC28">
        <f>D28+AC16*(1-Premissas!$C$26/12)^12</f>
        <v/>
      </c>
    </row>
    <row r="29">
      <c r="A29" t="n">
        <v>26</v>
      </c>
      <c r="B29">
        <f>B28*(1-Premissas!$C$18/12)+Premissas!$C$12</f>
        <v/>
      </c>
      <c r="C29">
        <f>IF($B$2=1,C28*(1-Premissas!$C$26/12)+D29,0)</f>
        <v/>
      </c>
      <c r="D29">
        <f>IF(AND($B$2=1,A29&gt;=Premissas!$C$23),Premissas!$C$22,0)</f>
        <v/>
      </c>
      <c r="E29">
        <f>B29*Premissas!$C$28</f>
        <v/>
      </c>
      <c r="F29">
        <f>B29*Premissas!$C$13/12*MIN(1,A29/Premissas!$C$17)</f>
        <v/>
      </c>
      <c r="G29">
        <f>F29*Premissas!$C$14</f>
        <v/>
      </c>
      <c r="H29">
        <f>IF(IF(A29-1-Premissas!$C$16&gt;=0,OFFSET($J$4,A29-1-Premissas!$C$16,0),0)&gt;0,ROUND(IF(A29-1-Premissas!$C$16&gt;=0,OFFSET($J$4,A29-1-Premissas!$C$16,0),0)*10000/Premissas!$C$5*Premissas!$C$15,0),0)</f>
        <v/>
      </c>
      <c r="I29">
        <f>ROUND(G29*Premissas!$C$6/10000,0)</f>
        <v/>
      </c>
      <c r="J29">
        <f>ROUND(G29*Premissas!$C$5/10000,0)</f>
        <v/>
      </c>
      <c r="K29">
        <f>IF(IF(A29-1-Premissas!$C$16&gt;=0,OFFSET($A$4,A29-1-Premissas!$C$16,0)&gt;=Premissas!$C$19,FALSE),ROUND(IF(A29-1-Premissas!$C$16&gt;=0,OFFSET($J$4,A29-1-Premissas!$C$16,0),0)*Premissas!$C$15,0),0)</f>
        <v/>
      </c>
      <c r="L29">
        <f>ROUND(C29*Premissas!$C$24/12,0)</f>
        <v/>
      </c>
      <c r="M29">
        <f>ROUND(D29*Premissas!$C$25,0)</f>
        <v/>
      </c>
      <c r="N29">
        <f>ROUND(E29*Premissas!$C$29+B29*Premissas!$C$30,0)</f>
        <v/>
      </c>
      <c r="O29">
        <f>K29+L29+M29+N29</f>
        <v/>
      </c>
      <c r="P29">
        <f>K29+ROUND(AC29*Premissas!$C$24,0)+M29+N29</f>
        <v/>
      </c>
      <c r="Q29">
        <f>ROUND(IF(A29-1-Premissas!$C$21&gt;=0,OFFSET($P$4,A29-1-Premissas!$C$21,0),0)*(1-Premissas!$C$20/100),0)</f>
        <v/>
      </c>
      <c r="R29">
        <f>ROUND(F29*Premissas!$C$11+N29*Premissas!$C$31/100,0)+ROUND((E29+B29)*Premissas!$C$10,0)+ROUND(Q29*Premissas!$C$8/100,0)+ROUND(Premissas!$C$35+(B29+C29)*Premissas!$C$36,0)</f>
        <v/>
      </c>
      <c r="S29">
        <f>O29-R29</f>
        <v/>
      </c>
      <c r="T29">
        <f>ROUND(O29*Premissas!$C$9/100,0)</f>
        <v/>
      </c>
      <c r="U29">
        <f>ROUND(AB29*Premissas!$C$33,0)</f>
        <v/>
      </c>
      <c r="V29">
        <f>Premissas!$C$37+ROUND(Premissas!$C$12*Premissas!$C$38+D29*Premissas!$C$27,0)</f>
        <v/>
      </c>
      <c r="W29">
        <f>Premissas!$C$39</f>
        <v/>
      </c>
      <c r="X29">
        <f>S29-T29-ROUND(Premissas!$C$12*Premissas!$C$38+D29*Premissas!$C$27,0)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Premissas!$C$32+(B29+C29)/Premissas!$C$34</f>
        <v/>
      </c>
      <c r="AC29">
        <f>D29+AC17*(1-Premissas!$C$26/12)^12</f>
        <v/>
      </c>
    </row>
    <row r="30">
      <c r="A30" t="n">
        <v>27</v>
      </c>
      <c r="B30">
        <f>B29*(1-Premissas!$C$18/12)+Premissas!$C$12</f>
        <v/>
      </c>
      <c r="C30">
        <f>IF($B$2=1,C29*(1-Premissas!$C$26/12)+D30,0)</f>
        <v/>
      </c>
      <c r="D30">
        <f>IF(AND($B$2=1,A30&gt;=Premissas!$C$23),Premissas!$C$22,0)</f>
        <v/>
      </c>
      <c r="E30">
        <f>B30*Premissas!$C$28</f>
        <v/>
      </c>
      <c r="F30">
        <f>B30*Premissas!$C$13/12*MIN(1,A30/Premissas!$C$17)</f>
        <v/>
      </c>
      <c r="G30">
        <f>F30*Premissas!$C$14</f>
        <v/>
      </c>
      <c r="H30">
        <f>IF(IF(A30-1-Premissas!$C$16&gt;=0,OFFSET($J$4,A30-1-Premissas!$C$16,0),0)&gt;0,ROUND(IF(A30-1-Premissas!$C$16&gt;=0,OFFSET($J$4,A30-1-Premissas!$C$16,0),0)*10000/Premissas!$C$5*Premissas!$C$15,0),0)</f>
        <v/>
      </c>
      <c r="I30">
        <f>ROUND(G30*Premissas!$C$6/10000,0)</f>
        <v/>
      </c>
      <c r="J30">
        <f>ROUND(G30*Premissas!$C$5/10000,0)</f>
        <v/>
      </c>
      <c r="K30">
        <f>IF(IF(A30-1-Premissas!$C$16&gt;=0,OFFSET($A$4,A30-1-Premissas!$C$16,0)&gt;=Premissas!$C$19,FALSE),ROUND(IF(A30-1-Premissas!$C$16&gt;=0,OFFSET($J$4,A30-1-Premissas!$C$16,0),0)*Premissas!$C$15,0),0)</f>
        <v/>
      </c>
      <c r="L30">
        <f>ROUND(C30*Premissas!$C$24/12,0)</f>
        <v/>
      </c>
      <c r="M30">
        <f>ROUND(D30*Premissas!$C$25,0)</f>
        <v/>
      </c>
      <c r="N30">
        <f>ROUND(E30*Premissas!$C$29+B30*Premissas!$C$30,0)</f>
        <v/>
      </c>
      <c r="O30">
        <f>K30+L30+M30+N30</f>
        <v/>
      </c>
      <c r="P30">
        <f>K30+ROUND(AC30*Premissas!$C$24,0)+M30+N30</f>
        <v/>
      </c>
      <c r="Q30">
        <f>ROUND(IF(A30-1-Premissas!$C$21&gt;=0,OFFSET($P$4,A30-1-Premissas!$C$21,0),0)*(1-Premissas!$C$20/100),0)</f>
        <v/>
      </c>
      <c r="R30">
        <f>ROUND(F30*Premissas!$C$11+N30*Premissas!$C$31/100,0)+ROUND((E30+B30)*Premissas!$C$10,0)+ROUND(Q30*Premissas!$C$8/100,0)+ROUND(Premissas!$C$35+(B30+C30)*Premissas!$C$36,0)</f>
        <v/>
      </c>
      <c r="S30">
        <f>O30-R30</f>
        <v/>
      </c>
      <c r="T30">
        <f>ROUND(O30*Premissas!$C$9/100,0)</f>
        <v/>
      </c>
      <c r="U30">
        <f>ROUND(AB30*Premissas!$C$33,0)</f>
        <v/>
      </c>
      <c r="V30">
        <f>Premissas!$C$37+ROUND(Premissas!$C$12*Premissas!$C$38+D30*Premissas!$C$27,0)</f>
        <v/>
      </c>
      <c r="W30">
        <f>Premissas!$C$39</f>
        <v/>
      </c>
      <c r="X30">
        <f>S30-T30-ROUND(Premissas!$C$12*Premissas!$C$38+D30*Premissas!$C$27,0)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Premissas!$C$32+(B30+C30)/Premissas!$C$34</f>
        <v/>
      </c>
      <c r="AC30">
        <f>D30+AC18*(1-Premissas!$C$26/12)^12</f>
        <v/>
      </c>
    </row>
    <row r="31">
      <c r="A31" t="n">
        <v>28</v>
      </c>
      <c r="B31">
        <f>B30*(1-Premissas!$C$18/12)+Premissas!$C$12</f>
        <v/>
      </c>
      <c r="C31">
        <f>IF($B$2=1,C30*(1-Premissas!$C$26/12)+D31,0)</f>
        <v/>
      </c>
      <c r="D31">
        <f>IF(AND($B$2=1,A31&gt;=Premissas!$C$23),Premissas!$C$22,0)</f>
        <v/>
      </c>
      <c r="E31">
        <f>B31*Premissas!$C$28</f>
        <v/>
      </c>
      <c r="F31">
        <f>B31*Premissas!$C$13/12*MIN(1,A31/Premissas!$C$17)</f>
        <v/>
      </c>
      <c r="G31">
        <f>F31*Premissas!$C$14</f>
        <v/>
      </c>
      <c r="H31">
        <f>IF(IF(A31-1-Premissas!$C$16&gt;=0,OFFSET($J$4,A31-1-Premissas!$C$16,0),0)&gt;0,ROUND(IF(A31-1-Premissas!$C$16&gt;=0,OFFSET($J$4,A31-1-Premissas!$C$16,0),0)*10000/Premissas!$C$5*Premissas!$C$15,0),0)</f>
        <v/>
      </c>
      <c r="I31">
        <f>ROUND(G31*Premissas!$C$6/10000,0)</f>
        <v/>
      </c>
      <c r="J31">
        <f>ROUND(G31*Premissas!$C$5/10000,0)</f>
        <v/>
      </c>
      <c r="K31">
        <f>IF(IF(A31-1-Premissas!$C$16&gt;=0,OFFSET($A$4,A31-1-Premissas!$C$16,0)&gt;=Premissas!$C$19,FALSE),ROUND(IF(A31-1-Premissas!$C$16&gt;=0,OFFSET($J$4,A31-1-Premissas!$C$16,0),0)*Premissas!$C$15,0),0)</f>
        <v/>
      </c>
      <c r="L31">
        <f>ROUND(C31*Premissas!$C$24/12,0)</f>
        <v/>
      </c>
      <c r="M31">
        <f>ROUND(D31*Premissas!$C$25,0)</f>
        <v/>
      </c>
      <c r="N31">
        <f>ROUND(E31*Premissas!$C$29+B31*Premissas!$C$30,0)</f>
        <v/>
      </c>
      <c r="O31">
        <f>K31+L31+M31+N31</f>
        <v/>
      </c>
      <c r="P31">
        <f>K31+ROUND(AC31*Premissas!$C$24,0)+M31+N31</f>
        <v/>
      </c>
      <c r="Q31">
        <f>ROUND(IF(A31-1-Premissas!$C$21&gt;=0,OFFSET($P$4,A31-1-Premissas!$C$21,0),0)*(1-Premissas!$C$20/100),0)</f>
        <v/>
      </c>
      <c r="R31">
        <f>ROUND(F31*Premissas!$C$11+N31*Premissas!$C$31/100,0)+ROUND((E31+B31)*Premissas!$C$10,0)+ROUND(Q31*Premissas!$C$8/100,0)+ROUND(Premissas!$C$35+(B31+C31)*Premissas!$C$36,0)</f>
        <v/>
      </c>
      <c r="S31">
        <f>O31-R31</f>
        <v/>
      </c>
      <c r="T31">
        <f>ROUND(O31*Premissas!$C$9/100,0)</f>
        <v/>
      </c>
      <c r="U31">
        <f>ROUND(AB31*Premissas!$C$33,0)</f>
        <v/>
      </c>
      <c r="V31">
        <f>Premissas!$C$37+ROUND(Premissas!$C$12*Premissas!$C$38+D31*Premissas!$C$27,0)</f>
        <v/>
      </c>
      <c r="W31">
        <f>Premissas!$C$39</f>
        <v/>
      </c>
      <c r="X31">
        <f>S31-T31-ROUND(Premissas!$C$12*Premissas!$C$38+D31*Premissas!$C$27,0)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Premissas!$C$32+(B31+C31)/Premissas!$C$34</f>
        <v/>
      </c>
      <c r="AC31">
        <f>D31+AC19*(1-Premissas!$C$26/12)^12</f>
        <v/>
      </c>
    </row>
    <row r="32">
      <c r="A32" t="n">
        <v>29</v>
      </c>
      <c r="B32">
        <f>B31*(1-Premissas!$C$18/12)+Premissas!$C$12</f>
        <v/>
      </c>
      <c r="C32">
        <f>IF($B$2=1,C31*(1-Premissas!$C$26/12)+D32,0)</f>
        <v/>
      </c>
      <c r="D32">
        <f>IF(AND($B$2=1,A32&gt;=Premissas!$C$23),Premissas!$C$22,0)</f>
        <v/>
      </c>
      <c r="E32">
        <f>B32*Premissas!$C$28</f>
        <v/>
      </c>
      <c r="F32">
        <f>B32*Premissas!$C$13/12*MIN(1,A32/Premissas!$C$17)</f>
        <v/>
      </c>
      <c r="G32">
        <f>F32*Premissas!$C$14</f>
        <v/>
      </c>
      <c r="H32">
        <f>IF(IF(A32-1-Premissas!$C$16&gt;=0,OFFSET($J$4,A32-1-Premissas!$C$16,0),0)&gt;0,ROUND(IF(A32-1-Premissas!$C$16&gt;=0,OFFSET($J$4,A32-1-Premissas!$C$16,0),0)*10000/Premissas!$C$5*Premissas!$C$15,0),0)</f>
        <v/>
      </c>
      <c r="I32">
        <f>ROUND(G32*Premissas!$C$6/10000,0)</f>
        <v/>
      </c>
      <c r="J32">
        <f>ROUND(G32*Premissas!$C$5/10000,0)</f>
        <v/>
      </c>
      <c r="K32">
        <f>IF(IF(A32-1-Premissas!$C$16&gt;=0,OFFSET($A$4,A32-1-Premissas!$C$16,0)&gt;=Premissas!$C$19,FALSE),ROUND(IF(A32-1-Premissas!$C$16&gt;=0,OFFSET($J$4,A32-1-Premissas!$C$16,0),0)*Premissas!$C$15,0),0)</f>
        <v/>
      </c>
      <c r="L32">
        <f>ROUND(C32*Premissas!$C$24/12,0)</f>
        <v/>
      </c>
      <c r="M32">
        <f>ROUND(D32*Premissas!$C$25,0)</f>
        <v/>
      </c>
      <c r="N32">
        <f>ROUND(E32*Premissas!$C$29+B32*Premissas!$C$30,0)</f>
        <v/>
      </c>
      <c r="O32">
        <f>K32+L32+M32+N32</f>
        <v/>
      </c>
      <c r="P32">
        <f>K32+ROUND(AC32*Premissas!$C$24,0)+M32+N32</f>
        <v/>
      </c>
      <c r="Q32">
        <f>ROUND(IF(A32-1-Premissas!$C$21&gt;=0,OFFSET($P$4,A32-1-Premissas!$C$21,0),0)*(1-Premissas!$C$20/100),0)</f>
        <v/>
      </c>
      <c r="R32">
        <f>ROUND(F32*Premissas!$C$11+N32*Premissas!$C$31/100,0)+ROUND((E32+B32)*Premissas!$C$10,0)+ROUND(Q32*Premissas!$C$8/100,0)+ROUND(Premissas!$C$35+(B32+C32)*Premissas!$C$36,0)</f>
        <v/>
      </c>
      <c r="S32">
        <f>O32-R32</f>
        <v/>
      </c>
      <c r="T32">
        <f>ROUND(O32*Premissas!$C$9/100,0)</f>
        <v/>
      </c>
      <c r="U32">
        <f>ROUND(AB32*Premissas!$C$33,0)</f>
        <v/>
      </c>
      <c r="V32">
        <f>Premissas!$C$37+ROUND(Premissas!$C$12*Premissas!$C$38+D32*Premissas!$C$27,0)</f>
        <v/>
      </c>
      <c r="W32">
        <f>Premissas!$C$39</f>
        <v/>
      </c>
      <c r="X32">
        <f>S32-T32-ROUND(Premissas!$C$12*Premissas!$C$38+D32*Premissas!$C$27,0)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Premissas!$C$32+(B32+C32)/Premissas!$C$34</f>
        <v/>
      </c>
      <c r="AC32">
        <f>D32+AC20*(1-Premissas!$C$26/12)^12</f>
        <v/>
      </c>
    </row>
    <row r="33">
      <c r="A33" t="n">
        <v>30</v>
      </c>
      <c r="B33">
        <f>B32*(1-Premissas!$C$18/12)+Premissas!$C$12</f>
        <v/>
      </c>
      <c r="C33">
        <f>IF($B$2=1,C32*(1-Premissas!$C$26/12)+D33,0)</f>
        <v/>
      </c>
      <c r="D33">
        <f>IF(AND($B$2=1,A33&gt;=Premissas!$C$23),Premissas!$C$22,0)</f>
        <v/>
      </c>
      <c r="E33">
        <f>B33*Premissas!$C$28</f>
        <v/>
      </c>
      <c r="F33">
        <f>B33*Premissas!$C$13/12*MIN(1,A33/Premissas!$C$17)</f>
        <v/>
      </c>
      <c r="G33">
        <f>F33*Premissas!$C$14</f>
        <v/>
      </c>
      <c r="H33">
        <f>IF(IF(A33-1-Premissas!$C$16&gt;=0,OFFSET($J$4,A33-1-Premissas!$C$16,0),0)&gt;0,ROUND(IF(A33-1-Premissas!$C$16&gt;=0,OFFSET($J$4,A33-1-Premissas!$C$16,0),0)*10000/Premissas!$C$5*Premissas!$C$15,0),0)</f>
        <v/>
      </c>
      <c r="I33">
        <f>ROUND(G33*Premissas!$C$6/10000,0)</f>
        <v/>
      </c>
      <c r="J33">
        <f>ROUND(G33*Premissas!$C$5/10000,0)</f>
        <v/>
      </c>
      <c r="K33">
        <f>IF(IF(A33-1-Premissas!$C$16&gt;=0,OFFSET($A$4,A33-1-Premissas!$C$16,0)&gt;=Premissas!$C$19,FALSE),ROUND(IF(A33-1-Premissas!$C$16&gt;=0,OFFSET($J$4,A33-1-Premissas!$C$16,0),0)*Premissas!$C$15,0),0)</f>
        <v/>
      </c>
      <c r="L33">
        <f>ROUND(C33*Premissas!$C$24/12,0)</f>
        <v/>
      </c>
      <c r="M33">
        <f>ROUND(D33*Premissas!$C$25,0)</f>
        <v/>
      </c>
      <c r="N33">
        <f>ROUND(E33*Premissas!$C$29+B33*Premissas!$C$30,0)</f>
        <v/>
      </c>
      <c r="O33">
        <f>K33+L33+M33+N33</f>
        <v/>
      </c>
      <c r="P33">
        <f>K33+ROUND(AC33*Premissas!$C$24,0)+M33+N33</f>
        <v/>
      </c>
      <c r="Q33">
        <f>ROUND(IF(A33-1-Premissas!$C$21&gt;=0,OFFSET($P$4,A33-1-Premissas!$C$21,0),0)*(1-Premissas!$C$20/100),0)</f>
        <v/>
      </c>
      <c r="R33">
        <f>ROUND(F33*Premissas!$C$11+N33*Premissas!$C$31/100,0)+ROUND((E33+B33)*Premissas!$C$10,0)+ROUND(Q33*Premissas!$C$8/100,0)+ROUND(Premissas!$C$35+(B33+C33)*Premissas!$C$36,0)</f>
        <v/>
      </c>
      <c r="S33">
        <f>O33-R33</f>
        <v/>
      </c>
      <c r="T33">
        <f>ROUND(O33*Premissas!$C$9/100,0)</f>
        <v/>
      </c>
      <c r="U33">
        <f>ROUND(AB33*Premissas!$C$33,0)</f>
        <v/>
      </c>
      <c r="V33">
        <f>Premissas!$C$37+ROUND(Premissas!$C$12*Premissas!$C$38+D33*Premissas!$C$27,0)</f>
        <v/>
      </c>
      <c r="W33">
        <f>Premissas!$C$39</f>
        <v/>
      </c>
      <c r="X33">
        <f>S33-T33-ROUND(Premissas!$C$12*Premissas!$C$38+D33*Premissas!$C$27,0)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Premissas!$C$32+(B33+C33)/Premissas!$C$34</f>
        <v/>
      </c>
      <c r="AC33">
        <f>D33+AC21*(1-Premissas!$C$26/12)^12</f>
        <v/>
      </c>
    </row>
    <row r="34">
      <c r="A34" t="n">
        <v>31</v>
      </c>
      <c r="B34">
        <f>B33*(1-Premissas!$C$18/12)+Premissas!$C$12</f>
        <v/>
      </c>
      <c r="C34">
        <f>IF($B$2=1,C33*(1-Premissas!$C$26/12)+D34,0)</f>
        <v/>
      </c>
      <c r="D34">
        <f>IF(AND($B$2=1,A34&gt;=Premissas!$C$23),Premissas!$C$22,0)</f>
        <v/>
      </c>
      <c r="E34">
        <f>B34*Premissas!$C$28</f>
        <v/>
      </c>
      <c r="F34">
        <f>B34*Premissas!$C$13/12*MIN(1,A34/Premissas!$C$17)</f>
        <v/>
      </c>
      <c r="G34">
        <f>F34*Premissas!$C$14</f>
        <v/>
      </c>
      <c r="H34">
        <f>IF(IF(A34-1-Premissas!$C$16&gt;=0,OFFSET($J$4,A34-1-Premissas!$C$16,0),0)&gt;0,ROUND(IF(A34-1-Premissas!$C$16&gt;=0,OFFSET($J$4,A34-1-Premissas!$C$16,0),0)*10000/Premissas!$C$5*Premissas!$C$15,0),0)</f>
        <v/>
      </c>
      <c r="I34">
        <f>ROUND(G34*Premissas!$C$6/10000,0)</f>
        <v/>
      </c>
      <c r="J34">
        <f>ROUND(G34*Premissas!$C$5/10000,0)</f>
        <v/>
      </c>
      <c r="K34">
        <f>IF(IF(A34-1-Premissas!$C$16&gt;=0,OFFSET($A$4,A34-1-Premissas!$C$16,0)&gt;=Premissas!$C$19,FALSE),ROUND(IF(A34-1-Premissas!$C$16&gt;=0,OFFSET($J$4,A34-1-Premissas!$C$16,0),0)*Premissas!$C$15,0),0)</f>
        <v/>
      </c>
      <c r="L34">
        <f>ROUND(C34*Premissas!$C$24/12,0)</f>
        <v/>
      </c>
      <c r="M34">
        <f>ROUND(D34*Premissas!$C$25,0)</f>
        <v/>
      </c>
      <c r="N34">
        <f>ROUND(E34*Premissas!$C$29+B34*Premissas!$C$30,0)</f>
        <v/>
      </c>
      <c r="O34">
        <f>K34+L34+M34+N34</f>
        <v/>
      </c>
      <c r="P34">
        <f>K34+ROUND(AC34*Premissas!$C$24,0)+M34+N34</f>
        <v/>
      </c>
      <c r="Q34">
        <f>ROUND(IF(A34-1-Premissas!$C$21&gt;=0,OFFSET($P$4,A34-1-Premissas!$C$21,0),0)*(1-Premissas!$C$20/100),0)</f>
        <v/>
      </c>
      <c r="R34">
        <f>ROUND(F34*Premissas!$C$11+N34*Premissas!$C$31/100,0)+ROUND((E34+B34)*Premissas!$C$10,0)+ROUND(Q34*Premissas!$C$8/100,0)+ROUND(Premissas!$C$35+(B34+C34)*Premissas!$C$36,0)</f>
        <v/>
      </c>
      <c r="S34">
        <f>O34-R34</f>
        <v/>
      </c>
      <c r="T34">
        <f>ROUND(O34*Premissas!$C$9/100,0)</f>
        <v/>
      </c>
      <c r="U34">
        <f>ROUND(AB34*Premissas!$C$33,0)</f>
        <v/>
      </c>
      <c r="V34">
        <f>Premissas!$C$37+ROUND(Premissas!$C$12*Premissas!$C$38+D34*Premissas!$C$27,0)</f>
        <v/>
      </c>
      <c r="W34">
        <f>Premissas!$C$39</f>
        <v/>
      </c>
      <c r="X34">
        <f>S34-T34-ROUND(Premissas!$C$12*Premissas!$C$38+D34*Premissas!$C$27,0)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Premissas!$C$32+(B34+C34)/Premissas!$C$34</f>
        <v/>
      </c>
      <c r="AC34">
        <f>D34+AC22*(1-Premissas!$C$26/12)^12</f>
        <v/>
      </c>
    </row>
    <row r="35">
      <c r="A35" t="n">
        <v>32</v>
      </c>
      <c r="B35">
        <f>B34*(1-Premissas!$C$18/12)+Premissas!$C$12</f>
        <v/>
      </c>
      <c r="C35">
        <f>IF($B$2=1,C34*(1-Premissas!$C$26/12)+D35,0)</f>
        <v/>
      </c>
      <c r="D35">
        <f>IF(AND($B$2=1,A35&gt;=Premissas!$C$23),Premissas!$C$22,0)</f>
        <v/>
      </c>
      <c r="E35">
        <f>B35*Premissas!$C$28</f>
        <v/>
      </c>
      <c r="F35">
        <f>B35*Premissas!$C$13/12*MIN(1,A35/Premissas!$C$17)</f>
        <v/>
      </c>
      <c r="G35">
        <f>F35*Premissas!$C$14</f>
        <v/>
      </c>
      <c r="H35">
        <f>IF(IF(A35-1-Premissas!$C$16&gt;=0,OFFSET($J$4,A35-1-Premissas!$C$16,0),0)&gt;0,ROUND(IF(A35-1-Premissas!$C$16&gt;=0,OFFSET($J$4,A35-1-Premissas!$C$16,0),0)*10000/Premissas!$C$5*Premissas!$C$15,0),0)</f>
        <v/>
      </c>
      <c r="I35">
        <f>ROUND(G35*Premissas!$C$6/10000,0)</f>
        <v/>
      </c>
      <c r="J35">
        <f>ROUND(G35*Premissas!$C$5/10000,0)</f>
        <v/>
      </c>
      <c r="K35">
        <f>IF(IF(A35-1-Premissas!$C$16&gt;=0,OFFSET($A$4,A35-1-Premissas!$C$16,0)&gt;=Premissas!$C$19,FALSE),ROUND(IF(A35-1-Premissas!$C$16&gt;=0,OFFSET($J$4,A35-1-Premissas!$C$16,0),0)*Premissas!$C$15,0),0)</f>
        <v/>
      </c>
      <c r="L35">
        <f>ROUND(C35*Premissas!$C$24/12,0)</f>
        <v/>
      </c>
      <c r="M35">
        <f>ROUND(D35*Premissas!$C$25,0)</f>
        <v/>
      </c>
      <c r="N35">
        <f>ROUND(E35*Premissas!$C$29+B35*Premissas!$C$30,0)</f>
        <v/>
      </c>
      <c r="O35">
        <f>K35+L35+M35+N35</f>
        <v/>
      </c>
      <c r="P35">
        <f>K35+ROUND(AC35*Premissas!$C$24,0)+M35+N35</f>
        <v/>
      </c>
      <c r="Q35">
        <f>ROUND(IF(A35-1-Premissas!$C$21&gt;=0,OFFSET($P$4,A35-1-Premissas!$C$21,0),0)*(1-Premissas!$C$20/100),0)</f>
        <v/>
      </c>
      <c r="R35">
        <f>ROUND(F35*Premissas!$C$11+N35*Premissas!$C$31/100,0)+ROUND((E35+B35)*Premissas!$C$10,0)+ROUND(Q35*Premissas!$C$8/100,0)+ROUND(Premissas!$C$35+(B35+C35)*Premissas!$C$36,0)</f>
        <v/>
      </c>
      <c r="S35">
        <f>O35-R35</f>
        <v/>
      </c>
      <c r="T35">
        <f>ROUND(O35*Premissas!$C$9/100,0)</f>
        <v/>
      </c>
      <c r="U35">
        <f>ROUND(AB35*Premissas!$C$33,0)</f>
        <v/>
      </c>
      <c r="V35">
        <f>Premissas!$C$37+ROUND(Premissas!$C$12*Premissas!$C$38+D35*Premissas!$C$27,0)</f>
        <v/>
      </c>
      <c r="W35">
        <f>Premissas!$C$39</f>
        <v/>
      </c>
      <c r="X35">
        <f>S35-T35-ROUND(Premissas!$C$12*Premissas!$C$38+D35*Premissas!$C$27,0)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Premissas!$C$32+(B35+C35)/Premissas!$C$34</f>
        <v/>
      </c>
      <c r="AC35">
        <f>D35+AC23*(1-Premissas!$C$26/12)^12</f>
        <v/>
      </c>
    </row>
    <row r="36">
      <c r="A36" t="n">
        <v>33</v>
      </c>
      <c r="B36">
        <f>B35*(1-Premissas!$C$18/12)+Premissas!$C$12</f>
        <v/>
      </c>
      <c r="C36">
        <f>IF($B$2=1,C35*(1-Premissas!$C$26/12)+D36,0)</f>
        <v/>
      </c>
      <c r="D36">
        <f>IF(AND($B$2=1,A36&gt;=Premissas!$C$23),Premissas!$C$22,0)</f>
        <v/>
      </c>
      <c r="E36">
        <f>B36*Premissas!$C$28</f>
        <v/>
      </c>
      <c r="F36">
        <f>B36*Premissas!$C$13/12*MIN(1,A36/Premissas!$C$17)</f>
        <v/>
      </c>
      <c r="G36">
        <f>F36*Premissas!$C$14</f>
        <v/>
      </c>
      <c r="H36">
        <f>IF(IF(A36-1-Premissas!$C$16&gt;=0,OFFSET($J$4,A36-1-Premissas!$C$16,0),0)&gt;0,ROUND(IF(A36-1-Premissas!$C$16&gt;=0,OFFSET($J$4,A36-1-Premissas!$C$16,0),0)*10000/Premissas!$C$5*Premissas!$C$15,0),0)</f>
        <v/>
      </c>
      <c r="I36">
        <f>ROUND(G36*Premissas!$C$6/10000,0)</f>
        <v/>
      </c>
      <c r="J36">
        <f>ROUND(G36*Premissas!$C$5/10000,0)</f>
        <v/>
      </c>
      <c r="K36">
        <f>IF(IF(A36-1-Premissas!$C$16&gt;=0,OFFSET($A$4,A36-1-Premissas!$C$16,0)&gt;=Premissas!$C$19,FALSE),ROUND(IF(A36-1-Premissas!$C$16&gt;=0,OFFSET($J$4,A36-1-Premissas!$C$16,0),0)*Premissas!$C$15,0),0)</f>
        <v/>
      </c>
      <c r="L36">
        <f>ROUND(C36*Premissas!$C$24/12,0)</f>
        <v/>
      </c>
      <c r="M36">
        <f>ROUND(D36*Premissas!$C$25,0)</f>
        <v/>
      </c>
      <c r="N36">
        <f>ROUND(E36*Premissas!$C$29+B36*Premissas!$C$30,0)</f>
        <v/>
      </c>
      <c r="O36">
        <f>K36+L36+M36+N36</f>
        <v/>
      </c>
      <c r="P36">
        <f>K36+ROUND(AC36*Premissas!$C$24,0)+M36+N36</f>
        <v/>
      </c>
      <c r="Q36">
        <f>ROUND(IF(A36-1-Premissas!$C$21&gt;=0,OFFSET($P$4,A36-1-Premissas!$C$21,0),0)*(1-Premissas!$C$20/100),0)</f>
        <v/>
      </c>
      <c r="R36">
        <f>ROUND(F36*Premissas!$C$11+N36*Premissas!$C$31/100,0)+ROUND((E36+B36)*Premissas!$C$10,0)+ROUND(Q36*Premissas!$C$8/100,0)+ROUND(Premissas!$C$35+(B36+C36)*Premissas!$C$36,0)</f>
        <v/>
      </c>
      <c r="S36">
        <f>O36-R36</f>
        <v/>
      </c>
      <c r="T36">
        <f>ROUND(O36*Premissas!$C$9/100,0)</f>
        <v/>
      </c>
      <c r="U36">
        <f>ROUND(AB36*Premissas!$C$33,0)</f>
        <v/>
      </c>
      <c r="V36">
        <f>Premissas!$C$37+ROUND(Premissas!$C$12*Premissas!$C$38+D36*Premissas!$C$27,0)</f>
        <v/>
      </c>
      <c r="W36">
        <f>Premissas!$C$39</f>
        <v/>
      </c>
      <c r="X36">
        <f>S36-T36-ROUND(Premissas!$C$12*Premissas!$C$38+D36*Premissas!$C$27,0)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Premissas!$C$32+(B36+C36)/Premissas!$C$34</f>
        <v/>
      </c>
      <c r="AC36">
        <f>D36+AC24*(1-Premissas!$C$26/12)^12</f>
        <v/>
      </c>
    </row>
    <row r="37">
      <c r="A37" t="n">
        <v>34</v>
      </c>
      <c r="B37">
        <f>B36*(1-Premissas!$C$18/12)+Premissas!$C$12</f>
        <v/>
      </c>
      <c r="C37">
        <f>IF($B$2=1,C36*(1-Premissas!$C$26/12)+D37,0)</f>
        <v/>
      </c>
      <c r="D37">
        <f>IF(AND($B$2=1,A37&gt;=Premissas!$C$23),Premissas!$C$22,0)</f>
        <v/>
      </c>
      <c r="E37">
        <f>B37*Premissas!$C$28</f>
        <v/>
      </c>
      <c r="F37">
        <f>B37*Premissas!$C$13/12*MIN(1,A37/Premissas!$C$17)</f>
        <v/>
      </c>
      <c r="G37">
        <f>F37*Premissas!$C$14</f>
        <v/>
      </c>
      <c r="H37">
        <f>IF(IF(A37-1-Premissas!$C$16&gt;=0,OFFSET($J$4,A37-1-Premissas!$C$16,0),0)&gt;0,ROUND(IF(A37-1-Premissas!$C$16&gt;=0,OFFSET($J$4,A37-1-Premissas!$C$16,0),0)*10000/Premissas!$C$5*Premissas!$C$15,0),0)</f>
        <v/>
      </c>
      <c r="I37">
        <f>ROUND(G37*Premissas!$C$6/10000,0)</f>
        <v/>
      </c>
      <c r="J37">
        <f>ROUND(G37*Premissas!$C$5/10000,0)</f>
        <v/>
      </c>
      <c r="K37">
        <f>IF(IF(A37-1-Premissas!$C$16&gt;=0,OFFSET($A$4,A37-1-Premissas!$C$16,0)&gt;=Premissas!$C$19,FALSE),ROUND(IF(A37-1-Premissas!$C$16&gt;=0,OFFSET($J$4,A37-1-Premissas!$C$16,0),0)*Premissas!$C$15,0),0)</f>
        <v/>
      </c>
      <c r="L37">
        <f>ROUND(C37*Premissas!$C$24/12,0)</f>
        <v/>
      </c>
      <c r="M37">
        <f>ROUND(D37*Premissas!$C$25,0)</f>
        <v/>
      </c>
      <c r="N37">
        <f>ROUND(E37*Premissas!$C$29+B37*Premissas!$C$30,0)</f>
        <v/>
      </c>
      <c r="O37">
        <f>K37+L37+M37+N37</f>
        <v/>
      </c>
      <c r="P37">
        <f>K37+ROUND(AC37*Premissas!$C$24,0)+M37+N37</f>
        <v/>
      </c>
      <c r="Q37">
        <f>ROUND(IF(A37-1-Premissas!$C$21&gt;=0,OFFSET($P$4,A37-1-Premissas!$C$21,0),0)*(1-Premissas!$C$20/100),0)</f>
        <v/>
      </c>
      <c r="R37">
        <f>ROUND(F37*Premissas!$C$11+N37*Premissas!$C$31/100,0)+ROUND((E37+B37)*Premissas!$C$10,0)+ROUND(Q37*Premissas!$C$8/100,0)+ROUND(Premissas!$C$35+(B37+C37)*Premissas!$C$36,0)</f>
        <v/>
      </c>
      <c r="S37">
        <f>O37-R37</f>
        <v/>
      </c>
      <c r="T37">
        <f>ROUND(O37*Premissas!$C$9/100,0)</f>
        <v/>
      </c>
      <c r="U37">
        <f>ROUND(AB37*Premissas!$C$33,0)</f>
        <v/>
      </c>
      <c r="V37">
        <f>Premissas!$C$37+ROUND(Premissas!$C$12*Premissas!$C$38+D37*Premissas!$C$27,0)</f>
        <v/>
      </c>
      <c r="W37">
        <f>Premissas!$C$39</f>
        <v/>
      </c>
      <c r="X37">
        <f>S37-T37-ROUND(Premissas!$C$12*Premissas!$C$38+D37*Premissas!$C$27,0)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Premissas!$C$32+(B37+C37)/Premissas!$C$34</f>
        <v/>
      </c>
      <c r="AC37">
        <f>D37+AC25*(1-Premissas!$C$26/12)^12</f>
        <v/>
      </c>
    </row>
    <row r="38">
      <c r="A38" t="n">
        <v>35</v>
      </c>
      <c r="B38">
        <f>B37*(1-Premissas!$C$18/12)+Premissas!$C$12</f>
        <v/>
      </c>
      <c r="C38">
        <f>IF($B$2=1,C37*(1-Premissas!$C$26/12)+D38,0)</f>
        <v/>
      </c>
      <c r="D38">
        <f>IF(AND($B$2=1,A38&gt;=Premissas!$C$23),Premissas!$C$22,0)</f>
        <v/>
      </c>
      <c r="E38">
        <f>B38*Premissas!$C$28</f>
        <v/>
      </c>
      <c r="F38">
        <f>B38*Premissas!$C$13/12*MIN(1,A38/Premissas!$C$17)</f>
        <v/>
      </c>
      <c r="G38">
        <f>F38*Premissas!$C$14</f>
        <v/>
      </c>
      <c r="H38">
        <f>IF(IF(A38-1-Premissas!$C$16&gt;=0,OFFSET($J$4,A38-1-Premissas!$C$16,0),0)&gt;0,ROUND(IF(A38-1-Premissas!$C$16&gt;=0,OFFSET($J$4,A38-1-Premissas!$C$16,0),0)*10000/Premissas!$C$5*Premissas!$C$15,0),0)</f>
        <v/>
      </c>
      <c r="I38">
        <f>ROUND(G38*Premissas!$C$6/10000,0)</f>
        <v/>
      </c>
      <c r="J38">
        <f>ROUND(G38*Premissas!$C$5/10000,0)</f>
        <v/>
      </c>
      <c r="K38">
        <f>IF(IF(A38-1-Premissas!$C$16&gt;=0,OFFSET($A$4,A38-1-Premissas!$C$16,0)&gt;=Premissas!$C$19,FALSE),ROUND(IF(A38-1-Premissas!$C$16&gt;=0,OFFSET($J$4,A38-1-Premissas!$C$16,0),0)*Premissas!$C$15,0),0)</f>
        <v/>
      </c>
      <c r="L38">
        <f>ROUND(C38*Premissas!$C$24/12,0)</f>
        <v/>
      </c>
      <c r="M38">
        <f>ROUND(D38*Premissas!$C$25,0)</f>
        <v/>
      </c>
      <c r="N38">
        <f>ROUND(E38*Premissas!$C$29+B38*Premissas!$C$30,0)</f>
        <v/>
      </c>
      <c r="O38">
        <f>K38+L38+M38+N38</f>
        <v/>
      </c>
      <c r="P38">
        <f>K38+ROUND(AC38*Premissas!$C$24,0)+M38+N38</f>
        <v/>
      </c>
      <c r="Q38">
        <f>ROUND(IF(A38-1-Premissas!$C$21&gt;=0,OFFSET($P$4,A38-1-Premissas!$C$21,0),0)*(1-Premissas!$C$20/100),0)</f>
        <v/>
      </c>
      <c r="R38">
        <f>ROUND(F38*Premissas!$C$11+N38*Premissas!$C$31/100,0)+ROUND((E38+B38)*Premissas!$C$10,0)+ROUND(Q38*Premissas!$C$8/100,0)+ROUND(Premissas!$C$35+(B38+C38)*Premissas!$C$36,0)</f>
        <v/>
      </c>
      <c r="S38">
        <f>O38-R38</f>
        <v/>
      </c>
      <c r="T38">
        <f>ROUND(O38*Premissas!$C$9/100,0)</f>
        <v/>
      </c>
      <c r="U38">
        <f>ROUND(AB38*Premissas!$C$33,0)</f>
        <v/>
      </c>
      <c r="V38">
        <f>Premissas!$C$37+ROUND(Premissas!$C$12*Premissas!$C$38+D38*Premissas!$C$27,0)</f>
        <v/>
      </c>
      <c r="W38">
        <f>Premissas!$C$39</f>
        <v/>
      </c>
      <c r="X38">
        <f>S38-T38-ROUND(Premissas!$C$12*Premissas!$C$38+D38*Premissas!$C$27,0)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Premissas!$C$32+(B38+C38)/Premissas!$C$34</f>
        <v/>
      </c>
      <c r="AC38">
        <f>D38+AC26*(1-Premissas!$C$26/12)^12</f>
        <v/>
      </c>
    </row>
    <row r="39">
      <c r="A39" t="n">
        <v>36</v>
      </c>
      <c r="B39">
        <f>B38*(1-Premissas!$C$18/12)+Premissas!$C$12</f>
        <v/>
      </c>
      <c r="C39">
        <f>IF($B$2=1,C38*(1-Premissas!$C$26/12)+D39,0)</f>
        <v/>
      </c>
      <c r="D39">
        <f>IF(AND($B$2=1,A39&gt;=Premissas!$C$23),Premissas!$C$22,0)</f>
        <v/>
      </c>
      <c r="E39">
        <f>B39*Premissas!$C$28</f>
        <v/>
      </c>
      <c r="F39">
        <f>B39*Premissas!$C$13/12*MIN(1,A39/Premissas!$C$17)</f>
        <v/>
      </c>
      <c r="G39">
        <f>F39*Premissas!$C$14</f>
        <v/>
      </c>
      <c r="H39">
        <f>IF(IF(A39-1-Premissas!$C$16&gt;=0,OFFSET($J$4,A39-1-Premissas!$C$16,0),0)&gt;0,ROUND(IF(A39-1-Premissas!$C$16&gt;=0,OFFSET($J$4,A39-1-Premissas!$C$16,0),0)*10000/Premissas!$C$5*Premissas!$C$15,0),0)</f>
        <v/>
      </c>
      <c r="I39">
        <f>ROUND(G39*Premissas!$C$6/10000,0)</f>
        <v/>
      </c>
      <c r="J39">
        <f>ROUND(G39*Premissas!$C$5/10000,0)</f>
        <v/>
      </c>
      <c r="K39">
        <f>IF(IF(A39-1-Premissas!$C$16&gt;=0,OFFSET($A$4,A39-1-Premissas!$C$16,0)&gt;=Premissas!$C$19,FALSE),ROUND(IF(A39-1-Premissas!$C$16&gt;=0,OFFSET($J$4,A39-1-Premissas!$C$16,0),0)*Premissas!$C$15,0),0)</f>
        <v/>
      </c>
      <c r="L39">
        <f>ROUND(C39*Premissas!$C$24/12,0)</f>
        <v/>
      </c>
      <c r="M39">
        <f>ROUND(D39*Premissas!$C$25,0)</f>
        <v/>
      </c>
      <c r="N39">
        <f>ROUND(E39*Premissas!$C$29+B39*Premissas!$C$30,0)</f>
        <v/>
      </c>
      <c r="O39">
        <f>K39+L39+M39+N39</f>
        <v/>
      </c>
      <c r="P39">
        <f>K39+ROUND(AC39*Premissas!$C$24,0)+M39+N39</f>
        <v/>
      </c>
      <c r="Q39">
        <f>ROUND(IF(A39-1-Premissas!$C$21&gt;=0,OFFSET($P$4,A39-1-Premissas!$C$21,0),0)*(1-Premissas!$C$20/100),0)</f>
        <v/>
      </c>
      <c r="R39">
        <f>ROUND(F39*Premissas!$C$11+N39*Premissas!$C$31/100,0)+ROUND((E39+B39)*Premissas!$C$10,0)+ROUND(Q39*Premissas!$C$8/100,0)+ROUND(Premissas!$C$35+(B39+C39)*Premissas!$C$36,0)</f>
        <v/>
      </c>
      <c r="S39">
        <f>O39-R39</f>
        <v/>
      </c>
      <c r="T39">
        <f>ROUND(O39*Premissas!$C$9/100,0)</f>
        <v/>
      </c>
      <c r="U39">
        <f>ROUND(AB39*Premissas!$C$33,0)</f>
        <v/>
      </c>
      <c r="V39">
        <f>Premissas!$C$37+ROUND(Premissas!$C$12*Premissas!$C$38+D39*Premissas!$C$27,0)</f>
        <v/>
      </c>
      <c r="W39">
        <f>Premissas!$C$39</f>
        <v/>
      </c>
      <c r="X39">
        <f>S39-T39-ROUND(Premissas!$C$12*Premissas!$C$38+D39*Premissas!$C$27,0)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Premissas!$C$32+(B39+C39)/Premissas!$C$34</f>
        <v/>
      </c>
      <c r="AC39">
        <f>D39+AC27*(1-Premissas!$C$26/12)^12</f>
        <v/>
      </c>
    </row>
    <row r="40">
      <c r="A40" t="n">
        <v>37</v>
      </c>
      <c r="B40">
        <f>B39*(1-Premissas!$C$18/12)+Premissas!$C$12</f>
        <v/>
      </c>
      <c r="C40">
        <f>IF($B$2=1,C39*(1-Premissas!$C$26/12)+D40,0)</f>
        <v/>
      </c>
      <c r="D40">
        <f>IF(AND($B$2=1,A40&gt;=Premissas!$C$23),Premissas!$C$22,0)</f>
        <v/>
      </c>
      <c r="E40">
        <f>B40*Premissas!$C$28</f>
        <v/>
      </c>
      <c r="F40">
        <f>B40*Premissas!$C$13/12*MIN(1,A40/Premissas!$C$17)</f>
        <v/>
      </c>
      <c r="G40">
        <f>F40*Premissas!$C$14</f>
        <v/>
      </c>
      <c r="H40">
        <f>IF(IF(A40-1-Premissas!$C$16&gt;=0,OFFSET($J$4,A40-1-Premissas!$C$16,0),0)&gt;0,ROUND(IF(A40-1-Premissas!$C$16&gt;=0,OFFSET($J$4,A40-1-Premissas!$C$16,0),0)*10000/Premissas!$C$5*Premissas!$C$15,0),0)</f>
        <v/>
      </c>
      <c r="I40">
        <f>ROUND(G40*Premissas!$C$6/10000,0)</f>
        <v/>
      </c>
      <c r="J40">
        <f>ROUND(G40*Premissas!$C$5/10000,0)</f>
        <v/>
      </c>
      <c r="K40">
        <f>IF(IF(A40-1-Premissas!$C$16&gt;=0,OFFSET($A$4,A40-1-Premissas!$C$16,0)&gt;=Premissas!$C$19,FALSE),ROUND(IF(A40-1-Premissas!$C$16&gt;=0,OFFSET($J$4,A40-1-Premissas!$C$16,0),0)*Premissas!$C$15,0),0)</f>
        <v/>
      </c>
      <c r="L40">
        <f>ROUND(C40*Premissas!$C$24/12,0)</f>
        <v/>
      </c>
      <c r="M40">
        <f>ROUND(D40*Premissas!$C$25,0)</f>
        <v/>
      </c>
      <c r="N40">
        <f>ROUND(E40*Premissas!$C$29+B40*Premissas!$C$30,0)</f>
        <v/>
      </c>
      <c r="O40">
        <f>K40+L40+M40+N40</f>
        <v/>
      </c>
      <c r="P40">
        <f>K40+ROUND(AC40*Premissas!$C$24,0)+M40+N40</f>
        <v/>
      </c>
      <c r="Q40">
        <f>ROUND(IF(A40-1-Premissas!$C$21&gt;=0,OFFSET($P$4,A40-1-Premissas!$C$21,0),0)*(1-Premissas!$C$20/100),0)</f>
        <v/>
      </c>
      <c r="R40">
        <f>ROUND(F40*Premissas!$C$11+N40*Premissas!$C$31/100,0)+ROUND((E40+B40)*Premissas!$C$10,0)+ROUND(Q40*Premissas!$C$8/100,0)+ROUND(Premissas!$C$35+(B40+C40)*Premissas!$C$36,0)</f>
        <v/>
      </c>
      <c r="S40">
        <f>O40-R40</f>
        <v/>
      </c>
      <c r="T40">
        <f>ROUND(O40*Premissas!$C$9/100,0)</f>
        <v/>
      </c>
      <c r="U40">
        <f>ROUND(AB40*Premissas!$C$33,0)</f>
        <v/>
      </c>
      <c r="V40">
        <f>Premissas!$C$37+ROUND(Premissas!$C$12*Premissas!$C$38+D40*Premissas!$C$27,0)</f>
        <v/>
      </c>
      <c r="W40">
        <f>Premissas!$C$39</f>
        <v/>
      </c>
      <c r="X40">
        <f>S40-T40-ROUND(Premissas!$C$12*Premissas!$C$38+D40*Premissas!$C$27,0)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Premissas!$C$32+(B40+C40)/Premissas!$C$34</f>
        <v/>
      </c>
      <c r="AC40">
        <f>D40+AC28*(1-Premissas!$C$26/12)^12</f>
        <v/>
      </c>
    </row>
    <row r="41">
      <c r="A41" t="n">
        <v>38</v>
      </c>
      <c r="B41">
        <f>B40*(1-Premissas!$C$18/12)+Premissas!$C$12</f>
        <v/>
      </c>
      <c r="C41">
        <f>IF($B$2=1,C40*(1-Premissas!$C$26/12)+D41,0)</f>
        <v/>
      </c>
      <c r="D41">
        <f>IF(AND($B$2=1,A41&gt;=Premissas!$C$23),Premissas!$C$22,0)</f>
        <v/>
      </c>
      <c r="E41">
        <f>B41*Premissas!$C$28</f>
        <v/>
      </c>
      <c r="F41">
        <f>B41*Premissas!$C$13/12*MIN(1,A41/Premissas!$C$17)</f>
        <v/>
      </c>
      <c r="G41">
        <f>F41*Premissas!$C$14</f>
        <v/>
      </c>
      <c r="H41">
        <f>IF(IF(A41-1-Premissas!$C$16&gt;=0,OFFSET($J$4,A41-1-Premissas!$C$16,0),0)&gt;0,ROUND(IF(A41-1-Premissas!$C$16&gt;=0,OFFSET($J$4,A41-1-Premissas!$C$16,0),0)*10000/Premissas!$C$5*Premissas!$C$15,0),0)</f>
        <v/>
      </c>
      <c r="I41">
        <f>ROUND(G41*Premissas!$C$6/10000,0)</f>
        <v/>
      </c>
      <c r="J41">
        <f>ROUND(G41*Premissas!$C$5/10000,0)</f>
        <v/>
      </c>
      <c r="K41">
        <f>IF(IF(A41-1-Premissas!$C$16&gt;=0,OFFSET($A$4,A41-1-Premissas!$C$16,0)&gt;=Premissas!$C$19,FALSE),ROUND(IF(A41-1-Premissas!$C$16&gt;=0,OFFSET($J$4,A41-1-Premissas!$C$16,0),0)*Premissas!$C$15,0),0)</f>
        <v/>
      </c>
      <c r="L41">
        <f>ROUND(C41*Premissas!$C$24/12,0)</f>
        <v/>
      </c>
      <c r="M41">
        <f>ROUND(D41*Premissas!$C$25,0)</f>
        <v/>
      </c>
      <c r="N41">
        <f>ROUND(E41*Premissas!$C$29+B41*Premissas!$C$30,0)</f>
        <v/>
      </c>
      <c r="O41">
        <f>K41+L41+M41+N41</f>
        <v/>
      </c>
      <c r="P41">
        <f>K41+ROUND(AC41*Premissas!$C$24,0)+M41+N41</f>
        <v/>
      </c>
      <c r="Q41">
        <f>ROUND(IF(A41-1-Premissas!$C$21&gt;=0,OFFSET($P$4,A41-1-Premissas!$C$21,0),0)*(1-Premissas!$C$20/100),0)</f>
        <v/>
      </c>
      <c r="R41">
        <f>ROUND(F41*Premissas!$C$11+N41*Premissas!$C$31/100,0)+ROUND((E41+B41)*Premissas!$C$10,0)+ROUND(Q41*Premissas!$C$8/100,0)+ROUND(Premissas!$C$35+(B41+C41)*Premissas!$C$36,0)</f>
        <v/>
      </c>
      <c r="S41">
        <f>O41-R41</f>
        <v/>
      </c>
      <c r="T41">
        <f>ROUND(O41*Premissas!$C$9/100,0)</f>
        <v/>
      </c>
      <c r="U41">
        <f>ROUND(AB41*Premissas!$C$33,0)</f>
        <v/>
      </c>
      <c r="V41">
        <f>Premissas!$C$37+ROUND(Premissas!$C$12*Premissas!$C$38+D41*Premissas!$C$27,0)</f>
        <v/>
      </c>
      <c r="W41">
        <f>Premissas!$C$39</f>
        <v/>
      </c>
      <c r="X41">
        <f>S41-T41-ROUND(Premissas!$C$12*Premissas!$C$38+D41*Premissas!$C$27,0)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Premissas!$C$32+(B41+C41)/Premissas!$C$34</f>
        <v/>
      </c>
      <c r="AC41">
        <f>D41+AC29*(1-Premissas!$C$26/12)^12</f>
        <v/>
      </c>
    </row>
    <row r="42">
      <c r="A42" t="n">
        <v>39</v>
      </c>
      <c r="B42">
        <f>B41*(1-Premissas!$C$18/12)+Premissas!$C$12</f>
        <v/>
      </c>
      <c r="C42">
        <f>IF($B$2=1,C41*(1-Premissas!$C$26/12)+D42,0)</f>
        <v/>
      </c>
      <c r="D42">
        <f>IF(AND($B$2=1,A42&gt;=Premissas!$C$23),Premissas!$C$22,0)</f>
        <v/>
      </c>
      <c r="E42">
        <f>B42*Premissas!$C$28</f>
        <v/>
      </c>
      <c r="F42">
        <f>B42*Premissas!$C$13/12*MIN(1,A42/Premissas!$C$17)</f>
        <v/>
      </c>
      <c r="G42">
        <f>F42*Premissas!$C$14</f>
        <v/>
      </c>
      <c r="H42">
        <f>IF(IF(A42-1-Premissas!$C$16&gt;=0,OFFSET($J$4,A42-1-Premissas!$C$16,0),0)&gt;0,ROUND(IF(A42-1-Premissas!$C$16&gt;=0,OFFSET($J$4,A42-1-Premissas!$C$16,0),0)*10000/Premissas!$C$5*Premissas!$C$15,0),0)</f>
        <v/>
      </c>
      <c r="I42">
        <f>ROUND(G42*Premissas!$C$6/10000,0)</f>
        <v/>
      </c>
      <c r="J42">
        <f>ROUND(G42*Premissas!$C$5/10000,0)</f>
        <v/>
      </c>
      <c r="K42">
        <f>IF(IF(A42-1-Premissas!$C$16&gt;=0,OFFSET($A$4,A42-1-Premissas!$C$16,0)&gt;=Premissas!$C$19,FALSE),ROUND(IF(A42-1-Premissas!$C$16&gt;=0,OFFSET($J$4,A42-1-Premissas!$C$16,0),0)*Premissas!$C$15,0),0)</f>
        <v/>
      </c>
      <c r="L42">
        <f>ROUND(C42*Premissas!$C$24/12,0)</f>
        <v/>
      </c>
      <c r="M42">
        <f>ROUND(D42*Premissas!$C$25,0)</f>
        <v/>
      </c>
      <c r="N42">
        <f>ROUND(E42*Premissas!$C$29+B42*Premissas!$C$30,0)</f>
        <v/>
      </c>
      <c r="O42">
        <f>K42+L42+M42+N42</f>
        <v/>
      </c>
      <c r="P42">
        <f>K42+ROUND(AC42*Premissas!$C$24,0)+M42+N42</f>
        <v/>
      </c>
      <c r="Q42">
        <f>ROUND(IF(A42-1-Premissas!$C$21&gt;=0,OFFSET($P$4,A42-1-Premissas!$C$21,0),0)*(1-Premissas!$C$20/100),0)</f>
        <v/>
      </c>
      <c r="R42">
        <f>ROUND(F42*Premissas!$C$11+N42*Premissas!$C$31/100,0)+ROUND((E42+B42)*Premissas!$C$10,0)+ROUND(Q42*Premissas!$C$8/100,0)+ROUND(Premissas!$C$35+(B42+C42)*Premissas!$C$36,0)</f>
        <v/>
      </c>
      <c r="S42">
        <f>O42-R42</f>
        <v/>
      </c>
      <c r="T42">
        <f>ROUND(O42*Premissas!$C$9/100,0)</f>
        <v/>
      </c>
      <c r="U42">
        <f>ROUND(AB42*Premissas!$C$33,0)</f>
        <v/>
      </c>
      <c r="V42">
        <f>Premissas!$C$37+ROUND(Premissas!$C$12*Premissas!$C$38+D42*Premissas!$C$27,0)</f>
        <v/>
      </c>
      <c r="W42">
        <f>Premissas!$C$39</f>
        <v/>
      </c>
      <c r="X42">
        <f>S42-T42-ROUND(Premissas!$C$12*Premissas!$C$38+D42*Premissas!$C$27,0)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Premissas!$C$32+(B42+C42)/Premissas!$C$34</f>
        <v/>
      </c>
      <c r="AC42">
        <f>D42+AC30*(1-Premissas!$C$26/12)^12</f>
        <v/>
      </c>
    </row>
    <row r="43">
      <c r="A43" t="n">
        <v>40</v>
      </c>
      <c r="B43">
        <f>B42*(1-Premissas!$C$18/12)+Premissas!$C$12</f>
        <v/>
      </c>
      <c r="C43">
        <f>IF($B$2=1,C42*(1-Premissas!$C$26/12)+D43,0)</f>
        <v/>
      </c>
      <c r="D43">
        <f>IF(AND($B$2=1,A43&gt;=Premissas!$C$23),Premissas!$C$22,0)</f>
        <v/>
      </c>
      <c r="E43">
        <f>B43*Premissas!$C$28</f>
        <v/>
      </c>
      <c r="F43">
        <f>B43*Premissas!$C$13/12*MIN(1,A43/Premissas!$C$17)</f>
        <v/>
      </c>
      <c r="G43">
        <f>F43*Premissas!$C$14</f>
        <v/>
      </c>
      <c r="H43">
        <f>IF(IF(A43-1-Premissas!$C$16&gt;=0,OFFSET($J$4,A43-1-Premissas!$C$16,0),0)&gt;0,ROUND(IF(A43-1-Premissas!$C$16&gt;=0,OFFSET($J$4,A43-1-Premissas!$C$16,0),0)*10000/Premissas!$C$5*Premissas!$C$15,0),0)</f>
        <v/>
      </c>
      <c r="I43">
        <f>ROUND(G43*Premissas!$C$6/10000,0)</f>
        <v/>
      </c>
      <c r="J43">
        <f>ROUND(G43*Premissas!$C$5/10000,0)</f>
        <v/>
      </c>
      <c r="K43">
        <f>IF(IF(A43-1-Premissas!$C$16&gt;=0,OFFSET($A$4,A43-1-Premissas!$C$16,0)&gt;=Premissas!$C$19,FALSE),ROUND(IF(A43-1-Premissas!$C$16&gt;=0,OFFSET($J$4,A43-1-Premissas!$C$16,0),0)*Premissas!$C$15,0),0)</f>
        <v/>
      </c>
      <c r="L43">
        <f>ROUND(C43*Premissas!$C$24/12,0)</f>
        <v/>
      </c>
      <c r="M43">
        <f>ROUND(D43*Premissas!$C$25,0)</f>
        <v/>
      </c>
      <c r="N43">
        <f>ROUND(E43*Premissas!$C$29+B43*Premissas!$C$30,0)</f>
        <v/>
      </c>
      <c r="O43">
        <f>K43+L43+M43+N43</f>
        <v/>
      </c>
      <c r="P43">
        <f>K43+ROUND(AC43*Premissas!$C$24,0)+M43+N43</f>
        <v/>
      </c>
      <c r="Q43">
        <f>ROUND(IF(A43-1-Premissas!$C$21&gt;=0,OFFSET($P$4,A43-1-Premissas!$C$21,0),0)*(1-Premissas!$C$20/100),0)</f>
        <v/>
      </c>
      <c r="R43">
        <f>ROUND(F43*Premissas!$C$11+N43*Premissas!$C$31/100,0)+ROUND((E43+B43)*Premissas!$C$10,0)+ROUND(Q43*Premissas!$C$8/100,0)+ROUND(Premissas!$C$35+(B43+C43)*Premissas!$C$36,0)</f>
        <v/>
      </c>
      <c r="S43">
        <f>O43-R43</f>
        <v/>
      </c>
      <c r="T43">
        <f>ROUND(O43*Premissas!$C$9/100,0)</f>
        <v/>
      </c>
      <c r="U43">
        <f>ROUND(AB43*Premissas!$C$33,0)</f>
        <v/>
      </c>
      <c r="V43">
        <f>Premissas!$C$37+ROUND(Premissas!$C$12*Premissas!$C$38+D43*Premissas!$C$27,0)</f>
        <v/>
      </c>
      <c r="W43">
        <f>Premissas!$C$39</f>
        <v/>
      </c>
      <c r="X43">
        <f>S43-T43-ROUND(Premissas!$C$12*Premissas!$C$38+D43*Premissas!$C$27,0)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Premissas!$C$32+(B43+C43)/Premissas!$C$34</f>
        <v/>
      </c>
      <c r="AC43">
        <f>D43+AC31*(1-Premissas!$C$26/12)^12</f>
        <v/>
      </c>
    </row>
    <row r="44">
      <c r="A44" t="n">
        <v>41</v>
      </c>
      <c r="B44">
        <f>B43*(1-Premissas!$C$18/12)+Premissas!$C$12</f>
        <v/>
      </c>
      <c r="C44">
        <f>IF($B$2=1,C43*(1-Premissas!$C$26/12)+D44,0)</f>
        <v/>
      </c>
      <c r="D44">
        <f>IF(AND($B$2=1,A44&gt;=Premissas!$C$23),Premissas!$C$22,0)</f>
        <v/>
      </c>
      <c r="E44">
        <f>B44*Premissas!$C$28</f>
        <v/>
      </c>
      <c r="F44">
        <f>B44*Premissas!$C$13/12*MIN(1,A44/Premissas!$C$17)</f>
        <v/>
      </c>
      <c r="G44">
        <f>F44*Premissas!$C$14</f>
        <v/>
      </c>
      <c r="H44">
        <f>IF(IF(A44-1-Premissas!$C$16&gt;=0,OFFSET($J$4,A44-1-Premissas!$C$16,0),0)&gt;0,ROUND(IF(A44-1-Premissas!$C$16&gt;=0,OFFSET($J$4,A44-1-Premissas!$C$16,0),0)*10000/Premissas!$C$5*Premissas!$C$15,0),0)</f>
        <v/>
      </c>
      <c r="I44">
        <f>ROUND(G44*Premissas!$C$6/10000,0)</f>
        <v/>
      </c>
      <c r="J44">
        <f>ROUND(G44*Premissas!$C$5/10000,0)</f>
        <v/>
      </c>
      <c r="K44">
        <f>IF(IF(A44-1-Premissas!$C$16&gt;=0,OFFSET($A$4,A44-1-Premissas!$C$16,0)&gt;=Premissas!$C$19,FALSE),ROUND(IF(A44-1-Premissas!$C$16&gt;=0,OFFSET($J$4,A44-1-Premissas!$C$16,0),0)*Premissas!$C$15,0),0)</f>
        <v/>
      </c>
      <c r="L44">
        <f>ROUND(C44*Premissas!$C$24/12,0)</f>
        <v/>
      </c>
      <c r="M44">
        <f>ROUND(D44*Premissas!$C$25,0)</f>
        <v/>
      </c>
      <c r="N44">
        <f>ROUND(E44*Premissas!$C$29+B44*Premissas!$C$30,0)</f>
        <v/>
      </c>
      <c r="O44">
        <f>K44+L44+M44+N44</f>
        <v/>
      </c>
      <c r="P44">
        <f>K44+ROUND(AC44*Premissas!$C$24,0)+M44+N44</f>
        <v/>
      </c>
      <c r="Q44">
        <f>ROUND(IF(A44-1-Premissas!$C$21&gt;=0,OFFSET($P$4,A44-1-Premissas!$C$21,0),0)*(1-Premissas!$C$20/100),0)</f>
        <v/>
      </c>
      <c r="R44">
        <f>ROUND(F44*Premissas!$C$11+N44*Premissas!$C$31/100,0)+ROUND((E44+B44)*Premissas!$C$10,0)+ROUND(Q44*Premissas!$C$8/100,0)+ROUND(Premissas!$C$35+(B44+C44)*Premissas!$C$36,0)</f>
        <v/>
      </c>
      <c r="S44">
        <f>O44-R44</f>
        <v/>
      </c>
      <c r="T44">
        <f>ROUND(O44*Premissas!$C$9/100,0)</f>
        <v/>
      </c>
      <c r="U44">
        <f>ROUND(AB44*Premissas!$C$33,0)</f>
        <v/>
      </c>
      <c r="V44">
        <f>Premissas!$C$37+ROUND(Premissas!$C$12*Premissas!$C$38+D44*Premissas!$C$27,0)</f>
        <v/>
      </c>
      <c r="W44">
        <f>Premissas!$C$39</f>
        <v/>
      </c>
      <c r="X44">
        <f>S44-T44-ROUND(Premissas!$C$12*Premissas!$C$38+D44*Premissas!$C$27,0)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Premissas!$C$32+(B44+C44)/Premissas!$C$34</f>
        <v/>
      </c>
      <c r="AC44">
        <f>D44+AC32*(1-Premissas!$C$26/12)^12</f>
        <v/>
      </c>
    </row>
    <row r="45">
      <c r="A45" t="n">
        <v>42</v>
      </c>
      <c r="B45">
        <f>B44*(1-Premissas!$C$18/12)+Premissas!$C$12</f>
        <v/>
      </c>
      <c r="C45">
        <f>IF($B$2=1,C44*(1-Premissas!$C$26/12)+D45,0)</f>
        <v/>
      </c>
      <c r="D45">
        <f>IF(AND($B$2=1,A45&gt;=Premissas!$C$23),Premissas!$C$22,0)</f>
        <v/>
      </c>
      <c r="E45">
        <f>B45*Premissas!$C$28</f>
        <v/>
      </c>
      <c r="F45">
        <f>B45*Premissas!$C$13/12*MIN(1,A45/Premissas!$C$17)</f>
        <v/>
      </c>
      <c r="G45">
        <f>F45*Premissas!$C$14</f>
        <v/>
      </c>
      <c r="H45">
        <f>IF(IF(A45-1-Premissas!$C$16&gt;=0,OFFSET($J$4,A45-1-Premissas!$C$16,0),0)&gt;0,ROUND(IF(A45-1-Premissas!$C$16&gt;=0,OFFSET($J$4,A45-1-Premissas!$C$16,0),0)*10000/Premissas!$C$5*Premissas!$C$15,0),0)</f>
        <v/>
      </c>
      <c r="I45">
        <f>ROUND(G45*Premissas!$C$6/10000,0)</f>
        <v/>
      </c>
      <c r="J45">
        <f>ROUND(G45*Premissas!$C$5/10000,0)</f>
        <v/>
      </c>
      <c r="K45">
        <f>IF(IF(A45-1-Premissas!$C$16&gt;=0,OFFSET($A$4,A45-1-Premissas!$C$16,0)&gt;=Premissas!$C$19,FALSE),ROUND(IF(A45-1-Premissas!$C$16&gt;=0,OFFSET($J$4,A45-1-Premissas!$C$16,0),0)*Premissas!$C$15,0),0)</f>
        <v/>
      </c>
      <c r="L45">
        <f>ROUND(C45*Premissas!$C$24/12,0)</f>
        <v/>
      </c>
      <c r="M45">
        <f>ROUND(D45*Premissas!$C$25,0)</f>
        <v/>
      </c>
      <c r="N45">
        <f>ROUND(E45*Premissas!$C$29+B45*Premissas!$C$30,0)</f>
        <v/>
      </c>
      <c r="O45">
        <f>K45+L45+M45+N45</f>
        <v/>
      </c>
      <c r="P45">
        <f>K45+ROUND(AC45*Premissas!$C$24,0)+M45+N45</f>
        <v/>
      </c>
      <c r="Q45">
        <f>ROUND(IF(A45-1-Premissas!$C$21&gt;=0,OFFSET($P$4,A45-1-Premissas!$C$21,0),0)*(1-Premissas!$C$20/100),0)</f>
        <v/>
      </c>
      <c r="R45">
        <f>ROUND(F45*Premissas!$C$11+N45*Premissas!$C$31/100,0)+ROUND((E45+B45)*Premissas!$C$10,0)+ROUND(Q45*Premissas!$C$8/100,0)+ROUND(Premissas!$C$35+(B45+C45)*Premissas!$C$36,0)</f>
        <v/>
      </c>
      <c r="S45">
        <f>O45-R45</f>
        <v/>
      </c>
      <c r="T45">
        <f>ROUND(O45*Premissas!$C$9/100,0)</f>
        <v/>
      </c>
      <c r="U45">
        <f>ROUND(AB45*Premissas!$C$33,0)</f>
        <v/>
      </c>
      <c r="V45">
        <f>Premissas!$C$37+ROUND(Premissas!$C$12*Premissas!$C$38+D45*Premissas!$C$27,0)</f>
        <v/>
      </c>
      <c r="W45">
        <f>Premissas!$C$39</f>
        <v/>
      </c>
      <c r="X45">
        <f>S45-T45-ROUND(Premissas!$C$12*Premissas!$C$38+D45*Premissas!$C$27,0)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Premissas!$C$32+(B45+C45)/Premissas!$C$34</f>
        <v/>
      </c>
      <c r="AC45">
        <f>D45+AC33*(1-Premissas!$C$26/12)^12</f>
        <v/>
      </c>
    </row>
    <row r="46">
      <c r="A46" t="n">
        <v>43</v>
      </c>
      <c r="B46">
        <f>B45*(1-Premissas!$C$18/12)+Premissas!$C$12</f>
        <v/>
      </c>
      <c r="C46">
        <f>IF($B$2=1,C45*(1-Premissas!$C$26/12)+D46,0)</f>
        <v/>
      </c>
      <c r="D46">
        <f>IF(AND($B$2=1,A46&gt;=Premissas!$C$23),Premissas!$C$22,0)</f>
        <v/>
      </c>
      <c r="E46">
        <f>B46*Premissas!$C$28</f>
        <v/>
      </c>
      <c r="F46">
        <f>B46*Premissas!$C$13/12*MIN(1,A46/Premissas!$C$17)</f>
        <v/>
      </c>
      <c r="G46">
        <f>F46*Premissas!$C$14</f>
        <v/>
      </c>
      <c r="H46">
        <f>IF(IF(A46-1-Premissas!$C$16&gt;=0,OFFSET($J$4,A46-1-Premissas!$C$16,0),0)&gt;0,ROUND(IF(A46-1-Premissas!$C$16&gt;=0,OFFSET($J$4,A46-1-Premissas!$C$16,0),0)*10000/Premissas!$C$5*Premissas!$C$15,0),0)</f>
        <v/>
      </c>
      <c r="I46">
        <f>ROUND(G46*Premissas!$C$6/10000,0)</f>
        <v/>
      </c>
      <c r="J46">
        <f>ROUND(G46*Premissas!$C$5/10000,0)</f>
        <v/>
      </c>
      <c r="K46">
        <f>IF(IF(A46-1-Premissas!$C$16&gt;=0,OFFSET($A$4,A46-1-Premissas!$C$16,0)&gt;=Premissas!$C$19,FALSE),ROUND(IF(A46-1-Premissas!$C$16&gt;=0,OFFSET($J$4,A46-1-Premissas!$C$16,0),0)*Premissas!$C$15,0),0)</f>
        <v/>
      </c>
      <c r="L46">
        <f>ROUND(C46*Premissas!$C$24/12,0)</f>
        <v/>
      </c>
      <c r="M46">
        <f>ROUND(D46*Premissas!$C$25,0)</f>
        <v/>
      </c>
      <c r="N46">
        <f>ROUND(E46*Premissas!$C$29+B46*Premissas!$C$30,0)</f>
        <v/>
      </c>
      <c r="O46">
        <f>K46+L46+M46+N46</f>
        <v/>
      </c>
      <c r="P46">
        <f>K46+ROUND(AC46*Premissas!$C$24,0)+M46+N46</f>
        <v/>
      </c>
      <c r="Q46">
        <f>ROUND(IF(A46-1-Premissas!$C$21&gt;=0,OFFSET($P$4,A46-1-Premissas!$C$21,0),0)*(1-Premissas!$C$20/100),0)</f>
        <v/>
      </c>
      <c r="R46">
        <f>ROUND(F46*Premissas!$C$11+N46*Premissas!$C$31/100,0)+ROUND((E46+B46)*Premissas!$C$10,0)+ROUND(Q46*Premissas!$C$8/100,0)+ROUND(Premissas!$C$35+(B46+C46)*Premissas!$C$36,0)</f>
        <v/>
      </c>
      <c r="S46">
        <f>O46-R46</f>
        <v/>
      </c>
      <c r="T46">
        <f>ROUND(O46*Premissas!$C$9/100,0)</f>
        <v/>
      </c>
      <c r="U46">
        <f>ROUND(AB46*Premissas!$C$33,0)</f>
        <v/>
      </c>
      <c r="V46">
        <f>Premissas!$C$37+ROUND(Premissas!$C$12*Premissas!$C$38+D46*Premissas!$C$27,0)</f>
        <v/>
      </c>
      <c r="W46">
        <f>Premissas!$C$39</f>
        <v/>
      </c>
      <c r="X46">
        <f>S46-T46-ROUND(Premissas!$C$12*Premissas!$C$38+D46*Premissas!$C$27,0)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Premissas!$C$32+(B46+C46)/Premissas!$C$34</f>
        <v/>
      </c>
      <c r="AC46">
        <f>D46+AC34*(1-Premissas!$C$26/12)^12</f>
        <v/>
      </c>
    </row>
    <row r="47">
      <c r="A47" t="n">
        <v>44</v>
      </c>
      <c r="B47">
        <f>B46*(1-Premissas!$C$18/12)+Premissas!$C$12</f>
        <v/>
      </c>
      <c r="C47">
        <f>IF($B$2=1,C46*(1-Premissas!$C$26/12)+D47,0)</f>
        <v/>
      </c>
      <c r="D47">
        <f>IF(AND($B$2=1,A47&gt;=Premissas!$C$23),Premissas!$C$22,0)</f>
        <v/>
      </c>
      <c r="E47">
        <f>B47*Premissas!$C$28</f>
        <v/>
      </c>
      <c r="F47">
        <f>B47*Premissas!$C$13/12*MIN(1,A47/Premissas!$C$17)</f>
        <v/>
      </c>
      <c r="G47">
        <f>F47*Premissas!$C$14</f>
        <v/>
      </c>
      <c r="H47">
        <f>IF(IF(A47-1-Premissas!$C$16&gt;=0,OFFSET($J$4,A47-1-Premissas!$C$16,0),0)&gt;0,ROUND(IF(A47-1-Premissas!$C$16&gt;=0,OFFSET($J$4,A47-1-Premissas!$C$16,0),0)*10000/Premissas!$C$5*Premissas!$C$15,0),0)</f>
        <v/>
      </c>
      <c r="I47">
        <f>ROUND(G47*Premissas!$C$6/10000,0)</f>
        <v/>
      </c>
      <c r="J47">
        <f>ROUND(G47*Premissas!$C$5/10000,0)</f>
        <v/>
      </c>
      <c r="K47">
        <f>IF(IF(A47-1-Premissas!$C$16&gt;=0,OFFSET($A$4,A47-1-Premissas!$C$16,0)&gt;=Premissas!$C$19,FALSE),ROUND(IF(A47-1-Premissas!$C$16&gt;=0,OFFSET($J$4,A47-1-Premissas!$C$16,0),0)*Premissas!$C$15,0),0)</f>
        <v/>
      </c>
      <c r="L47">
        <f>ROUND(C47*Premissas!$C$24/12,0)</f>
        <v/>
      </c>
      <c r="M47">
        <f>ROUND(D47*Premissas!$C$25,0)</f>
        <v/>
      </c>
      <c r="N47">
        <f>ROUND(E47*Premissas!$C$29+B47*Premissas!$C$30,0)</f>
        <v/>
      </c>
      <c r="O47">
        <f>K47+L47+M47+N47</f>
        <v/>
      </c>
      <c r="P47">
        <f>K47+ROUND(AC47*Premissas!$C$24,0)+M47+N47</f>
        <v/>
      </c>
      <c r="Q47">
        <f>ROUND(IF(A47-1-Premissas!$C$21&gt;=0,OFFSET($P$4,A47-1-Premissas!$C$21,0),0)*(1-Premissas!$C$20/100),0)</f>
        <v/>
      </c>
      <c r="R47">
        <f>ROUND(F47*Premissas!$C$11+N47*Premissas!$C$31/100,0)+ROUND((E47+B47)*Premissas!$C$10,0)+ROUND(Q47*Premissas!$C$8/100,0)+ROUND(Premissas!$C$35+(B47+C47)*Premissas!$C$36,0)</f>
        <v/>
      </c>
      <c r="S47">
        <f>O47-R47</f>
        <v/>
      </c>
      <c r="T47">
        <f>ROUND(O47*Premissas!$C$9/100,0)</f>
        <v/>
      </c>
      <c r="U47">
        <f>ROUND(AB47*Premissas!$C$33,0)</f>
        <v/>
      </c>
      <c r="V47">
        <f>Premissas!$C$37+ROUND(Premissas!$C$12*Premissas!$C$38+D47*Premissas!$C$27,0)</f>
        <v/>
      </c>
      <c r="W47">
        <f>Premissas!$C$39</f>
        <v/>
      </c>
      <c r="X47">
        <f>S47-T47-ROUND(Premissas!$C$12*Premissas!$C$38+D47*Premissas!$C$27,0)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Premissas!$C$32+(B47+C47)/Premissas!$C$34</f>
        <v/>
      </c>
      <c r="AC47">
        <f>D47+AC35*(1-Premissas!$C$26/12)^12</f>
        <v/>
      </c>
    </row>
    <row r="48">
      <c r="A48" t="n">
        <v>45</v>
      </c>
      <c r="B48">
        <f>B47*(1-Premissas!$C$18/12)+Premissas!$C$12</f>
        <v/>
      </c>
      <c r="C48">
        <f>IF($B$2=1,C47*(1-Premissas!$C$26/12)+D48,0)</f>
        <v/>
      </c>
      <c r="D48">
        <f>IF(AND($B$2=1,A48&gt;=Premissas!$C$23),Premissas!$C$22,0)</f>
        <v/>
      </c>
      <c r="E48">
        <f>B48*Premissas!$C$28</f>
        <v/>
      </c>
      <c r="F48">
        <f>B48*Premissas!$C$13/12*MIN(1,A48/Premissas!$C$17)</f>
        <v/>
      </c>
      <c r="G48">
        <f>F48*Premissas!$C$14</f>
        <v/>
      </c>
      <c r="H48">
        <f>IF(IF(A48-1-Premissas!$C$16&gt;=0,OFFSET($J$4,A48-1-Premissas!$C$16,0),0)&gt;0,ROUND(IF(A48-1-Premissas!$C$16&gt;=0,OFFSET($J$4,A48-1-Premissas!$C$16,0),0)*10000/Premissas!$C$5*Premissas!$C$15,0),0)</f>
        <v/>
      </c>
      <c r="I48">
        <f>ROUND(G48*Premissas!$C$6/10000,0)</f>
        <v/>
      </c>
      <c r="J48">
        <f>ROUND(G48*Premissas!$C$5/10000,0)</f>
        <v/>
      </c>
      <c r="K48">
        <f>IF(IF(A48-1-Premissas!$C$16&gt;=0,OFFSET($A$4,A48-1-Premissas!$C$16,0)&gt;=Premissas!$C$19,FALSE),ROUND(IF(A48-1-Premissas!$C$16&gt;=0,OFFSET($J$4,A48-1-Premissas!$C$16,0),0)*Premissas!$C$15,0),0)</f>
        <v/>
      </c>
      <c r="L48">
        <f>ROUND(C48*Premissas!$C$24/12,0)</f>
        <v/>
      </c>
      <c r="M48">
        <f>ROUND(D48*Premissas!$C$25,0)</f>
        <v/>
      </c>
      <c r="N48">
        <f>ROUND(E48*Premissas!$C$29+B48*Premissas!$C$30,0)</f>
        <v/>
      </c>
      <c r="O48">
        <f>K48+L48+M48+N48</f>
        <v/>
      </c>
      <c r="P48">
        <f>K48+ROUND(AC48*Premissas!$C$24,0)+M48+N48</f>
        <v/>
      </c>
      <c r="Q48">
        <f>ROUND(IF(A48-1-Premissas!$C$21&gt;=0,OFFSET($P$4,A48-1-Premissas!$C$21,0),0)*(1-Premissas!$C$20/100),0)</f>
        <v/>
      </c>
      <c r="R48">
        <f>ROUND(F48*Premissas!$C$11+N48*Premissas!$C$31/100,0)+ROUND((E48+B48)*Premissas!$C$10,0)+ROUND(Q48*Premissas!$C$8/100,0)+ROUND(Premissas!$C$35+(B48+C48)*Premissas!$C$36,0)</f>
        <v/>
      </c>
      <c r="S48">
        <f>O48-R48</f>
        <v/>
      </c>
      <c r="T48">
        <f>ROUND(O48*Premissas!$C$9/100,0)</f>
        <v/>
      </c>
      <c r="U48">
        <f>ROUND(AB48*Premissas!$C$33,0)</f>
        <v/>
      </c>
      <c r="V48">
        <f>Premissas!$C$37+ROUND(Premissas!$C$12*Premissas!$C$38+D48*Premissas!$C$27,0)</f>
        <v/>
      </c>
      <c r="W48">
        <f>Premissas!$C$39</f>
        <v/>
      </c>
      <c r="X48">
        <f>S48-T48-ROUND(Premissas!$C$12*Premissas!$C$38+D48*Premissas!$C$27,0)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Premissas!$C$32+(B48+C48)/Premissas!$C$34</f>
        <v/>
      </c>
      <c r="AC48">
        <f>D48+AC36*(1-Premissas!$C$26/12)^12</f>
        <v/>
      </c>
    </row>
    <row r="49">
      <c r="A49" t="n">
        <v>46</v>
      </c>
      <c r="B49">
        <f>B48*(1-Premissas!$C$18/12)+Premissas!$C$12</f>
        <v/>
      </c>
      <c r="C49">
        <f>IF($B$2=1,C48*(1-Premissas!$C$26/12)+D49,0)</f>
        <v/>
      </c>
      <c r="D49">
        <f>IF(AND($B$2=1,A49&gt;=Premissas!$C$23),Premissas!$C$22,0)</f>
        <v/>
      </c>
      <c r="E49">
        <f>B49*Premissas!$C$28</f>
        <v/>
      </c>
      <c r="F49">
        <f>B49*Premissas!$C$13/12*MIN(1,A49/Premissas!$C$17)</f>
        <v/>
      </c>
      <c r="G49">
        <f>F49*Premissas!$C$14</f>
        <v/>
      </c>
      <c r="H49">
        <f>IF(IF(A49-1-Premissas!$C$16&gt;=0,OFFSET($J$4,A49-1-Premissas!$C$16,0),0)&gt;0,ROUND(IF(A49-1-Premissas!$C$16&gt;=0,OFFSET($J$4,A49-1-Premissas!$C$16,0),0)*10000/Premissas!$C$5*Premissas!$C$15,0),0)</f>
        <v/>
      </c>
      <c r="I49">
        <f>ROUND(G49*Premissas!$C$6/10000,0)</f>
        <v/>
      </c>
      <c r="J49">
        <f>ROUND(G49*Premissas!$C$5/10000,0)</f>
        <v/>
      </c>
      <c r="K49">
        <f>IF(IF(A49-1-Premissas!$C$16&gt;=0,OFFSET($A$4,A49-1-Premissas!$C$16,0)&gt;=Premissas!$C$19,FALSE),ROUND(IF(A49-1-Premissas!$C$16&gt;=0,OFFSET($J$4,A49-1-Premissas!$C$16,0),0)*Premissas!$C$15,0),0)</f>
        <v/>
      </c>
      <c r="L49">
        <f>ROUND(C49*Premissas!$C$24/12,0)</f>
        <v/>
      </c>
      <c r="M49">
        <f>ROUND(D49*Premissas!$C$25,0)</f>
        <v/>
      </c>
      <c r="N49">
        <f>ROUND(E49*Premissas!$C$29+B49*Premissas!$C$30,0)</f>
        <v/>
      </c>
      <c r="O49">
        <f>K49+L49+M49+N49</f>
        <v/>
      </c>
      <c r="P49">
        <f>K49+ROUND(AC49*Premissas!$C$24,0)+M49+N49</f>
        <v/>
      </c>
      <c r="Q49">
        <f>ROUND(IF(A49-1-Premissas!$C$21&gt;=0,OFFSET($P$4,A49-1-Premissas!$C$21,0),0)*(1-Premissas!$C$20/100),0)</f>
        <v/>
      </c>
      <c r="R49">
        <f>ROUND(F49*Premissas!$C$11+N49*Premissas!$C$31/100,0)+ROUND((E49+B49)*Premissas!$C$10,0)+ROUND(Q49*Premissas!$C$8/100,0)+ROUND(Premissas!$C$35+(B49+C49)*Premissas!$C$36,0)</f>
        <v/>
      </c>
      <c r="S49">
        <f>O49-R49</f>
        <v/>
      </c>
      <c r="T49">
        <f>ROUND(O49*Premissas!$C$9/100,0)</f>
        <v/>
      </c>
      <c r="U49">
        <f>ROUND(AB49*Premissas!$C$33,0)</f>
        <v/>
      </c>
      <c r="V49">
        <f>Premissas!$C$37+ROUND(Premissas!$C$12*Premissas!$C$38+D49*Premissas!$C$27,0)</f>
        <v/>
      </c>
      <c r="W49">
        <f>Premissas!$C$39</f>
        <v/>
      </c>
      <c r="X49">
        <f>S49-T49-ROUND(Premissas!$C$12*Premissas!$C$38+D49*Premissas!$C$27,0)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Premissas!$C$32+(B49+C49)/Premissas!$C$34</f>
        <v/>
      </c>
      <c r="AC49">
        <f>D49+AC37*(1-Premissas!$C$26/12)^12</f>
        <v/>
      </c>
    </row>
    <row r="50">
      <c r="A50" t="n">
        <v>47</v>
      </c>
      <c r="B50">
        <f>B49*(1-Premissas!$C$18/12)+Premissas!$C$12</f>
        <v/>
      </c>
      <c r="C50">
        <f>IF($B$2=1,C49*(1-Premissas!$C$26/12)+D50,0)</f>
        <v/>
      </c>
      <c r="D50">
        <f>IF(AND($B$2=1,A50&gt;=Premissas!$C$23),Premissas!$C$22,0)</f>
        <v/>
      </c>
      <c r="E50">
        <f>B50*Premissas!$C$28</f>
        <v/>
      </c>
      <c r="F50">
        <f>B50*Premissas!$C$13/12*MIN(1,A50/Premissas!$C$17)</f>
        <v/>
      </c>
      <c r="G50">
        <f>F50*Premissas!$C$14</f>
        <v/>
      </c>
      <c r="H50">
        <f>IF(IF(A50-1-Premissas!$C$16&gt;=0,OFFSET($J$4,A50-1-Premissas!$C$16,0),0)&gt;0,ROUND(IF(A50-1-Premissas!$C$16&gt;=0,OFFSET($J$4,A50-1-Premissas!$C$16,0),0)*10000/Premissas!$C$5*Premissas!$C$15,0),0)</f>
        <v/>
      </c>
      <c r="I50">
        <f>ROUND(G50*Premissas!$C$6/10000,0)</f>
        <v/>
      </c>
      <c r="J50">
        <f>ROUND(G50*Premissas!$C$5/10000,0)</f>
        <v/>
      </c>
      <c r="K50">
        <f>IF(IF(A50-1-Premissas!$C$16&gt;=0,OFFSET($A$4,A50-1-Premissas!$C$16,0)&gt;=Premissas!$C$19,FALSE),ROUND(IF(A50-1-Premissas!$C$16&gt;=0,OFFSET($J$4,A50-1-Premissas!$C$16,0),0)*Premissas!$C$15,0),0)</f>
        <v/>
      </c>
      <c r="L50">
        <f>ROUND(C50*Premissas!$C$24/12,0)</f>
        <v/>
      </c>
      <c r="M50">
        <f>ROUND(D50*Premissas!$C$25,0)</f>
        <v/>
      </c>
      <c r="N50">
        <f>ROUND(E50*Premissas!$C$29+B50*Premissas!$C$30,0)</f>
        <v/>
      </c>
      <c r="O50">
        <f>K50+L50+M50+N50</f>
        <v/>
      </c>
      <c r="P50">
        <f>K50+ROUND(AC50*Premissas!$C$24,0)+M50+N50</f>
        <v/>
      </c>
      <c r="Q50">
        <f>ROUND(IF(A50-1-Premissas!$C$21&gt;=0,OFFSET($P$4,A50-1-Premissas!$C$21,0),0)*(1-Premissas!$C$20/100),0)</f>
        <v/>
      </c>
      <c r="R50">
        <f>ROUND(F50*Premissas!$C$11+N50*Premissas!$C$31/100,0)+ROUND((E50+B50)*Premissas!$C$10,0)+ROUND(Q50*Premissas!$C$8/100,0)+ROUND(Premissas!$C$35+(B50+C50)*Premissas!$C$36,0)</f>
        <v/>
      </c>
      <c r="S50">
        <f>O50-R50</f>
        <v/>
      </c>
      <c r="T50">
        <f>ROUND(O50*Premissas!$C$9/100,0)</f>
        <v/>
      </c>
      <c r="U50">
        <f>ROUND(AB50*Premissas!$C$33,0)</f>
        <v/>
      </c>
      <c r="V50">
        <f>Premissas!$C$37+ROUND(Premissas!$C$12*Premissas!$C$38+D50*Premissas!$C$27,0)</f>
        <v/>
      </c>
      <c r="W50">
        <f>Premissas!$C$39</f>
        <v/>
      </c>
      <c r="X50">
        <f>S50-T50-ROUND(Premissas!$C$12*Premissas!$C$38+D50*Premissas!$C$27,0)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Premissas!$C$32+(B50+C50)/Premissas!$C$34</f>
        <v/>
      </c>
      <c r="AC50">
        <f>D50+AC38*(1-Premissas!$C$26/12)^12</f>
        <v/>
      </c>
    </row>
    <row r="51">
      <c r="A51" t="n">
        <v>48</v>
      </c>
      <c r="B51">
        <f>B50*(1-Premissas!$C$18/12)+Premissas!$C$12</f>
        <v/>
      </c>
      <c r="C51">
        <f>IF($B$2=1,C50*(1-Premissas!$C$26/12)+D51,0)</f>
        <v/>
      </c>
      <c r="D51">
        <f>IF(AND($B$2=1,A51&gt;=Premissas!$C$23),Premissas!$C$22,0)</f>
        <v/>
      </c>
      <c r="E51">
        <f>B51*Premissas!$C$28</f>
        <v/>
      </c>
      <c r="F51">
        <f>B51*Premissas!$C$13/12*MIN(1,A51/Premissas!$C$17)</f>
        <v/>
      </c>
      <c r="G51">
        <f>F51*Premissas!$C$14</f>
        <v/>
      </c>
      <c r="H51">
        <f>IF(IF(A51-1-Premissas!$C$16&gt;=0,OFFSET($J$4,A51-1-Premissas!$C$16,0),0)&gt;0,ROUND(IF(A51-1-Premissas!$C$16&gt;=0,OFFSET($J$4,A51-1-Premissas!$C$16,0),0)*10000/Premissas!$C$5*Premissas!$C$15,0),0)</f>
        <v/>
      </c>
      <c r="I51">
        <f>ROUND(G51*Premissas!$C$6/10000,0)</f>
        <v/>
      </c>
      <c r="J51">
        <f>ROUND(G51*Premissas!$C$5/10000,0)</f>
        <v/>
      </c>
      <c r="K51">
        <f>IF(IF(A51-1-Premissas!$C$16&gt;=0,OFFSET($A$4,A51-1-Premissas!$C$16,0)&gt;=Premissas!$C$19,FALSE),ROUND(IF(A51-1-Premissas!$C$16&gt;=0,OFFSET($J$4,A51-1-Premissas!$C$16,0),0)*Premissas!$C$15,0),0)</f>
        <v/>
      </c>
      <c r="L51">
        <f>ROUND(C51*Premissas!$C$24/12,0)</f>
        <v/>
      </c>
      <c r="M51">
        <f>ROUND(D51*Premissas!$C$25,0)</f>
        <v/>
      </c>
      <c r="N51">
        <f>ROUND(E51*Premissas!$C$29+B51*Premissas!$C$30,0)</f>
        <v/>
      </c>
      <c r="O51">
        <f>K51+L51+M51+N51</f>
        <v/>
      </c>
      <c r="P51">
        <f>K51+ROUND(AC51*Premissas!$C$24,0)+M51+N51</f>
        <v/>
      </c>
      <c r="Q51">
        <f>ROUND(IF(A51-1-Premissas!$C$21&gt;=0,OFFSET($P$4,A51-1-Premissas!$C$21,0),0)*(1-Premissas!$C$20/100),0)</f>
        <v/>
      </c>
      <c r="R51">
        <f>ROUND(F51*Premissas!$C$11+N51*Premissas!$C$31/100,0)+ROUND((E51+B51)*Premissas!$C$10,0)+ROUND(Q51*Premissas!$C$8/100,0)+ROUND(Premissas!$C$35+(B51+C51)*Premissas!$C$36,0)</f>
        <v/>
      </c>
      <c r="S51">
        <f>O51-R51</f>
        <v/>
      </c>
      <c r="T51">
        <f>ROUND(O51*Premissas!$C$9/100,0)</f>
        <v/>
      </c>
      <c r="U51">
        <f>ROUND(AB51*Premissas!$C$33,0)</f>
        <v/>
      </c>
      <c r="V51">
        <f>Premissas!$C$37+ROUND(Premissas!$C$12*Premissas!$C$38+D51*Premissas!$C$27,0)</f>
        <v/>
      </c>
      <c r="W51">
        <f>Premissas!$C$39</f>
        <v/>
      </c>
      <c r="X51">
        <f>S51-T51-ROUND(Premissas!$C$12*Premissas!$C$38+D51*Premissas!$C$27,0)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Premissas!$C$32+(B51+C51)/Premissas!$C$34</f>
        <v/>
      </c>
      <c r="AC51">
        <f>D51+AC39*(1-Premissas!$C$26/12)^12</f>
        <v/>
      </c>
    </row>
    <row r="52">
      <c r="A52" t="n">
        <v>49</v>
      </c>
      <c r="B52">
        <f>B51*(1-Premissas!$C$18/12)+Premissas!$C$12</f>
        <v/>
      </c>
      <c r="C52">
        <f>IF($B$2=1,C51*(1-Premissas!$C$26/12)+D52,0)</f>
        <v/>
      </c>
      <c r="D52">
        <f>IF(AND($B$2=1,A52&gt;=Premissas!$C$23),Premissas!$C$22,0)</f>
        <v/>
      </c>
      <c r="E52">
        <f>B52*Premissas!$C$28</f>
        <v/>
      </c>
      <c r="F52">
        <f>B52*Premissas!$C$13/12*MIN(1,A52/Premissas!$C$17)</f>
        <v/>
      </c>
      <c r="G52">
        <f>F52*Premissas!$C$14</f>
        <v/>
      </c>
      <c r="H52">
        <f>IF(IF(A52-1-Premissas!$C$16&gt;=0,OFFSET($J$4,A52-1-Premissas!$C$16,0),0)&gt;0,ROUND(IF(A52-1-Premissas!$C$16&gt;=0,OFFSET($J$4,A52-1-Premissas!$C$16,0),0)*10000/Premissas!$C$5*Premissas!$C$15,0),0)</f>
        <v/>
      </c>
      <c r="I52">
        <f>ROUND(G52*Premissas!$C$6/10000,0)</f>
        <v/>
      </c>
      <c r="J52">
        <f>ROUND(G52*Premissas!$C$5/10000,0)</f>
        <v/>
      </c>
      <c r="K52">
        <f>IF(IF(A52-1-Premissas!$C$16&gt;=0,OFFSET($A$4,A52-1-Premissas!$C$16,0)&gt;=Premissas!$C$19,FALSE),ROUND(IF(A52-1-Premissas!$C$16&gt;=0,OFFSET($J$4,A52-1-Premissas!$C$16,0),0)*Premissas!$C$15,0),0)</f>
        <v/>
      </c>
      <c r="L52">
        <f>ROUND(C52*Premissas!$C$24/12,0)</f>
        <v/>
      </c>
      <c r="M52">
        <f>ROUND(D52*Premissas!$C$25,0)</f>
        <v/>
      </c>
      <c r="N52">
        <f>ROUND(E52*Premissas!$C$29+B52*Premissas!$C$30,0)</f>
        <v/>
      </c>
      <c r="O52">
        <f>K52+L52+M52+N52</f>
        <v/>
      </c>
      <c r="P52">
        <f>K52+ROUND(AC52*Premissas!$C$24,0)+M52+N52</f>
        <v/>
      </c>
      <c r="Q52">
        <f>ROUND(IF(A52-1-Premissas!$C$21&gt;=0,OFFSET($P$4,A52-1-Premissas!$C$21,0),0)*(1-Premissas!$C$20/100),0)</f>
        <v/>
      </c>
      <c r="R52">
        <f>ROUND(F52*Premissas!$C$11+N52*Premissas!$C$31/100,0)+ROUND((E52+B52)*Premissas!$C$10,0)+ROUND(Q52*Premissas!$C$8/100,0)+ROUND(Premissas!$C$35+(B52+C52)*Premissas!$C$36,0)</f>
        <v/>
      </c>
      <c r="S52">
        <f>O52-R52</f>
        <v/>
      </c>
      <c r="T52">
        <f>ROUND(O52*Premissas!$C$9/100,0)</f>
        <v/>
      </c>
      <c r="U52">
        <f>ROUND(AB52*Premissas!$C$33,0)</f>
        <v/>
      </c>
      <c r="V52">
        <f>Premissas!$C$37+ROUND(Premissas!$C$12*Premissas!$C$38+D52*Premissas!$C$27,0)</f>
        <v/>
      </c>
      <c r="W52">
        <f>Premissas!$C$39</f>
        <v/>
      </c>
      <c r="X52">
        <f>S52-T52-ROUND(Premissas!$C$12*Premissas!$C$38+D52*Premissas!$C$27,0)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Premissas!$C$32+(B52+C52)/Premissas!$C$34</f>
        <v/>
      </c>
      <c r="AC52">
        <f>D52+AC40*(1-Premissas!$C$26/12)^12</f>
        <v/>
      </c>
    </row>
    <row r="53">
      <c r="A53" t="n">
        <v>50</v>
      </c>
      <c r="B53">
        <f>B52*(1-Premissas!$C$18/12)+Premissas!$C$12</f>
        <v/>
      </c>
      <c r="C53">
        <f>IF($B$2=1,C52*(1-Premissas!$C$26/12)+D53,0)</f>
        <v/>
      </c>
      <c r="D53">
        <f>IF(AND($B$2=1,A53&gt;=Premissas!$C$23),Premissas!$C$22,0)</f>
        <v/>
      </c>
      <c r="E53">
        <f>B53*Premissas!$C$28</f>
        <v/>
      </c>
      <c r="F53">
        <f>B53*Premissas!$C$13/12*MIN(1,A53/Premissas!$C$17)</f>
        <v/>
      </c>
      <c r="G53">
        <f>F53*Premissas!$C$14</f>
        <v/>
      </c>
      <c r="H53">
        <f>IF(IF(A53-1-Premissas!$C$16&gt;=0,OFFSET($J$4,A53-1-Premissas!$C$16,0),0)&gt;0,ROUND(IF(A53-1-Premissas!$C$16&gt;=0,OFFSET($J$4,A53-1-Premissas!$C$16,0),0)*10000/Premissas!$C$5*Premissas!$C$15,0),0)</f>
        <v/>
      </c>
      <c r="I53">
        <f>ROUND(G53*Premissas!$C$6/10000,0)</f>
        <v/>
      </c>
      <c r="J53">
        <f>ROUND(G53*Premissas!$C$5/10000,0)</f>
        <v/>
      </c>
      <c r="K53">
        <f>IF(IF(A53-1-Premissas!$C$16&gt;=0,OFFSET($A$4,A53-1-Premissas!$C$16,0)&gt;=Premissas!$C$19,FALSE),ROUND(IF(A53-1-Premissas!$C$16&gt;=0,OFFSET($J$4,A53-1-Premissas!$C$16,0),0)*Premissas!$C$15,0),0)</f>
        <v/>
      </c>
      <c r="L53">
        <f>ROUND(C53*Premissas!$C$24/12,0)</f>
        <v/>
      </c>
      <c r="M53">
        <f>ROUND(D53*Premissas!$C$25,0)</f>
        <v/>
      </c>
      <c r="N53">
        <f>ROUND(E53*Premissas!$C$29+B53*Premissas!$C$30,0)</f>
        <v/>
      </c>
      <c r="O53">
        <f>K53+L53+M53+N53</f>
        <v/>
      </c>
      <c r="P53">
        <f>K53+ROUND(AC53*Premissas!$C$24,0)+M53+N53</f>
        <v/>
      </c>
      <c r="Q53">
        <f>ROUND(IF(A53-1-Premissas!$C$21&gt;=0,OFFSET($P$4,A53-1-Premissas!$C$21,0),0)*(1-Premissas!$C$20/100),0)</f>
        <v/>
      </c>
      <c r="R53">
        <f>ROUND(F53*Premissas!$C$11+N53*Premissas!$C$31/100,0)+ROUND((E53+B53)*Premissas!$C$10,0)+ROUND(Q53*Premissas!$C$8/100,0)+ROUND(Premissas!$C$35+(B53+C53)*Premissas!$C$36,0)</f>
        <v/>
      </c>
      <c r="S53">
        <f>O53-R53</f>
        <v/>
      </c>
      <c r="T53">
        <f>ROUND(O53*Premissas!$C$9/100,0)</f>
        <v/>
      </c>
      <c r="U53">
        <f>ROUND(AB53*Premissas!$C$33,0)</f>
        <v/>
      </c>
      <c r="V53">
        <f>Premissas!$C$37+ROUND(Premissas!$C$12*Premissas!$C$38+D53*Premissas!$C$27,0)</f>
        <v/>
      </c>
      <c r="W53">
        <f>Premissas!$C$39</f>
        <v/>
      </c>
      <c r="X53">
        <f>S53-T53-ROUND(Premissas!$C$12*Premissas!$C$38+D53*Premissas!$C$27,0)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Premissas!$C$32+(B53+C53)/Premissas!$C$34</f>
        <v/>
      </c>
      <c r="AC53">
        <f>D53+AC41*(1-Premissas!$C$26/12)^12</f>
        <v/>
      </c>
    </row>
    <row r="54">
      <c r="A54" t="n">
        <v>51</v>
      </c>
      <c r="B54">
        <f>B53*(1-Premissas!$C$18/12)+Premissas!$C$12</f>
        <v/>
      </c>
      <c r="C54">
        <f>IF($B$2=1,C53*(1-Premissas!$C$26/12)+D54,0)</f>
        <v/>
      </c>
      <c r="D54">
        <f>IF(AND($B$2=1,A54&gt;=Premissas!$C$23),Premissas!$C$22,0)</f>
        <v/>
      </c>
      <c r="E54">
        <f>B54*Premissas!$C$28</f>
        <v/>
      </c>
      <c r="F54">
        <f>B54*Premissas!$C$13/12*MIN(1,A54/Premissas!$C$17)</f>
        <v/>
      </c>
      <c r="G54">
        <f>F54*Premissas!$C$14</f>
        <v/>
      </c>
      <c r="H54">
        <f>IF(IF(A54-1-Premissas!$C$16&gt;=0,OFFSET($J$4,A54-1-Premissas!$C$16,0),0)&gt;0,ROUND(IF(A54-1-Premissas!$C$16&gt;=0,OFFSET($J$4,A54-1-Premissas!$C$16,0),0)*10000/Premissas!$C$5*Premissas!$C$15,0),0)</f>
        <v/>
      </c>
      <c r="I54">
        <f>ROUND(G54*Premissas!$C$6/10000,0)</f>
        <v/>
      </c>
      <c r="J54">
        <f>ROUND(G54*Premissas!$C$5/10000,0)</f>
        <v/>
      </c>
      <c r="K54">
        <f>IF(IF(A54-1-Premissas!$C$16&gt;=0,OFFSET($A$4,A54-1-Premissas!$C$16,0)&gt;=Premissas!$C$19,FALSE),ROUND(IF(A54-1-Premissas!$C$16&gt;=0,OFFSET($J$4,A54-1-Premissas!$C$16,0),0)*Premissas!$C$15,0),0)</f>
        <v/>
      </c>
      <c r="L54">
        <f>ROUND(C54*Premissas!$C$24/12,0)</f>
        <v/>
      </c>
      <c r="M54">
        <f>ROUND(D54*Premissas!$C$25,0)</f>
        <v/>
      </c>
      <c r="N54">
        <f>ROUND(E54*Premissas!$C$29+B54*Premissas!$C$30,0)</f>
        <v/>
      </c>
      <c r="O54">
        <f>K54+L54+M54+N54</f>
        <v/>
      </c>
      <c r="P54">
        <f>K54+ROUND(AC54*Premissas!$C$24,0)+M54+N54</f>
        <v/>
      </c>
      <c r="Q54">
        <f>ROUND(IF(A54-1-Premissas!$C$21&gt;=0,OFFSET($P$4,A54-1-Premissas!$C$21,0),0)*(1-Premissas!$C$20/100),0)</f>
        <v/>
      </c>
      <c r="R54">
        <f>ROUND(F54*Premissas!$C$11+N54*Premissas!$C$31/100,0)+ROUND((E54+B54)*Premissas!$C$10,0)+ROUND(Q54*Premissas!$C$8/100,0)+ROUND(Premissas!$C$35+(B54+C54)*Premissas!$C$36,0)</f>
        <v/>
      </c>
      <c r="S54">
        <f>O54-R54</f>
        <v/>
      </c>
      <c r="T54">
        <f>ROUND(O54*Premissas!$C$9/100,0)</f>
        <v/>
      </c>
      <c r="U54">
        <f>ROUND(AB54*Premissas!$C$33,0)</f>
        <v/>
      </c>
      <c r="V54">
        <f>Premissas!$C$37+ROUND(Premissas!$C$12*Premissas!$C$38+D54*Premissas!$C$27,0)</f>
        <v/>
      </c>
      <c r="W54">
        <f>Premissas!$C$39</f>
        <v/>
      </c>
      <c r="X54">
        <f>S54-T54-ROUND(Premissas!$C$12*Premissas!$C$38+D54*Premissas!$C$27,0)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Premissas!$C$32+(B54+C54)/Premissas!$C$34</f>
        <v/>
      </c>
      <c r="AC54">
        <f>D54+AC42*(1-Premissas!$C$26/12)^12</f>
        <v/>
      </c>
    </row>
    <row r="55">
      <c r="A55" t="n">
        <v>52</v>
      </c>
      <c r="B55">
        <f>B54*(1-Premissas!$C$18/12)+Premissas!$C$12</f>
        <v/>
      </c>
      <c r="C55">
        <f>IF($B$2=1,C54*(1-Premissas!$C$26/12)+D55,0)</f>
        <v/>
      </c>
      <c r="D55">
        <f>IF(AND($B$2=1,A55&gt;=Premissas!$C$23),Premissas!$C$22,0)</f>
        <v/>
      </c>
      <c r="E55">
        <f>B55*Premissas!$C$28</f>
        <v/>
      </c>
      <c r="F55">
        <f>B55*Premissas!$C$13/12*MIN(1,A55/Premissas!$C$17)</f>
        <v/>
      </c>
      <c r="G55">
        <f>F55*Premissas!$C$14</f>
        <v/>
      </c>
      <c r="H55">
        <f>IF(IF(A55-1-Premissas!$C$16&gt;=0,OFFSET($J$4,A55-1-Premissas!$C$16,0),0)&gt;0,ROUND(IF(A55-1-Premissas!$C$16&gt;=0,OFFSET($J$4,A55-1-Premissas!$C$16,0),0)*10000/Premissas!$C$5*Premissas!$C$15,0),0)</f>
        <v/>
      </c>
      <c r="I55">
        <f>ROUND(G55*Premissas!$C$6/10000,0)</f>
        <v/>
      </c>
      <c r="J55">
        <f>ROUND(G55*Premissas!$C$5/10000,0)</f>
        <v/>
      </c>
      <c r="K55">
        <f>IF(IF(A55-1-Premissas!$C$16&gt;=0,OFFSET($A$4,A55-1-Premissas!$C$16,0)&gt;=Premissas!$C$19,FALSE),ROUND(IF(A55-1-Premissas!$C$16&gt;=0,OFFSET($J$4,A55-1-Premissas!$C$16,0),0)*Premissas!$C$15,0),0)</f>
        <v/>
      </c>
      <c r="L55">
        <f>ROUND(C55*Premissas!$C$24/12,0)</f>
        <v/>
      </c>
      <c r="M55">
        <f>ROUND(D55*Premissas!$C$25,0)</f>
        <v/>
      </c>
      <c r="N55">
        <f>ROUND(E55*Premissas!$C$29+B55*Premissas!$C$30,0)</f>
        <v/>
      </c>
      <c r="O55">
        <f>K55+L55+M55+N55</f>
        <v/>
      </c>
      <c r="P55">
        <f>K55+ROUND(AC55*Premissas!$C$24,0)+M55+N55</f>
        <v/>
      </c>
      <c r="Q55">
        <f>ROUND(IF(A55-1-Premissas!$C$21&gt;=0,OFFSET($P$4,A55-1-Premissas!$C$21,0),0)*(1-Premissas!$C$20/100),0)</f>
        <v/>
      </c>
      <c r="R55">
        <f>ROUND(F55*Premissas!$C$11+N55*Premissas!$C$31/100,0)+ROUND((E55+B55)*Premissas!$C$10,0)+ROUND(Q55*Premissas!$C$8/100,0)+ROUND(Premissas!$C$35+(B55+C55)*Premissas!$C$36,0)</f>
        <v/>
      </c>
      <c r="S55">
        <f>O55-R55</f>
        <v/>
      </c>
      <c r="T55">
        <f>ROUND(O55*Premissas!$C$9/100,0)</f>
        <v/>
      </c>
      <c r="U55">
        <f>ROUND(AB55*Premissas!$C$33,0)</f>
        <v/>
      </c>
      <c r="V55">
        <f>Premissas!$C$37+ROUND(Premissas!$C$12*Premissas!$C$38+D55*Premissas!$C$27,0)</f>
        <v/>
      </c>
      <c r="W55">
        <f>Premissas!$C$39</f>
        <v/>
      </c>
      <c r="X55">
        <f>S55-T55-ROUND(Premissas!$C$12*Premissas!$C$38+D55*Premissas!$C$27,0)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Premissas!$C$32+(B55+C55)/Premissas!$C$34</f>
        <v/>
      </c>
      <c r="AC55">
        <f>D55+AC43*(1-Premissas!$C$26/12)^12</f>
        <v/>
      </c>
    </row>
    <row r="56">
      <c r="A56" t="n">
        <v>53</v>
      </c>
      <c r="B56">
        <f>B55*(1-Premissas!$C$18/12)+Premissas!$C$12</f>
        <v/>
      </c>
      <c r="C56">
        <f>IF($B$2=1,C55*(1-Premissas!$C$26/12)+D56,0)</f>
        <v/>
      </c>
      <c r="D56">
        <f>IF(AND($B$2=1,A56&gt;=Premissas!$C$23),Premissas!$C$22,0)</f>
        <v/>
      </c>
      <c r="E56">
        <f>B56*Premissas!$C$28</f>
        <v/>
      </c>
      <c r="F56">
        <f>B56*Premissas!$C$13/12*MIN(1,A56/Premissas!$C$17)</f>
        <v/>
      </c>
      <c r="G56">
        <f>F56*Premissas!$C$14</f>
        <v/>
      </c>
      <c r="H56">
        <f>IF(IF(A56-1-Premissas!$C$16&gt;=0,OFFSET($J$4,A56-1-Premissas!$C$16,0),0)&gt;0,ROUND(IF(A56-1-Premissas!$C$16&gt;=0,OFFSET($J$4,A56-1-Premissas!$C$16,0),0)*10000/Premissas!$C$5*Premissas!$C$15,0),0)</f>
        <v/>
      </c>
      <c r="I56">
        <f>ROUND(G56*Premissas!$C$6/10000,0)</f>
        <v/>
      </c>
      <c r="J56">
        <f>ROUND(G56*Premissas!$C$5/10000,0)</f>
        <v/>
      </c>
      <c r="K56">
        <f>IF(IF(A56-1-Premissas!$C$16&gt;=0,OFFSET($A$4,A56-1-Premissas!$C$16,0)&gt;=Premissas!$C$19,FALSE),ROUND(IF(A56-1-Premissas!$C$16&gt;=0,OFFSET($J$4,A56-1-Premissas!$C$16,0),0)*Premissas!$C$15,0),0)</f>
        <v/>
      </c>
      <c r="L56">
        <f>ROUND(C56*Premissas!$C$24/12,0)</f>
        <v/>
      </c>
      <c r="M56">
        <f>ROUND(D56*Premissas!$C$25,0)</f>
        <v/>
      </c>
      <c r="N56">
        <f>ROUND(E56*Premissas!$C$29+B56*Premissas!$C$30,0)</f>
        <v/>
      </c>
      <c r="O56">
        <f>K56+L56+M56+N56</f>
        <v/>
      </c>
      <c r="P56">
        <f>K56+ROUND(AC56*Premissas!$C$24,0)+M56+N56</f>
        <v/>
      </c>
      <c r="Q56">
        <f>ROUND(IF(A56-1-Premissas!$C$21&gt;=0,OFFSET($P$4,A56-1-Premissas!$C$21,0),0)*(1-Premissas!$C$20/100),0)</f>
        <v/>
      </c>
      <c r="R56">
        <f>ROUND(F56*Premissas!$C$11+N56*Premissas!$C$31/100,0)+ROUND((E56+B56)*Premissas!$C$10,0)+ROUND(Q56*Premissas!$C$8/100,0)+ROUND(Premissas!$C$35+(B56+C56)*Premissas!$C$36,0)</f>
        <v/>
      </c>
      <c r="S56">
        <f>O56-R56</f>
        <v/>
      </c>
      <c r="T56">
        <f>ROUND(O56*Premissas!$C$9/100,0)</f>
        <v/>
      </c>
      <c r="U56">
        <f>ROUND(AB56*Premissas!$C$33,0)</f>
        <v/>
      </c>
      <c r="V56">
        <f>Premissas!$C$37+ROUND(Premissas!$C$12*Premissas!$C$38+D56*Premissas!$C$27,0)</f>
        <v/>
      </c>
      <c r="W56">
        <f>Premissas!$C$39</f>
        <v/>
      </c>
      <c r="X56">
        <f>S56-T56-ROUND(Premissas!$C$12*Premissas!$C$38+D56*Premissas!$C$27,0)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Premissas!$C$32+(B56+C56)/Premissas!$C$34</f>
        <v/>
      </c>
      <c r="AC56">
        <f>D56+AC44*(1-Premissas!$C$26/12)^12</f>
        <v/>
      </c>
    </row>
    <row r="57">
      <c r="A57" t="n">
        <v>54</v>
      </c>
      <c r="B57">
        <f>B56*(1-Premissas!$C$18/12)+Premissas!$C$12</f>
        <v/>
      </c>
      <c r="C57">
        <f>IF($B$2=1,C56*(1-Premissas!$C$26/12)+D57,0)</f>
        <v/>
      </c>
      <c r="D57">
        <f>IF(AND($B$2=1,A57&gt;=Premissas!$C$23),Premissas!$C$22,0)</f>
        <v/>
      </c>
      <c r="E57">
        <f>B57*Premissas!$C$28</f>
        <v/>
      </c>
      <c r="F57">
        <f>B57*Premissas!$C$13/12*MIN(1,A57/Premissas!$C$17)</f>
        <v/>
      </c>
      <c r="G57">
        <f>F57*Premissas!$C$14</f>
        <v/>
      </c>
      <c r="H57">
        <f>IF(IF(A57-1-Premissas!$C$16&gt;=0,OFFSET($J$4,A57-1-Premissas!$C$16,0),0)&gt;0,ROUND(IF(A57-1-Premissas!$C$16&gt;=0,OFFSET($J$4,A57-1-Premissas!$C$16,0),0)*10000/Premissas!$C$5*Premissas!$C$15,0),0)</f>
        <v/>
      </c>
      <c r="I57">
        <f>ROUND(G57*Premissas!$C$6/10000,0)</f>
        <v/>
      </c>
      <c r="J57">
        <f>ROUND(G57*Premissas!$C$5/10000,0)</f>
        <v/>
      </c>
      <c r="K57">
        <f>IF(IF(A57-1-Premissas!$C$16&gt;=0,OFFSET($A$4,A57-1-Premissas!$C$16,0)&gt;=Premissas!$C$19,FALSE),ROUND(IF(A57-1-Premissas!$C$16&gt;=0,OFFSET($J$4,A57-1-Premissas!$C$16,0),0)*Premissas!$C$15,0),0)</f>
        <v/>
      </c>
      <c r="L57">
        <f>ROUND(C57*Premissas!$C$24/12,0)</f>
        <v/>
      </c>
      <c r="M57">
        <f>ROUND(D57*Premissas!$C$25,0)</f>
        <v/>
      </c>
      <c r="N57">
        <f>ROUND(E57*Premissas!$C$29+B57*Premissas!$C$30,0)</f>
        <v/>
      </c>
      <c r="O57">
        <f>K57+L57+M57+N57</f>
        <v/>
      </c>
      <c r="P57">
        <f>K57+ROUND(AC57*Premissas!$C$24,0)+M57+N57</f>
        <v/>
      </c>
      <c r="Q57">
        <f>ROUND(IF(A57-1-Premissas!$C$21&gt;=0,OFFSET($P$4,A57-1-Premissas!$C$21,0),0)*(1-Premissas!$C$20/100),0)</f>
        <v/>
      </c>
      <c r="R57">
        <f>ROUND(F57*Premissas!$C$11+N57*Premissas!$C$31/100,0)+ROUND((E57+B57)*Premissas!$C$10,0)+ROUND(Q57*Premissas!$C$8/100,0)+ROUND(Premissas!$C$35+(B57+C57)*Premissas!$C$36,0)</f>
        <v/>
      </c>
      <c r="S57">
        <f>O57-R57</f>
        <v/>
      </c>
      <c r="T57">
        <f>ROUND(O57*Premissas!$C$9/100,0)</f>
        <v/>
      </c>
      <c r="U57">
        <f>ROUND(AB57*Premissas!$C$33,0)</f>
        <v/>
      </c>
      <c r="V57">
        <f>Premissas!$C$37+ROUND(Premissas!$C$12*Premissas!$C$38+D57*Premissas!$C$27,0)</f>
        <v/>
      </c>
      <c r="W57">
        <f>Premissas!$C$39</f>
        <v/>
      </c>
      <c r="X57">
        <f>S57-T57-ROUND(Premissas!$C$12*Premissas!$C$38+D57*Premissas!$C$27,0)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Premissas!$C$32+(B57+C57)/Premissas!$C$34</f>
        <v/>
      </c>
      <c r="AC57">
        <f>D57+AC45*(1-Premissas!$C$26/12)^12</f>
        <v/>
      </c>
    </row>
    <row r="58">
      <c r="A58" t="n">
        <v>55</v>
      </c>
      <c r="B58">
        <f>B57*(1-Premissas!$C$18/12)+Premissas!$C$12</f>
        <v/>
      </c>
      <c r="C58">
        <f>IF($B$2=1,C57*(1-Premissas!$C$26/12)+D58,0)</f>
        <v/>
      </c>
      <c r="D58">
        <f>IF(AND($B$2=1,A58&gt;=Premissas!$C$23),Premissas!$C$22,0)</f>
        <v/>
      </c>
      <c r="E58">
        <f>B58*Premissas!$C$28</f>
        <v/>
      </c>
      <c r="F58">
        <f>B58*Premissas!$C$13/12*MIN(1,A58/Premissas!$C$17)</f>
        <v/>
      </c>
      <c r="G58">
        <f>F58*Premissas!$C$14</f>
        <v/>
      </c>
      <c r="H58">
        <f>IF(IF(A58-1-Premissas!$C$16&gt;=0,OFFSET($J$4,A58-1-Premissas!$C$16,0),0)&gt;0,ROUND(IF(A58-1-Premissas!$C$16&gt;=0,OFFSET($J$4,A58-1-Premissas!$C$16,0),0)*10000/Premissas!$C$5*Premissas!$C$15,0),0)</f>
        <v/>
      </c>
      <c r="I58">
        <f>ROUND(G58*Premissas!$C$6/10000,0)</f>
        <v/>
      </c>
      <c r="J58">
        <f>ROUND(G58*Premissas!$C$5/10000,0)</f>
        <v/>
      </c>
      <c r="K58">
        <f>IF(IF(A58-1-Premissas!$C$16&gt;=0,OFFSET($A$4,A58-1-Premissas!$C$16,0)&gt;=Premissas!$C$19,FALSE),ROUND(IF(A58-1-Premissas!$C$16&gt;=0,OFFSET($J$4,A58-1-Premissas!$C$16,0),0)*Premissas!$C$15,0),0)</f>
        <v/>
      </c>
      <c r="L58">
        <f>ROUND(C58*Premissas!$C$24/12,0)</f>
        <v/>
      </c>
      <c r="M58">
        <f>ROUND(D58*Premissas!$C$25,0)</f>
        <v/>
      </c>
      <c r="N58">
        <f>ROUND(E58*Premissas!$C$29+B58*Premissas!$C$30,0)</f>
        <v/>
      </c>
      <c r="O58">
        <f>K58+L58+M58+N58</f>
        <v/>
      </c>
      <c r="P58">
        <f>K58+ROUND(AC58*Premissas!$C$24,0)+M58+N58</f>
        <v/>
      </c>
      <c r="Q58">
        <f>ROUND(IF(A58-1-Premissas!$C$21&gt;=0,OFFSET($P$4,A58-1-Premissas!$C$21,0),0)*(1-Premissas!$C$20/100),0)</f>
        <v/>
      </c>
      <c r="R58">
        <f>ROUND(F58*Premissas!$C$11+N58*Premissas!$C$31/100,0)+ROUND((E58+B58)*Premissas!$C$10,0)+ROUND(Q58*Premissas!$C$8/100,0)+ROUND(Premissas!$C$35+(B58+C58)*Premissas!$C$36,0)</f>
        <v/>
      </c>
      <c r="S58">
        <f>O58-R58</f>
        <v/>
      </c>
      <c r="T58">
        <f>ROUND(O58*Premissas!$C$9/100,0)</f>
        <v/>
      </c>
      <c r="U58">
        <f>ROUND(AB58*Premissas!$C$33,0)</f>
        <v/>
      </c>
      <c r="V58">
        <f>Premissas!$C$37+ROUND(Premissas!$C$12*Premissas!$C$38+D58*Premissas!$C$27,0)</f>
        <v/>
      </c>
      <c r="W58">
        <f>Premissas!$C$39</f>
        <v/>
      </c>
      <c r="X58">
        <f>S58-T58-ROUND(Premissas!$C$12*Premissas!$C$38+D58*Premissas!$C$27,0)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Premissas!$C$32+(B58+C58)/Premissas!$C$34</f>
        <v/>
      </c>
      <c r="AC58">
        <f>D58+AC46*(1-Premissas!$C$26/12)^12</f>
        <v/>
      </c>
    </row>
    <row r="59">
      <c r="A59" t="n">
        <v>56</v>
      </c>
      <c r="B59">
        <f>B58*(1-Premissas!$C$18/12)+Premissas!$C$12</f>
        <v/>
      </c>
      <c r="C59">
        <f>IF($B$2=1,C58*(1-Premissas!$C$26/12)+D59,0)</f>
        <v/>
      </c>
      <c r="D59">
        <f>IF(AND($B$2=1,A59&gt;=Premissas!$C$23),Premissas!$C$22,0)</f>
        <v/>
      </c>
      <c r="E59">
        <f>B59*Premissas!$C$28</f>
        <v/>
      </c>
      <c r="F59">
        <f>B59*Premissas!$C$13/12*MIN(1,A59/Premissas!$C$17)</f>
        <v/>
      </c>
      <c r="G59">
        <f>F59*Premissas!$C$14</f>
        <v/>
      </c>
      <c r="H59">
        <f>IF(IF(A59-1-Premissas!$C$16&gt;=0,OFFSET($J$4,A59-1-Premissas!$C$16,0),0)&gt;0,ROUND(IF(A59-1-Premissas!$C$16&gt;=0,OFFSET($J$4,A59-1-Premissas!$C$16,0),0)*10000/Premissas!$C$5*Premissas!$C$15,0),0)</f>
        <v/>
      </c>
      <c r="I59">
        <f>ROUND(G59*Premissas!$C$6/10000,0)</f>
        <v/>
      </c>
      <c r="J59">
        <f>ROUND(G59*Premissas!$C$5/10000,0)</f>
        <v/>
      </c>
      <c r="K59">
        <f>IF(IF(A59-1-Premissas!$C$16&gt;=0,OFFSET($A$4,A59-1-Premissas!$C$16,0)&gt;=Premissas!$C$19,FALSE),ROUND(IF(A59-1-Premissas!$C$16&gt;=0,OFFSET($J$4,A59-1-Premissas!$C$16,0),0)*Premissas!$C$15,0),0)</f>
        <v/>
      </c>
      <c r="L59">
        <f>ROUND(C59*Premissas!$C$24/12,0)</f>
        <v/>
      </c>
      <c r="M59">
        <f>ROUND(D59*Premissas!$C$25,0)</f>
        <v/>
      </c>
      <c r="N59">
        <f>ROUND(E59*Premissas!$C$29+B59*Premissas!$C$30,0)</f>
        <v/>
      </c>
      <c r="O59">
        <f>K59+L59+M59+N59</f>
        <v/>
      </c>
      <c r="P59">
        <f>K59+ROUND(AC59*Premissas!$C$24,0)+M59+N59</f>
        <v/>
      </c>
      <c r="Q59">
        <f>ROUND(IF(A59-1-Premissas!$C$21&gt;=0,OFFSET($P$4,A59-1-Premissas!$C$21,0),0)*(1-Premissas!$C$20/100),0)</f>
        <v/>
      </c>
      <c r="R59">
        <f>ROUND(F59*Premissas!$C$11+N59*Premissas!$C$31/100,0)+ROUND((E59+B59)*Premissas!$C$10,0)+ROUND(Q59*Premissas!$C$8/100,0)+ROUND(Premissas!$C$35+(B59+C59)*Premissas!$C$36,0)</f>
        <v/>
      </c>
      <c r="S59">
        <f>O59-R59</f>
        <v/>
      </c>
      <c r="T59">
        <f>ROUND(O59*Premissas!$C$9/100,0)</f>
        <v/>
      </c>
      <c r="U59">
        <f>ROUND(AB59*Premissas!$C$33,0)</f>
        <v/>
      </c>
      <c r="V59">
        <f>Premissas!$C$37+ROUND(Premissas!$C$12*Premissas!$C$38+D59*Premissas!$C$27,0)</f>
        <v/>
      </c>
      <c r="W59">
        <f>Premissas!$C$39</f>
        <v/>
      </c>
      <c r="X59">
        <f>S59-T59-ROUND(Premissas!$C$12*Premissas!$C$38+D59*Premissas!$C$27,0)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Premissas!$C$32+(B59+C59)/Premissas!$C$34</f>
        <v/>
      </c>
      <c r="AC59">
        <f>D59+AC47*(1-Premissas!$C$26/12)^12</f>
        <v/>
      </c>
    </row>
    <row r="60">
      <c r="A60" t="n">
        <v>57</v>
      </c>
      <c r="B60">
        <f>B59*(1-Premissas!$C$18/12)+Premissas!$C$12</f>
        <v/>
      </c>
      <c r="C60">
        <f>IF($B$2=1,C59*(1-Premissas!$C$26/12)+D60,0)</f>
        <v/>
      </c>
      <c r="D60">
        <f>IF(AND($B$2=1,A60&gt;=Premissas!$C$23),Premissas!$C$22,0)</f>
        <v/>
      </c>
      <c r="E60">
        <f>B60*Premissas!$C$28</f>
        <v/>
      </c>
      <c r="F60">
        <f>B60*Premissas!$C$13/12*MIN(1,A60/Premissas!$C$17)</f>
        <v/>
      </c>
      <c r="G60">
        <f>F60*Premissas!$C$14</f>
        <v/>
      </c>
      <c r="H60">
        <f>IF(IF(A60-1-Premissas!$C$16&gt;=0,OFFSET($J$4,A60-1-Premissas!$C$16,0),0)&gt;0,ROUND(IF(A60-1-Premissas!$C$16&gt;=0,OFFSET($J$4,A60-1-Premissas!$C$16,0),0)*10000/Premissas!$C$5*Premissas!$C$15,0),0)</f>
        <v/>
      </c>
      <c r="I60">
        <f>ROUND(G60*Premissas!$C$6/10000,0)</f>
        <v/>
      </c>
      <c r="J60">
        <f>ROUND(G60*Premissas!$C$5/10000,0)</f>
        <v/>
      </c>
      <c r="K60">
        <f>IF(IF(A60-1-Premissas!$C$16&gt;=0,OFFSET($A$4,A60-1-Premissas!$C$16,0)&gt;=Premissas!$C$19,FALSE),ROUND(IF(A60-1-Premissas!$C$16&gt;=0,OFFSET($J$4,A60-1-Premissas!$C$16,0),0)*Premissas!$C$15,0),0)</f>
        <v/>
      </c>
      <c r="L60">
        <f>ROUND(C60*Premissas!$C$24/12,0)</f>
        <v/>
      </c>
      <c r="M60">
        <f>ROUND(D60*Premissas!$C$25,0)</f>
        <v/>
      </c>
      <c r="N60">
        <f>ROUND(E60*Premissas!$C$29+B60*Premissas!$C$30,0)</f>
        <v/>
      </c>
      <c r="O60">
        <f>K60+L60+M60+N60</f>
        <v/>
      </c>
      <c r="P60">
        <f>K60+ROUND(AC60*Premissas!$C$24,0)+M60+N60</f>
        <v/>
      </c>
      <c r="Q60">
        <f>ROUND(IF(A60-1-Premissas!$C$21&gt;=0,OFFSET($P$4,A60-1-Premissas!$C$21,0),0)*(1-Premissas!$C$20/100),0)</f>
        <v/>
      </c>
      <c r="R60">
        <f>ROUND(F60*Premissas!$C$11+N60*Premissas!$C$31/100,0)+ROUND((E60+B60)*Premissas!$C$10,0)+ROUND(Q60*Premissas!$C$8/100,0)+ROUND(Premissas!$C$35+(B60+C60)*Premissas!$C$36,0)</f>
        <v/>
      </c>
      <c r="S60">
        <f>O60-R60</f>
        <v/>
      </c>
      <c r="T60">
        <f>ROUND(O60*Premissas!$C$9/100,0)</f>
        <v/>
      </c>
      <c r="U60">
        <f>ROUND(AB60*Premissas!$C$33,0)</f>
        <v/>
      </c>
      <c r="V60">
        <f>Premissas!$C$37+ROUND(Premissas!$C$12*Premissas!$C$38+D60*Premissas!$C$27,0)</f>
        <v/>
      </c>
      <c r="W60">
        <f>Premissas!$C$39</f>
        <v/>
      </c>
      <c r="X60">
        <f>S60-T60-ROUND(Premissas!$C$12*Premissas!$C$38+D60*Premissas!$C$27,0)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Premissas!$C$32+(B60+C60)/Premissas!$C$34</f>
        <v/>
      </c>
      <c r="AC60">
        <f>D60+AC48*(1-Premissas!$C$26/12)^12</f>
        <v/>
      </c>
    </row>
    <row r="61">
      <c r="A61" t="n">
        <v>58</v>
      </c>
      <c r="B61">
        <f>B60*(1-Premissas!$C$18/12)+Premissas!$C$12</f>
        <v/>
      </c>
      <c r="C61">
        <f>IF($B$2=1,C60*(1-Premissas!$C$26/12)+D61,0)</f>
        <v/>
      </c>
      <c r="D61">
        <f>IF(AND($B$2=1,A61&gt;=Premissas!$C$23),Premissas!$C$22,0)</f>
        <v/>
      </c>
      <c r="E61">
        <f>B61*Premissas!$C$28</f>
        <v/>
      </c>
      <c r="F61">
        <f>B61*Premissas!$C$13/12*MIN(1,A61/Premissas!$C$17)</f>
        <v/>
      </c>
      <c r="G61">
        <f>F61*Premissas!$C$14</f>
        <v/>
      </c>
      <c r="H61">
        <f>IF(IF(A61-1-Premissas!$C$16&gt;=0,OFFSET($J$4,A61-1-Premissas!$C$16,0),0)&gt;0,ROUND(IF(A61-1-Premissas!$C$16&gt;=0,OFFSET($J$4,A61-1-Premissas!$C$16,0),0)*10000/Premissas!$C$5*Premissas!$C$15,0),0)</f>
        <v/>
      </c>
      <c r="I61">
        <f>ROUND(G61*Premissas!$C$6/10000,0)</f>
        <v/>
      </c>
      <c r="J61">
        <f>ROUND(G61*Premissas!$C$5/10000,0)</f>
        <v/>
      </c>
      <c r="K61">
        <f>IF(IF(A61-1-Premissas!$C$16&gt;=0,OFFSET($A$4,A61-1-Premissas!$C$16,0)&gt;=Premissas!$C$19,FALSE),ROUND(IF(A61-1-Premissas!$C$16&gt;=0,OFFSET($J$4,A61-1-Premissas!$C$16,0),0)*Premissas!$C$15,0),0)</f>
        <v/>
      </c>
      <c r="L61">
        <f>ROUND(C61*Premissas!$C$24/12,0)</f>
        <v/>
      </c>
      <c r="M61">
        <f>ROUND(D61*Premissas!$C$25,0)</f>
        <v/>
      </c>
      <c r="N61">
        <f>ROUND(E61*Premissas!$C$29+B61*Premissas!$C$30,0)</f>
        <v/>
      </c>
      <c r="O61">
        <f>K61+L61+M61+N61</f>
        <v/>
      </c>
      <c r="P61">
        <f>K61+ROUND(AC61*Premissas!$C$24,0)+M61+N61</f>
        <v/>
      </c>
      <c r="Q61">
        <f>ROUND(IF(A61-1-Premissas!$C$21&gt;=0,OFFSET($P$4,A61-1-Premissas!$C$21,0),0)*(1-Premissas!$C$20/100),0)</f>
        <v/>
      </c>
      <c r="R61">
        <f>ROUND(F61*Premissas!$C$11+N61*Premissas!$C$31/100,0)+ROUND((E61+B61)*Premissas!$C$10,0)+ROUND(Q61*Premissas!$C$8/100,0)+ROUND(Premissas!$C$35+(B61+C61)*Premissas!$C$36,0)</f>
        <v/>
      </c>
      <c r="S61">
        <f>O61-R61</f>
        <v/>
      </c>
      <c r="T61">
        <f>ROUND(O61*Premissas!$C$9/100,0)</f>
        <v/>
      </c>
      <c r="U61">
        <f>ROUND(AB61*Premissas!$C$33,0)</f>
        <v/>
      </c>
      <c r="V61">
        <f>Premissas!$C$37+ROUND(Premissas!$C$12*Premissas!$C$38+D61*Premissas!$C$27,0)</f>
        <v/>
      </c>
      <c r="W61">
        <f>Premissas!$C$39</f>
        <v/>
      </c>
      <c r="X61">
        <f>S61-T61-ROUND(Premissas!$C$12*Premissas!$C$38+D61*Premissas!$C$27,0)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Premissas!$C$32+(B61+C61)/Premissas!$C$34</f>
        <v/>
      </c>
      <c r="AC61">
        <f>D61+AC49*(1-Premissas!$C$26/12)^12</f>
        <v/>
      </c>
    </row>
    <row r="62">
      <c r="A62" t="n">
        <v>59</v>
      </c>
      <c r="B62">
        <f>B61*(1-Premissas!$C$18/12)+Premissas!$C$12</f>
        <v/>
      </c>
      <c r="C62">
        <f>IF($B$2=1,C61*(1-Premissas!$C$26/12)+D62,0)</f>
        <v/>
      </c>
      <c r="D62">
        <f>IF(AND($B$2=1,A62&gt;=Premissas!$C$23),Premissas!$C$22,0)</f>
        <v/>
      </c>
      <c r="E62">
        <f>B62*Premissas!$C$28</f>
        <v/>
      </c>
      <c r="F62">
        <f>B62*Premissas!$C$13/12*MIN(1,A62/Premissas!$C$17)</f>
        <v/>
      </c>
      <c r="G62">
        <f>F62*Premissas!$C$14</f>
        <v/>
      </c>
      <c r="H62">
        <f>IF(IF(A62-1-Premissas!$C$16&gt;=0,OFFSET($J$4,A62-1-Premissas!$C$16,0),0)&gt;0,ROUND(IF(A62-1-Premissas!$C$16&gt;=0,OFFSET($J$4,A62-1-Premissas!$C$16,0),0)*10000/Premissas!$C$5*Premissas!$C$15,0),0)</f>
        <v/>
      </c>
      <c r="I62">
        <f>ROUND(G62*Premissas!$C$6/10000,0)</f>
        <v/>
      </c>
      <c r="J62">
        <f>ROUND(G62*Premissas!$C$5/10000,0)</f>
        <v/>
      </c>
      <c r="K62">
        <f>IF(IF(A62-1-Premissas!$C$16&gt;=0,OFFSET($A$4,A62-1-Premissas!$C$16,0)&gt;=Premissas!$C$19,FALSE),ROUND(IF(A62-1-Premissas!$C$16&gt;=0,OFFSET($J$4,A62-1-Premissas!$C$16,0),0)*Premissas!$C$15,0),0)</f>
        <v/>
      </c>
      <c r="L62">
        <f>ROUND(C62*Premissas!$C$24/12,0)</f>
        <v/>
      </c>
      <c r="M62">
        <f>ROUND(D62*Premissas!$C$25,0)</f>
        <v/>
      </c>
      <c r="N62">
        <f>ROUND(E62*Premissas!$C$29+B62*Premissas!$C$30,0)</f>
        <v/>
      </c>
      <c r="O62">
        <f>K62+L62+M62+N62</f>
        <v/>
      </c>
      <c r="P62">
        <f>K62+ROUND(AC62*Premissas!$C$24,0)+M62+N62</f>
        <v/>
      </c>
      <c r="Q62">
        <f>ROUND(IF(A62-1-Premissas!$C$21&gt;=0,OFFSET($P$4,A62-1-Premissas!$C$21,0),0)*(1-Premissas!$C$20/100),0)</f>
        <v/>
      </c>
      <c r="R62">
        <f>ROUND(F62*Premissas!$C$11+N62*Premissas!$C$31/100,0)+ROUND((E62+B62)*Premissas!$C$10,0)+ROUND(Q62*Premissas!$C$8/100,0)+ROUND(Premissas!$C$35+(B62+C62)*Premissas!$C$36,0)</f>
        <v/>
      </c>
      <c r="S62">
        <f>O62-R62</f>
        <v/>
      </c>
      <c r="T62">
        <f>ROUND(O62*Premissas!$C$9/100,0)</f>
        <v/>
      </c>
      <c r="U62">
        <f>ROUND(AB62*Premissas!$C$33,0)</f>
        <v/>
      </c>
      <c r="V62">
        <f>Premissas!$C$37+ROUND(Premissas!$C$12*Premissas!$C$38+D62*Premissas!$C$27,0)</f>
        <v/>
      </c>
      <c r="W62">
        <f>Premissas!$C$39</f>
        <v/>
      </c>
      <c r="X62">
        <f>S62-T62-ROUND(Premissas!$C$12*Premissas!$C$38+D62*Premissas!$C$27,0)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Premissas!$C$32+(B62+C62)/Premissas!$C$34</f>
        <v/>
      </c>
      <c r="AC62">
        <f>D62+AC50*(1-Premissas!$C$26/12)^12</f>
        <v/>
      </c>
    </row>
    <row r="63">
      <c r="A63" t="n">
        <v>60</v>
      </c>
      <c r="B63">
        <f>B62*(1-Premissas!$C$18/12)+Premissas!$C$12</f>
        <v/>
      </c>
      <c r="C63">
        <f>IF($B$2=1,C62*(1-Premissas!$C$26/12)+D63,0)</f>
        <v/>
      </c>
      <c r="D63">
        <f>IF(AND($B$2=1,A63&gt;=Premissas!$C$23),Premissas!$C$22,0)</f>
        <v/>
      </c>
      <c r="E63">
        <f>B63*Premissas!$C$28</f>
        <v/>
      </c>
      <c r="F63">
        <f>B63*Premissas!$C$13/12*MIN(1,A63/Premissas!$C$17)</f>
        <v/>
      </c>
      <c r="G63">
        <f>F63*Premissas!$C$14</f>
        <v/>
      </c>
      <c r="H63">
        <f>IF(IF(A63-1-Premissas!$C$16&gt;=0,OFFSET($J$4,A63-1-Premissas!$C$16,0),0)&gt;0,ROUND(IF(A63-1-Premissas!$C$16&gt;=0,OFFSET($J$4,A63-1-Premissas!$C$16,0),0)*10000/Premissas!$C$5*Premissas!$C$15,0),0)</f>
        <v/>
      </c>
      <c r="I63">
        <f>ROUND(G63*Premissas!$C$6/10000,0)</f>
        <v/>
      </c>
      <c r="J63">
        <f>ROUND(G63*Premissas!$C$5/10000,0)</f>
        <v/>
      </c>
      <c r="K63">
        <f>IF(IF(A63-1-Premissas!$C$16&gt;=0,OFFSET($A$4,A63-1-Premissas!$C$16,0)&gt;=Premissas!$C$19,FALSE),ROUND(IF(A63-1-Premissas!$C$16&gt;=0,OFFSET($J$4,A63-1-Premissas!$C$16,0),0)*Premissas!$C$15,0),0)</f>
        <v/>
      </c>
      <c r="L63">
        <f>ROUND(C63*Premissas!$C$24/12,0)</f>
        <v/>
      </c>
      <c r="M63">
        <f>ROUND(D63*Premissas!$C$25,0)</f>
        <v/>
      </c>
      <c r="N63">
        <f>ROUND(E63*Premissas!$C$29+B63*Premissas!$C$30,0)</f>
        <v/>
      </c>
      <c r="O63">
        <f>K63+L63+M63+N63</f>
        <v/>
      </c>
      <c r="P63">
        <f>K63+ROUND(AC63*Premissas!$C$24,0)+M63+N63</f>
        <v/>
      </c>
      <c r="Q63">
        <f>ROUND(IF(A63-1-Premissas!$C$21&gt;=0,OFFSET($P$4,A63-1-Premissas!$C$21,0),0)*(1-Premissas!$C$20/100),0)</f>
        <v/>
      </c>
      <c r="R63">
        <f>ROUND(F63*Premissas!$C$11+N63*Premissas!$C$31/100,0)+ROUND((E63+B63)*Premissas!$C$10,0)+ROUND(Q63*Premissas!$C$8/100,0)+ROUND(Premissas!$C$35+(B63+C63)*Premissas!$C$36,0)</f>
        <v/>
      </c>
      <c r="S63">
        <f>O63-R63</f>
        <v/>
      </c>
      <c r="T63">
        <f>ROUND(O63*Premissas!$C$9/100,0)</f>
        <v/>
      </c>
      <c r="U63">
        <f>ROUND(AB63*Premissas!$C$33,0)</f>
        <v/>
      </c>
      <c r="V63">
        <f>Premissas!$C$37+ROUND(Premissas!$C$12*Premissas!$C$38+D63*Premissas!$C$27,0)</f>
        <v/>
      </c>
      <c r="W63">
        <f>Premissas!$C$39</f>
        <v/>
      </c>
      <c r="X63">
        <f>S63-T63-ROUND(Premissas!$C$12*Premissas!$C$38+D63*Premissas!$C$27,0)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Premissas!$C$32+(B63+C63)/Premissas!$C$34</f>
        <v/>
      </c>
      <c r="AC63">
        <f>D63+AC51*(1-Premissas!$C$26/12)^12</f>
        <v/>
      </c>
    </row>
    <row r="64">
      <c r="A64" t="n">
        <v>61</v>
      </c>
      <c r="B64">
        <f>B63*(1-Premissas!$C$18/12)+Premissas!$C$12</f>
        <v/>
      </c>
      <c r="C64">
        <f>IF($B$2=1,C63*(1-Premissas!$C$26/12)+D64,0)</f>
        <v/>
      </c>
      <c r="D64">
        <f>IF(AND($B$2=1,A64&gt;=Premissas!$C$23),Premissas!$C$22,0)</f>
        <v/>
      </c>
      <c r="E64">
        <f>B64*Premissas!$C$28</f>
        <v/>
      </c>
      <c r="F64">
        <f>B64*Premissas!$C$13/12*MIN(1,A64/Premissas!$C$17)</f>
        <v/>
      </c>
      <c r="G64">
        <f>F64*Premissas!$C$14</f>
        <v/>
      </c>
      <c r="H64">
        <f>IF(IF(A64-1-Premissas!$C$16&gt;=0,OFFSET($J$4,A64-1-Premissas!$C$16,0),0)&gt;0,ROUND(IF(A64-1-Premissas!$C$16&gt;=0,OFFSET($J$4,A64-1-Premissas!$C$16,0),0)*10000/Premissas!$C$5*Premissas!$C$15,0),0)</f>
        <v/>
      </c>
      <c r="I64">
        <f>ROUND(G64*Premissas!$C$6/10000,0)</f>
        <v/>
      </c>
      <c r="J64">
        <f>ROUND(G64*Premissas!$C$5/10000,0)</f>
        <v/>
      </c>
      <c r="K64">
        <f>IF(IF(A64-1-Premissas!$C$16&gt;=0,OFFSET($A$4,A64-1-Premissas!$C$16,0)&gt;=Premissas!$C$19,FALSE),ROUND(IF(A64-1-Premissas!$C$16&gt;=0,OFFSET($J$4,A64-1-Premissas!$C$16,0),0)*Premissas!$C$15,0),0)</f>
        <v/>
      </c>
      <c r="L64">
        <f>ROUND(C64*Premissas!$C$24/12,0)</f>
        <v/>
      </c>
      <c r="M64">
        <f>ROUND(D64*Premissas!$C$25,0)</f>
        <v/>
      </c>
      <c r="N64">
        <f>ROUND(E64*Premissas!$C$29+B64*Premissas!$C$30,0)</f>
        <v/>
      </c>
      <c r="O64">
        <f>K64+L64+M64+N64</f>
        <v/>
      </c>
      <c r="P64">
        <f>K64+ROUND(AC64*Premissas!$C$24,0)+M64+N64</f>
        <v/>
      </c>
      <c r="Q64">
        <f>ROUND(IF(A64-1-Premissas!$C$21&gt;=0,OFFSET($P$4,A64-1-Premissas!$C$21,0),0)*(1-Premissas!$C$20/100),0)</f>
        <v/>
      </c>
      <c r="R64">
        <f>ROUND(F64*Premissas!$C$11+N64*Premissas!$C$31/100,0)+ROUND((E64+B64)*Premissas!$C$10,0)+ROUND(Q64*Premissas!$C$8/100,0)+ROUND(Premissas!$C$35+(B64+C64)*Premissas!$C$36,0)</f>
        <v/>
      </c>
      <c r="S64">
        <f>O64-R64</f>
        <v/>
      </c>
      <c r="T64">
        <f>ROUND(O64*Premissas!$C$9/100,0)</f>
        <v/>
      </c>
      <c r="U64">
        <f>ROUND(AB64*Premissas!$C$33,0)</f>
        <v/>
      </c>
      <c r="V64">
        <f>Premissas!$C$37+ROUND(Premissas!$C$12*Premissas!$C$38+D64*Premissas!$C$27,0)</f>
        <v/>
      </c>
      <c r="W64">
        <f>Premissas!$C$39</f>
        <v/>
      </c>
      <c r="X64">
        <f>S64-T64-ROUND(Premissas!$C$12*Premissas!$C$38+D64*Premissas!$C$27,0)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Premissas!$C$32+(B64+C64)/Premissas!$C$34</f>
        <v/>
      </c>
      <c r="AC64">
        <f>D64+AC52*(1-Premissas!$C$26/12)^12</f>
        <v/>
      </c>
    </row>
    <row r="65">
      <c r="A65" t="n">
        <v>62</v>
      </c>
      <c r="B65">
        <f>B64*(1-Premissas!$C$18/12)+Premissas!$C$12</f>
        <v/>
      </c>
      <c r="C65">
        <f>IF($B$2=1,C64*(1-Premissas!$C$26/12)+D65,0)</f>
        <v/>
      </c>
      <c r="D65">
        <f>IF(AND($B$2=1,A65&gt;=Premissas!$C$23),Premissas!$C$22,0)</f>
        <v/>
      </c>
      <c r="E65">
        <f>B65*Premissas!$C$28</f>
        <v/>
      </c>
      <c r="F65">
        <f>B65*Premissas!$C$13/12*MIN(1,A65/Premissas!$C$17)</f>
        <v/>
      </c>
      <c r="G65">
        <f>F65*Premissas!$C$14</f>
        <v/>
      </c>
      <c r="H65">
        <f>IF(IF(A65-1-Premissas!$C$16&gt;=0,OFFSET($J$4,A65-1-Premissas!$C$16,0),0)&gt;0,ROUND(IF(A65-1-Premissas!$C$16&gt;=0,OFFSET($J$4,A65-1-Premissas!$C$16,0),0)*10000/Premissas!$C$5*Premissas!$C$15,0),0)</f>
        <v/>
      </c>
      <c r="I65">
        <f>ROUND(G65*Premissas!$C$6/10000,0)</f>
        <v/>
      </c>
      <c r="J65">
        <f>ROUND(G65*Premissas!$C$5/10000,0)</f>
        <v/>
      </c>
      <c r="K65">
        <f>IF(IF(A65-1-Premissas!$C$16&gt;=0,OFFSET($A$4,A65-1-Premissas!$C$16,0)&gt;=Premissas!$C$19,FALSE),ROUND(IF(A65-1-Premissas!$C$16&gt;=0,OFFSET($J$4,A65-1-Premissas!$C$16,0),0)*Premissas!$C$15,0),0)</f>
        <v/>
      </c>
      <c r="L65">
        <f>ROUND(C65*Premissas!$C$24/12,0)</f>
        <v/>
      </c>
      <c r="M65">
        <f>ROUND(D65*Premissas!$C$25,0)</f>
        <v/>
      </c>
      <c r="N65">
        <f>ROUND(E65*Premissas!$C$29+B65*Premissas!$C$30,0)</f>
        <v/>
      </c>
      <c r="O65">
        <f>K65+L65+M65+N65</f>
        <v/>
      </c>
      <c r="P65">
        <f>K65+ROUND(AC65*Premissas!$C$24,0)+M65+N65</f>
        <v/>
      </c>
      <c r="Q65">
        <f>ROUND(IF(A65-1-Premissas!$C$21&gt;=0,OFFSET($P$4,A65-1-Premissas!$C$21,0),0)*(1-Premissas!$C$20/100),0)</f>
        <v/>
      </c>
      <c r="R65">
        <f>ROUND(F65*Premissas!$C$11+N65*Premissas!$C$31/100,0)+ROUND((E65+B65)*Premissas!$C$10,0)+ROUND(Q65*Premissas!$C$8/100,0)+ROUND(Premissas!$C$35+(B65+C65)*Premissas!$C$36,0)</f>
        <v/>
      </c>
      <c r="S65">
        <f>O65-R65</f>
        <v/>
      </c>
      <c r="T65">
        <f>ROUND(O65*Premissas!$C$9/100,0)</f>
        <v/>
      </c>
      <c r="U65">
        <f>ROUND(AB65*Premissas!$C$33,0)</f>
        <v/>
      </c>
      <c r="V65">
        <f>Premissas!$C$37+ROUND(Premissas!$C$12*Premissas!$C$38+D65*Premissas!$C$27,0)</f>
        <v/>
      </c>
      <c r="W65">
        <f>Premissas!$C$39</f>
        <v/>
      </c>
      <c r="X65">
        <f>S65-T65-ROUND(Premissas!$C$12*Premissas!$C$38+D65*Premissas!$C$27,0)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Premissas!$C$32+(B65+C65)/Premissas!$C$34</f>
        <v/>
      </c>
      <c r="AC65">
        <f>D65+AC53*(1-Premissas!$C$26/12)^12</f>
        <v/>
      </c>
    </row>
    <row r="66">
      <c r="A66" t="n">
        <v>63</v>
      </c>
      <c r="B66">
        <f>B65*(1-Premissas!$C$18/12)+Premissas!$C$12</f>
        <v/>
      </c>
      <c r="C66">
        <f>IF($B$2=1,C65*(1-Premissas!$C$26/12)+D66,0)</f>
        <v/>
      </c>
      <c r="D66">
        <f>IF(AND($B$2=1,A66&gt;=Premissas!$C$23),Premissas!$C$22,0)</f>
        <v/>
      </c>
      <c r="E66">
        <f>B66*Premissas!$C$28</f>
        <v/>
      </c>
      <c r="F66">
        <f>B66*Premissas!$C$13/12*MIN(1,A66/Premissas!$C$17)</f>
        <v/>
      </c>
      <c r="G66">
        <f>F66*Premissas!$C$14</f>
        <v/>
      </c>
      <c r="H66">
        <f>IF(IF(A66-1-Premissas!$C$16&gt;=0,OFFSET($J$4,A66-1-Premissas!$C$16,0),0)&gt;0,ROUND(IF(A66-1-Premissas!$C$16&gt;=0,OFFSET($J$4,A66-1-Premissas!$C$16,0),0)*10000/Premissas!$C$5*Premissas!$C$15,0),0)</f>
        <v/>
      </c>
      <c r="I66">
        <f>ROUND(G66*Premissas!$C$6/10000,0)</f>
        <v/>
      </c>
      <c r="J66">
        <f>ROUND(G66*Premissas!$C$5/10000,0)</f>
        <v/>
      </c>
      <c r="K66">
        <f>IF(IF(A66-1-Premissas!$C$16&gt;=0,OFFSET($A$4,A66-1-Premissas!$C$16,0)&gt;=Premissas!$C$19,FALSE),ROUND(IF(A66-1-Premissas!$C$16&gt;=0,OFFSET($J$4,A66-1-Premissas!$C$16,0),0)*Premissas!$C$15,0),0)</f>
        <v/>
      </c>
      <c r="L66">
        <f>ROUND(C66*Premissas!$C$24/12,0)</f>
        <v/>
      </c>
      <c r="M66">
        <f>ROUND(D66*Premissas!$C$25,0)</f>
        <v/>
      </c>
      <c r="N66">
        <f>ROUND(E66*Premissas!$C$29+B66*Premissas!$C$30,0)</f>
        <v/>
      </c>
      <c r="O66">
        <f>K66+L66+M66+N66</f>
        <v/>
      </c>
      <c r="P66">
        <f>K66+ROUND(AC66*Premissas!$C$24,0)+M66+N66</f>
        <v/>
      </c>
      <c r="Q66">
        <f>ROUND(IF(A66-1-Premissas!$C$21&gt;=0,OFFSET($P$4,A66-1-Premissas!$C$21,0),0)*(1-Premissas!$C$20/100),0)</f>
        <v/>
      </c>
      <c r="R66">
        <f>ROUND(F66*Premissas!$C$11+N66*Premissas!$C$31/100,0)+ROUND((E66+B66)*Premissas!$C$10,0)+ROUND(Q66*Premissas!$C$8/100,0)+ROUND(Premissas!$C$35+(B66+C66)*Premissas!$C$36,0)</f>
        <v/>
      </c>
      <c r="S66">
        <f>O66-R66</f>
        <v/>
      </c>
      <c r="T66">
        <f>ROUND(O66*Premissas!$C$9/100,0)</f>
        <v/>
      </c>
      <c r="U66">
        <f>ROUND(AB66*Premissas!$C$33,0)</f>
        <v/>
      </c>
      <c r="V66">
        <f>Premissas!$C$37+ROUND(Premissas!$C$12*Premissas!$C$38+D66*Premissas!$C$27,0)</f>
        <v/>
      </c>
      <c r="W66">
        <f>Premissas!$C$39</f>
        <v/>
      </c>
      <c r="X66">
        <f>S66-T66-ROUND(Premissas!$C$12*Premissas!$C$38+D66*Premissas!$C$27,0)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Premissas!$C$32+(B66+C66)/Premissas!$C$34</f>
        <v/>
      </c>
      <c r="AC66">
        <f>D66+AC54*(1-Premissas!$C$26/12)^12</f>
        <v/>
      </c>
    </row>
    <row r="67">
      <c r="A67" t="n">
        <v>64</v>
      </c>
      <c r="B67">
        <f>B66*(1-Premissas!$C$18/12)+Premissas!$C$12</f>
        <v/>
      </c>
      <c r="C67">
        <f>IF($B$2=1,C66*(1-Premissas!$C$26/12)+D67,0)</f>
        <v/>
      </c>
      <c r="D67">
        <f>IF(AND($B$2=1,A67&gt;=Premissas!$C$23),Premissas!$C$22,0)</f>
        <v/>
      </c>
      <c r="E67">
        <f>B67*Premissas!$C$28</f>
        <v/>
      </c>
      <c r="F67">
        <f>B67*Premissas!$C$13/12*MIN(1,A67/Premissas!$C$17)</f>
        <v/>
      </c>
      <c r="G67">
        <f>F67*Premissas!$C$14</f>
        <v/>
      </c>
      <c r="H67">
        <f>IF(IF(A67-1-Premissas!$C$16&gt;=0,OFFSET($J$4,A67-1-Premissas!$C$16,0),0)&gt;0,ROUND(IF(A67-1-Premissas!$C$16&gt;=0,OFFSET($J$4,A67-1-Premissas!$C$16,0),0)*10000/Premissas!$C$5*Premissas!$C$15,0),0)</f>
        <v/>
      </c>
      <c r="I67">
        <f>ROUND(G67*Premissas!$C$6/10000,0)</f>
        <v/>
      </c>
      <c r="J67">
        <f>ROUND(G67*Premissas!$C$5/10000,0)</f>
        <v/>
      </c>
      <c r="K67">
        <f>IF(IF(A67-1-Premissas!$C$16&gt;=0,OFFSET($A$4,A67-1-Premissas!$C$16,0)&gt;=Premissas!$C$19,FALSE),ROUND(IF(A67-1-Premissas!$C$16&gt;=0,OFFSET($J$4,A67-1-Premissas!$C$16,0),0)*Premissas!$C$15,0),0)</f>
        <v/>
      </c>
      <c r="L67">
        <f>ROUND(C67*Premissas!$C$24/12,0)</f>
        <v/>
      </c>
      <c r="M67">
        <f>ROUND(D67*Premissas!$C$25,0)</f>
        <v/>
      </c>
      <c r="N67">
        <f>ROUND(E67*Premissas!$C$29+B67*Premissas!$C$30,0)</f>
        <v/>
      </c>
      <c r="O67">
        <f>K67+L67+M67+N67</f>
        <v/>
      </c>
      <c r="P67">
        <f>K67+ROUND(AC67*Premissas!$C$24,0)+M67+N67</f>
        <v/>
      </c>
      <c r="Q67">
        <f>ROUND(IF(A67-1-Premissas!$C$21&gt;=0,OFFSET($P$4,A67-1-Premissas!$C$21,0),0)*(1-Premissas!$C$20/100),0)</f>
        <v/>
      </c>
      <c r="R67">
        <f>ROUND(F67*Premissas!$C$11+N67*Premissas!$C$31/100,0)+ROUND((E67+B67)*Premissas!$C$10,0)+ROUND(Q67*Premissas!$C$8/100,0)+ROUND(Premissas!$C$35+(B67+C67)*Premissas!$C$36,0)</f>
        <v/>
      </c>
      <c r="S67">
        <f>O67-R67</f>
        <v/>
      </c>
      <c r="T67">
        <f>ROUND(O67*Premissas!$C$9/100,0)</f>
        <v/>
      </c>
      <c r="U67">
        <f>ROUND(AB67*Premissas!$C$33,0)</f>
        <v/>
      </c>
      <c r="V67">
        <f>Premissas!$C$37+ROUND(Premissas!$C$12*Premissas!$C$38+D67*Premissas!$C$27,0)</f>
        <v/>
      </c>
      <c r="W67">
        <f>Premissas!$C$39</f>
        <v/>
      </c>
      <c r="X67">
        <f>S67-T67-ROUND(Premissas!$C$12*Premissas!$C$38+D67*Premissas!$C$27,0)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Premissas!$C$32+(B67+C67)/Premissas!$C$34</f>
        <v/>
      </c>
      <c r="AC67">
        <f>D67+AC55*(1-Premissas!$C$26/12)^12</f>
        <v/>
      </c>
    </row>
    <row r="68">
      <c r="A68" t="n">
        <v>65</v>
      </c>
      <c r="B68">
        <f>B67*(1-Premissas!$C$18/12)+Premissas!$C$12</f>
        <v/>
      </c>
      <c r="C68">
        <f>IF($B$2=1,C67*(1-Premissas!$C$26/12)+D68,0)</f>
        <v/>
      </c>
      <c r="D68">
        <f>IF(AND($B$2=1,A68&gt;=Premissas!$C$23),Premissas!$C$22,0)</f>
        <v/>
      </c>
      <c r="E68">
        <f>B68*Premissas!$C$28</f>
        <v/>
      </c>
      <c r="F68">
        <f>B68*Premissas!$C$13/12*MIN(1,A68/Premissas!$C$17)</f>
        <v/>
      </c>
      <c r="G68">
        <f>F68*Premissas!$C$14</f>
        <v/>
      </c>
      <c r="H68">
        <f>IF(IF(A68-1-Premissas!$C$16&gt;=0,OFFSET($J$4,A68-1-Premissas!$C$16,0),0)&gt;0,ROUND(IF(A68-1-Premissas!$C$16&gt;=0,OFFSET($J$4,A68-1-Premissas!$C$16,0),0)*10000/Premissas!$C$5*Premissas!$C$15,0),0)</f>
        <v/>
      </c>
      <c r="I68">
        <f>ROUND(G68*Premissas!$C$6/10000,0)</f>
        <v/>
      </c>
      <c r="J68">
        <f>ROUND(G68*Premissas!$C$5/10000,0)</f>
        <v/>
      </c>
      <c r="K68">
        <f>IF(IF(A68-1-Premissas!$C$16&gt;=0,OFFSET($A$4,A68-1-Premissas!$C$16,0)&gt;=Premissas!$C$19,FALSE),ROUND(IF(A68-1-Premissas!$C$16&gt;=0,OFFSET($J$4,A68-1-Premissas!$C$16,0),0)*Premissas!$C$15,0),0)</f>
        <v/>
      </c>
      <c r="L68">
        <f>ROUND(C68*Premissas!$C$24/12,0)</f>
        <v/>
      </c>
      <c r="M68">
        <f>ROUND(D68*Premissas!$C$25,0)</f>
        <v/>
      </c>
      <c r="N68">
        <f>ROUND(E68*Premissas!$C$29+B68*Premissas!$C$30,0)</f>
        <v/>
      </c>
      <c r="O68">
        <f>K68+L68+M68+N68</f>
        <v/>
      </c>
      <c r="P68">
        <f>K68+ROUND(AC68*Premissas!$C$24,0)+M68+N68</f>
        <v/>
      </c>
      <c r="Q68">
        <f>ROUND(IF(A68-1-Premissas!$C$21&gt;=0,OFFSET($P$4,A68-1-Premissas!$C$21,0),0)*(1-Premissas!$C$20/100),0)</f>
        <v/>
      </c>
      <c r="R68">
        <f>ROUND(F68*Premissas!$C$11+N68*Premissas!$C$31/100,0)+ROUND((E68+B68)*Premissas!$C$10,0)+ROUND(Q68*Premissas!$C$8/100,0)+ROUND(Premissas!$C$35+(B68+C68)*Premissas!$C$36,0)</f>
        <v/>
      </c>
      <c r="S68">
        <f>O68-R68</f>
        <v/>
      </c>
      <c r="T68">
        <f>ROUND(O68*Premissas!$C$9/100,0)</f>
        <v/>
      </c>
      <c r="U68">
        <f>ROUND(AB68*Premissas!$C$33,0)</f>
        <v/>
      </c>
      <c r="V68">
        <f>Premissas!$C$37+ROUND(Premissas!$C$12*Premissas!$C$38+D68*Premissas!$C$27,0)</f>
        <v/>
      </c>
      <c r="W68">
        <f>Premissas!$C$39</f>
        <v/>
      </c>
      <c r="X68">
        <f>S68-T68-ROUND(Premissas!$C$12*Premissas!$C$38+D68*Premissas!$C$27,0)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Premissas!$C$32+(B68+C68)/Premissas!$C$34</f>
        <v/>
      </c>
      <c r="AC68">
        <f>D68+AC56*(1-Premissas!$C$26/12)^12</f>
        <v/>
      </c>
    </row>
    <row r="69">
      <c r="A69" t="n">
        <v>66</v>
      </c>
      <c r="B69">
        <f>B68*(1-Premissas!$C$18/12)+Premissas!$C$12</f>
        <v/>
      </c>
      <c r="C69">
        <f>IF($B$2=1,C68*(1-Premissas!$C$26/12)+D69,0)</f>
        <v/>
      </c>
      <c r="D69">
        <f>IF(AND($B$2=1,A69&gt;=Premissas!$C$23),Premissas!$C$22,0)</f>
        <v/>
      </c>
      <c r="E69">
        <f>B69*Premissas!$C$28</f>
        <v/>
      </c>
      <c r="F69">
        <f>B69*Premissas!$C$13/12*MIN(1,A69/Premissas!$C$17)</f>
        <v/>
      </c>
      <c r="G69">
        <f>F69*Premissas!$C$14</f>
        <v/>
      </c>
      <c r="H69">
        <f>IF(IF(A69-1-Premissas!$C$16&gt;=0,OFFSET($J$4,A69-1-Premissas!$C$16,0),0)&gt;0,ROUND(IF(A69-1-Premissas!$C$16&gt;=0,OFFSET($J$4,A69-1-Premissas!$C$16,0),0)*10000/Premissas!$C$5*Premissas!$C$15,0),0)</f>
        <v/>
      </c>
      <c r="I69">
        <f>ROUND(G69*Premissas!$C$6/10000,0)</f>
        <v/>
      </c>
      <c r="J69">
        <f>ROUND(G69*Premissas!$C$5/10000,0)</f>
        <v/>
      </c>
      <c r="K69">
        <f>IF(IF(A69-1-Premissas!$C$16&gt;=0,OFFSET($A$4,A69-1-Premissas!$C$16,0)&gt;=Premissas!$C$19,FALSE),ROUND(IF(A69-1-Premissas!$C$16&gt;=0,OFFSET($J$4,A69-1-Premissas!$C$16,0),0)*Premissas!$C$15,0),0)</f>
        <v/>
      </c>
      <c r="L69">
        <f>ROUND(C69*Premissas!$C$24/12,0)</f>
        <v/>
      </c>
      <c r="M69">
        <f>ROUND(D69*Premissas!$C$25,0)</f>
        <v/>
      </c>
      <c r="N69">
        <f>ROUND(E69*Premissas!$C$29+B69*Premissas!$C$30,0)</f>
        <v/>
      </c>
      <c r="O69">
        <f>K69+L69+M69+N69</f>
        <v/>
      </c>
      <c r="P69">
        <f>K69+ROUND(AC69*Premissas!$C$24,0)+M69+N69</f>
        <v/>
      </c>
      <c r="Q69">
        <f>ROUND(IF(A69-1-Premissas!$C$21&gt;=0,OFFSET($P$4,A69-1-Premissas!$C$21,0),0)*(1-Premissas!$C$20/100),0)</f>
        <v/>
      </c>
      <c r="R69">
        <f>ROUND(F69*Premissas!$C$11+N69*Premissas!$C$31/100,0)+ROUND((E69+B69)*Premissas!$C$10,0)+ROUND(Q69*Premissas!$C$8/100,0)+ROUND(Premissas!$C$35+(B69+C69)*Premissas!$C$36,0)</f>
        <v/>
      </c>
      <c r="S69">
        <f>O69-R69</f>
        <v/>
      </c>
      <c r="T69">
        <f>ROUND(O69*Premissas!$C$9/100,0)</f>
        <v/>
      </c>
      <c r="U69">
        <f>ROUND(AB69*Premissas!$C$33,0)</f>
        <v/>
      </c>
      <c r="V69">
        <f>Premissas!$C$37+ROUND(Premissas!$C$12*Premissas!$C$38+D69*Premissas!$C$27,0)</f>
        <v/>
      </c>
      <c r="W69">
        <f>Premissas!$C$39</f>
        <v/>
      </c>
      <c r="X69">
        <f>S69-T69-ROUND(Premissas!$C$12*Premissas!$C$38+D69*Premissas!$C$27,0)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Premissas!$C$32+(B69+C69)/Premissas!$C$34</f>
        <v/>
      </c>
      <c r="AC69">
        <f>D69+AC57*(1-Premissas!$C$26/12)^12</f>
        <v/>
      </c>
    </row>
    <row r="70">
      <c r="A70" t="n">
        <v>67</v>
      </c>
      <c r="B70">
        <f>B69*(1-Premissas!$C$18/12)+Premissas!$C$12</f>
        <v/>
      </c>
      <c r="C70">
        <f>IF($B$2=1,C69*(1-Premissas!$C$26/12)+D70,0)</f>
        <v/>
      </c>
      <c r="D70">
        <f>IF(AND($B$2=1,A70&gt;=Premissas!$C$23),Premissas!$C$22,0)</f>
        <v/>
      </c>
      <c r="E70">
        <f>B70*Premissas!$C$28</f>
        <v/>
      </c>
      <c r="F70">
        <f>B70*Premissas!$C$13/12*MIN(1,A70/Premissas!$C$17)</f>
        <v/>
      </c>
      <c r="G70">
        <f>F70*Premissas!$C$14</f>
        <v/>
      </c>
      <c r="H70">
        <f>IF(IF(A70-1-Premissas!$C$16&gt;=0,OFFSET($J$4,A70-1-Premissas!$C$16,0),0)&gt;0,ROUND(IF(A70-1-Premissas!$C$16&gt;=0,OFFSET($J$4,A70-1-Premissas!$C$16,0),0)*10000/Premissas!$C$5*Premissas!$C$15,0),0)</f>
        <v/>
      </c>
      <c r="I70">
        <f>ROUND(G70*Premissas!$C$6/10000,0)</f>
        <v/>
      </c>
      <c r="J70">
        <f>ROUND(G70*Premissas!$C$5/10000,0)</f>
        <v/>
      </c>
      <c r="K70">
        <f>IF(IF(A70-1-Premissas!$C$16&gt;=0,OFFSET($A$4,A70-1-Premissas!$C$16,0)&gt;=Premissas!$C$19,FALSE),ROUND(IF(A70-1-Premissas!$C$16&gt;=0,OFFSET($J$4,A70-1-Premissas!$C$16,0),0)*Premissas!$C$15,0),0)</f>
        <v/>
      </c>
      <c r="L70">
        <f>ROUND(C70*Premissas!$C$24/12,0)</f>
        <v/>
      </c>
      <c r="M70">
        <f>ROUND(D70*Premissas!$C$25,0)</f>
        <v/>
      </c>
      <c r="N70">
        <f>ROUND(E70*Premissas!$C$29+B70*Premissas!$C$30,0)</f>
        <v/>
      </c>
      <c r="O70">
        <f>K70+L70+M70+N70</f>
        <v/>
      </c>
      <c r="P70">
        <f>K70+ROUND(AC70*Premissas!$C$24,0)+M70+N70</f>
        <v/>
      </c>
      <c r="Q70">
        <f>ROUND(IF(A70-1-Premissas!$C$21&gt;=0,OFFSET($P$4,A70-1-Premissas!$C$21,0),0)*(1-Premissas!$C$20/100),0)</f>
        <v/>
      </c>
      <c r="R70">
        <f>ROUND(F70*Premissas!$C$11+N70*Premissas!$C$31/100,0)+ROUND((E70+B70)*Premissas!$C$10,0)+ROUND(Q70*Premissas!$C$8/100,0)+ROUND(Premissas!$C$35+(B70+C70)*Premissas!$C$36,0)</f>
        <v/>
      </c>
      <c r="S70">
        <f>O70-R70</f>
        <v/>
      </c>
      <c r="T70">
        <f>ROUND(O70*Premissas!$C$9/100,0)</f>
        <v/>
      </c>
      <c r="U70">
        <f>ROUND(AB70*Premissas!$C$33,0)</f>
        <v/>
      </c>
      <c r="V70">
        <f>Premissas!$C$37+ROUND(Premissas!$C$12*Premissas!$C$38+D70*Premissas!$C$27,0)</f>
        <v/>
      </c>
      <c r="W70">
        <f>Premissas!$C$39</f>
        <v/>
      </c>
      <c r="X70">
        <f>S70-T70-ROUND(Premissas!$C$12*Premissas!$C$38+D70*Premissas!$C$27,0)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Premissas!$C$32+(B70+C70)/Premissas!$C$34</f>
        <v/>
      </c>
      <c r="AC70">
        <f>D70+AC58*(1-Premissas!$C$26/12)^12</f>
        <v/>
      </c>
    </row>
    <row r="71">
      <c r="A71" t="n">
        <v>68</v>
      </c>
      <c r="B71">
        <f>B70*(1-Premissas!$C$18/12)+Premissas!$C$12</f>
        <v/>
      </c>
      <c r="C71">
        <f>IF($B$2=1,C70*(1-Premissas!$C$26/12)+D71,0)</f>
        <v/>
      </c>
      <c r="D71">
        <f>IF(AND($B$2=1,A71&gt;=Premissas!$C$23),Premissas!$C$22,0)</f>
        <v/>
      </c>
      <c r="E71">
        <f>B71*Premissas!$C$28</f>
        <v/>
      </c>
      <c r="F71">
        <f>B71*Premissas!$C$13/12*MIN(1,A71/Premissas!$C$17)</f>
        <v/>
      </c>
      <c r="G71">
        <f>F71*Premissas!$C$14</f>
        <v/>
      </c>
      <c r="H71">
        <f>IF(IF(A71-1-Premissas!$C$16&gt;=0,OFFSET($J$4,A71-1-Premissas!$C$16,0),0)&gt;0,ROUND(IF(A71-1-Premissas!$C$16&gt;=0,OFFSET($J$4,A71-1-Premissas!$C$16,0),0)*10000/Premissas!$C$5*Premissas!$C$15,0),0)</f>
        <v/>
      </c>
      <c r="I71">
        <f>ROUND(G71*Premissas!$C$6/10000,0)</f>
        <v/>
      </c>
      <c r="J71">
        <f>ROUND(G71*Premissas!$C$5/10000,0)</f>
        <v/>
      </c>
      <c r="K71">
        <f>IF(IF(A71-1-Premissas!$C$16&gt;=0,OFFSET($A$4,A71-1-Premissas!$C$16,0)&gt;=Premissas!$C$19,FALSE),ROUND(IF(A71-1-Premissas!$C$16&gt;=0,OFFSET($J$4,A71-1-Premissas!$C$16,0),0)*Premissas!$C$15,0),0)</f>
        <v/>
      </c>
      <c r="L71">
        <f>ROUND(C71*Premissas!$C$24/12,0)</f>
        <v/>
      </c>
      <c r="M71">
        <f>ROUND(D71*Premissas!$C$25,0)</f>
        <v/>
      </c>
      <c r="N71">
        <f>ROUND(E71*Premissas!$C$29+B71*Premissas!$C$30,0)</f>
        <v/>
      </c>
      <c r="O71">
        <f>K71+L71+M71+N71</f>
        <v/>
      </c>
      <c r="P71">
        <f>K71+ROUND(AC71*Premissas!$C$24,0)+M71+N71</f>
        <v/>
      </c>
      <c r="Q71">
        <f>ROUND(IF(A71-1-Premissas!$C$21&gt;=0,OFFSET($P$4,A71-1-Premissas!$C$21,0),0)*(1-Premissas!$C$20/100),0)</f>
        <v/>
      </c>
      <c r="R71">
        <f>ROUND(F71*Premissas!$C$11+N71*Premissas!$C$31/100,0)+ROUND((E71+B71)*Premissas!$C$10,0)+ROUND(Q71*Premissas!$C$8/100,0)+ROUND(Premissas!$C$35+(B71+C71)*Premissas!$C$36,0)</f>
        <v/>
      </c>
      <c r="S71">
        <f>O71-R71</f>
        <v/>
      </c>
      <c r="T71">
        <f>ROUND(O71*Premissas!$C$9/100,0)</f>
        <v/>
      </c>
      <c r="U71">
        <f>ROUND(AB71*Premissas!$C$33,0)</f>
        <v/>
      </c>
      <c r="V71">
        <f>Premissas!$C$37+ROUND(Premissas!$C$12*Premissas!$C$38+D71*Premissas!$C$27,0)</f>
        <v/>
      </c>
      <c r="W71">
        <f>Premissas!$C$39</f>
        <v/>
      </c>
      <c r="X71">
        <f>S71-T71-ROUND(Premissas!$C$12*Premissas!$C$38+D71*Premissas!$C$27,0)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Premissas!$C$32+(B71+C71)/Premissas!$C$34</f>
        <v/>
      </c>
      <c r="AC71">
        <f>D71+AC59*(1-Premissas!$C$26/12)^12</f>
        <v/>
      </c>
    </row>
    <row r="72">
      <c r="A72" t="n">
        <v>69</v>
      </c>
      <c r="B72">
        <f>B71*(1-Premissas!$C$18/12)+Premissas!$C$12</f>
        <v/>
      </c>
      <c r="C72">
        <f>IF($B$2=1,C71*(1-Premissas!$C$26/12)+D72,0)</f>
        <v/>
      </c>
      <c r="D72">
        <f>IF(AND($B$2=1,A72&gt;=Premissas!$C$23),Premissas!$C$22,0)</f>
        <v/>
      </c>
      <c r="E72">
        <f>B72*Premissas!$C$28</f>
        <v/>
      </c>
      <c r="F72">
        <f>B72*Premissas!$C$13/12*MIN(1,A72/Premissas!$C$17)</f>
        <v/>
      </c>
      <c r="G72">
        <f>F72*Premissas!$C$14</f>
        <v/>
      </c>
      <c r="H72">
        <f>IF(IF(A72-1-Premissas!$C$16&gt;=0,OFFSET($J$4,A72-1-Premissas!$C$16,0),0)&gt;0,ROUND(IF(A72-1-Premissas!$C$16&gt;=0,OFFSET($J$4,A72-1-Premissas!$C$16,0),0)*10000/Premissas!$C$5*Premissas!$C$15,0),0)</f>
        <v/>
      </c>
      <c r="I72">
        <f>ROUND(G72*Premissas!$C$6/10000,0)</f>
        <v/>
      </c>
      <c r="J72">
        <f>ROUND(G72*Premissas!$C$5/10000,0)</f>
        <v/>
      </c>
      <c r="K72">
        <f>IF(IF(A72-1-Premissas!$C$16&gt;=0,OFFSET($A$4,A72-1-Premissas!$C$16,0)&gt;=Premissas!$C$19,FALSE),ROUND(IF(A72-1-Premissas!$C$16&gt;=0,OFFSET($J$4,A72-1-Premissas!$C$16,0),0)*Premissas!$C$15,0),0)</f>
        <v/>
      </c>
      <c r="L72">
        <f>ROUND(C72*Premissas!$C$24/12,0)</f>
        <v/>
      </c>
      <c r="M72">
        <f>ROUND(D72*Premissas!$C$25,0)</f>
        <v/>
      </c>
      <c r="N72">
        <f>ROUND(E72*Premissas!$C$29+B72*Premissas!$C$30,0)</f>
        <v/>
      </c>
      <c r="O72">
        <f>K72+L72+M72+N72</f>
        <v/>
      </c>
      <c r="P72">
        <f>K72+ROUND(AC72*Premissas!$C$24,0)+M72+N72</f>
        <v/>
      </c>
      <c r="Q72">
        <f>ROUND(IF(A72-1-Premissas!$C$21&gt;=0,OFFSET($P$4,A72-1-Premissas!$C$21,0),0)*(1-Premissas!$C$20/100),0)</f>
        <v/>
      </c>
      <c r="R72">
        <f>ROUND(F72*Premissas!$C$11+N72*Premissas!$C$31/100,0)+ROUND((E72+B72)*Premissas!$C$10,0)+ROUND(Q72*Premissas!$C$8/100,0)+ROUND(Premissas!$C$35+(B72+C72)*Premissas!$C$36,0)</f>
        <v/>
      </c>
      <c r="S72">
        <f>O72-R72</f>
        <v/>
      </c>
      <c r="T72">
        <f>ROUND(O72*Premissas!$C$9/100,0)</f>
        <v/>
      </c>
      <c r="U72">
        <f>ROUND(AB72*Premissas!$C$33,0)</f>
        <v/>
      </c>
      <c r="V72">
        <f>Premissas!$C$37+ROUND(Premissas!$C$12*Premissas!$C$38+D72*Premissas!$C$27,0)</f>
        <v/>
      </c>
      <c r="W72">
        <f>Premissas!$C$39</f>
        <v/>
      </c>
      <c r="X72">
        <f>S72-T72-ROUND(Premissas!$C$12*Premissas!$C$38+D72*Premissas!$C$27,0)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Premissas!$C$32+(B72+C72)/Premissas!$C$34</f>
        <v/>
      </c>
      <c r="AC72">
        <f>D72+AC60*(1-Premissas!$C$26/12)^12</f>
        <v/>
      </c>
    </row>
    <row r="73">
      <c r="A73" t="n">
        <v>70</v>
      </c>
      <c r="B73">
        <f>B72*(1-Premissas!$C$18/12)+Premissas!$C$12</f>
        <v/>
      </c>
      <c r="C73">
        <f>IF($B$2=1,C72*(1-Premissas!$C$26/12)+D73,0)</f>
        <v/>
      </c>
      <c r="D73">
        <f>IF(AND($B$2=1,A73&gt;=Premissas!$C$23),Premissas!$C$22,0)</f>
        <v/>
      </c>
      <c r="E73">
        <f>B73*Premissas!$C$28</f>
        <v/>
      </c>
      <c r="F73">
        <f>B73*Premissas!$C$13/12*MIN(1,A73/Premissas!$C$17)</f>
        <v/>
      </c>
      <c r="G73">
        <f>F73*Premissas!$C$14</f>
        <v/>
      </c>
      <c r="H73">
        <f>IF(IF(A73-1-Premissas!$C$16&gt;=0,OFFSET($J$4,A73-1-Premissas!$C$16,0),0)&gt;0,ROUND(IF(A73-1-Premissas!$C$16&gt;=0,OFFSET($J$4,A73-1-Premissas!$C$16,0),0)*10000/Premissas!$C$5*Premissas!$C$15,0),0)</f>
        <v/>
      </c>
      <c r="I73">
        <f>ROUND(G73*Premissas!$C$6/10000,0)</f>
        <v/>
      </c>
      <c r="J73">
        <f>ROUND(G73*Premissas!$C$5/10000,0)</f>
        <v/>
      </c>
      <c r="K73">
        <f>IF(IF(A73-1-Premissas!$C$16&gt;=0,OFFSET($A$4,A73-1-Premissas!$C$16,0)&gt;=Premissas!$C$19,FALSE),ROUND(IF(A73-1-Premissas!$C$16&gt;=0,OFFSET($J$4,A73-1-Premissas!$C$16,0),0)*Premissas!$C$15,0),0)</f>
        <v/>
      </c>
      <c r="L73">
        <f>ROUND(C73*Premissas!$C$24/12,0)</f>
        <v/>
      </c>
      <c r="M73">
        <f>ROUND(D73*Premissas!$C$25,0)</f>
        <v/>
      </c>
      <c r="N73">
        <f>ROUND(E73*Premissas!$C$29+B73*Premissas!$C$30,0)</f>
        <v/>
      </c>
      <c r="O73">
        <f>K73+L73+M73+N73</f>
        <v/>
      </c>
      <c r="P73">
        <f>K73+ROUND(AC73*Premissas!$C$24,0)+M73+N73</f>
        <v/>
      </c>
      <c r="Q73">
        <f>ROUND(IF(A73-1-Premissas!$C$21&gt;=0,OFFSET($P$4,A73-1-Premissas!$C$21,0),0)*(1-Premissas!$C$20/100),0)</f>
        <v/>
      </c>
      <c r="R73">
        <f>ROUND(F73*Premissas!$C$11+N73*Premissas!$C$31/100,0)+ROUND((E73+B73)*Premissas!$C$10,0)+ROUND(Q73*Premissas!$C$8/100,0)+ROUND(Premissas!$C$35+(B73+C73)*Premissas!$C$36,0)</f>
        <v/>
      </c>
      <c r="S73">
        <f>O73-R73</f>
        <v/>
      </c>
      <c r="T73">
        <f>ROUND(O73*Premissas!$C$9/100,0)</f>
        <v/>
      </c>
      <c r="U73">
        <f>ROUND(AB73*Premissas!$C$33,0)</f>
        <v/>
      </c>
      <c r="V73">
        <f>Premissas!$C$37+ROUND(Premissas!$C$12*Premissas!$C$38+D73*Premissas!$C$27,0)</f>
        <v/>
      </c>
      <c r="W73">
        <f>Premissas!$C$39</f>
        <v/>
      </c>
      <c r="X73">
        <f>S73-T73-ROUND(Premissas!$C$12*Premissas!$C$38+D73*Premissas!$C$27,0)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Premissas!$C$32+(B73+C73)/Premissas!$C$34</f>
        <v/>
      </c>
      <c r="AC73">
        <f>D73+AC61*(1-Premissas!$C$26/12)^12</f>
        <v/>
      </c>
    </row>
    <row r="74">
      <c r="A74" t="n">
        <v>71</v>
      </c>
      <c r="B74">
        <f>B73*(1-Premissas!$C$18/12)+Premissas!$C$12</f>
        <v/>
      </c>
      <c r="C74">
        <f>IF($B$2=1,C73*(1-Premissas!$C$26/12)+D74,0)</f>
        <v/>
      </c>
      <c r="D74">
        <f>IF(AND($B$2=1,A74&gt;=Premissas!$C$23),Premissas!$C$22,0)</f>
        <v/>
      </c>
      <c r="E74">
        <f>B74*Premissas!$C$28</f>
        <v/>
      </c>
      <c r="F74">
        <f>B74*Premissas!$C$13/12*MIN(1,A74/Premissas!$C$17)</f>
        <v/>
      </c>
      <c r="G74">
        <f>F74*Premissas!$C$14</f>
        <v/>
      </c>
      <c r="H74">
        <f>IF(IF(A74-1-Premissas!$C$16&gt;=0,OFFSET($J$4,A74-1-Premissas!$C$16,0),0)&gt;0,ROUND(IF(A74-1-Premissas!$C$16&gt;=0,OFFSET($J$4,A74-1-Premissas!$C$16,0),0)*10000/Premissas!$C$5*Premissas!$C$15,0),0)</f>
        <v/>
      </c>
      <c r="I74">
        <f>ROUND(G74*Premissas!$C$6/10000,0)</f>
        <v/>
      </c>
      <c r="J74">
        <f>ROUND(G74*Premissas!$C$5/10000,0)</f>
        <v/>
      </c>
      <c r="K74">
        <f>IF(IF(A74-1-Premissas!$C$16&gt;=0,OFFSET($A$4,A74-1-Premissas!$C$16,0)&gt;=Premissas!$C$19,FALSE),ROUND(IF(A74-1-Premissas!$C$16&gt;=0,OFFSET($J$4,A74-1-Premissas!$C$16,0),0)*Premissas!$C$15,0),0)</f>
        <v/>
      </c>
      <c r="L74">
        <f>ROUND(C74*Premissas!$C$24/12,0)</f>
        <v/>
      </c>
      <c r="M74">
        <f>ROUND(D74*Premissas!$C$25,0)</f>
        <v/>
      </c>
      <c r="N74">
        <f>ROUND(E74*Premissas!$C$29+B74*Premissas!$C$30,0)</f>
        <v/>
      </c>
      <c r="O74">
        <f>K74+L74+M74+N74</f>
        <v/>
      </c>
      <c r="P74">
        <f>K74+ROUND(AC74*Premissas!$C$24,0)+M74+N74</f>
        <v/>
      </c>
      <c r="Q74">
        <f>ROUND(IF(A74-1-Premissas!$C$21&gt;=0,OFFSET($P$4,A74-1-Premissas!$C$21,0),0)*(1-Premissas!$C$20/100),0)</f>
        <v/>
      </c>
      <c r="R74">
        <f>ROUND(F74*Premissas!$C$11+N74*Premissas!$C$31/100,0)+ROUND((E74+B74)*Premissas!$C$10,0)+ROUND(Q74*Premissas!$C$8/100,0)+ROUND(Premissas!$C$35+(B74+C74)*Premissas!$C$36,0)</f>
        <v/>
      </c>
      <c r="S74">
        <f>O74-R74</f>
        <v/>
      </c>
      <c r="T74">
        <f>ROUND(O74*Premissas!$C$9/100,0)</f>
        <v/>
      </c>
      <c r="U74">
        <f>ROUND(AB74*Premissas!$C$33,0)</f>
        <v/>
      </c>
      <c r="V74">
        <f>Premissas!$C$37+ROUND(Premissas!$C$12*Premissas!$C$38+D74*Premissas!$C$27,0)</f>
        <v/>
      </c>
      <c r="W74">
        <f>Premissas!$C$39</f>
        <v/>
      </c>
      <c r="X74">
        <f>S74-T74-ROUND(Premissas!$C$12*Premissas!$C$38+D74*Premissas!$C$27,0)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Premissas!$C$32+(B74+C74)/Premissas!$C$34</f>
        <v/>
      </c>
      <c r="AC74">
        <f>D74+AC62*(1-Premissas!$C$26/12)^12</f>
        <v/>
      </c>
    </row>
    <row r="75">
      <c r="A75" t="n">
        <v>72</v>
      </c>
      <c r="B75">
        <f>B74*(1-Premissas!$C$18/12)+Premissas!$C$12</f>
        <v/>
      </c>
      <c r="C75">
        <f>IF($B$2=1,C74*(1-Premissas!$C$26/12)+D75,0)</f>
        <v/>
      </c>
      <c r="D75">
        <f>IF(AND($B$2=1,A75&gt;=Premissas!$C$23),Premissas!$C$22,0)</f>
        <v/>
      </c>
      <c r="E75">
        <f>B75*Premissas!$C$28</f>
        <v/>
      </c>
      <c r="F75">
        <f>B75*Premissas!$C$13/12*MIN(1,A75/Premissas!$C$17)</f>
        <v/>
      </c>
      <c r="G75">
        <f>F75*Premissas!$C$14</f>
        <v/>
      </c>
      <c r="H75">
        <f>IF(IF(A75-1-Premissas!$C$16&gt;=0,OFFSET($J$4,A75-1-Premissas!$C$16,0),0)&gt;0,ROUND(IF(A75-1-Premissas!$C$16&gt;=0,OFFSET($J$4,A75-1-Premissas!$C$16,0),0)*10000/Premissas!$C$5*Premissas!$C$15,0),0)</f>
        <v/>
      </c>
      <c r="I75">
        <f>ROUND(G75*Premissas!$C$6/10000,0)</f>
        <v/>
      </c>
      <c r="J75">
        <f>ROUND(G75*Premissas!$C$5/10000,0)</f>
        <v/>
      </c>
      <c r="K75">
        <f>IF(IF(A75-1-Premissas!$C$16&gt;=0,OFFSET($A$4,A75-1-Premissas!$C$16,0)&gt;=Premissas!$C$19,FALSE),ROUND(IF(A75-1-Premissas!$C$16&gt;=0,OFFSET($J$4,A75-1-Premissas!$C$16,0),0)*Premissas!$C$15,0),0)</f>
        <v/>
      </c>
      <c r="L75">
        <f>ROUND(C75*Premissas!$C$24/12,0)</f>
        <v/>
      </c>
      <c r="M75">
        <f>ROUND(D75*Premissas!$C$25,0)</f>
        <v/>
      </c>
      <c r="N75">
        <f>ROUND(E75*Premissas!$C$29+B75*Premissas!$C$30,0)</f>
        <v/>
      </c>
      <c r="O75">
        <f>K75+L75+M75+N75</f>
        <v/>
      </c>
      <c r="P75">
        <f>K75+ROUND(AC75*Premissas!$C$24,0)+M75+N75</f>
        <v/>
      </c>
      <c r="Q75">
        <f>ROUND(IF(A75-1-Premissas!$C$21&gt;=0,OFFSET($P$4,A75-1-Premissas!$C$21,0),0)*(1-Premissas!$C$20/100),0)</f>
        <v/>
      </c>
      <c r="R75">
        <f>ROUND(F75*Premissas!$C$11+N75*Premissas!$C$31/100,0)+ROUND((E75+B75)*Premissas!$C$10,0)+ROUND(Q75*Premissas!$C$8/100,0)+ROUND(Premissas!$C$35+(B75+C75)*Premissas!$C$36,0)</f>
        <v/>
      </c>
      <c r="S75">
        <f>O75-R75</f>
        <v/>
      </c>
      <c r="T75">
        <f>ROUND(O75*Premissas!$C$9/100,0)</f>
        <v/>
      </c>
      <c r="U75">
        <f>ROUND(AB75*Premissas!$C$33,0)</f>
        <v/>
      </c>
      <c r="V75">
        <f>Premissas!$C$37+ROUND(Premissas!$C$12*Premissas!$C$38+D75*Premissas!$C$27,0)</f>
        <v/>
      </c>
      <c r="W75">
        <f>Premissas!$C$39</f>
        <v/>
      </c>
      <c r="X75">
        <f>S75-T75-ROUND(Premissas!$C$12*Premissas!$C$38+D75*Premissas!$C$27,0)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Premissas!$C$32+(B75+C75)/Premissas!$C$34</f>
        <v/>
      </c>
      <c r="AC75">
        <f>D75+AC63*(1-Premissas!$C$26/12)^12</f>
        <v/>
      </c>
    </row>
    <row r="76">
      <c r="A76" t="n">
        <v>73</v>
      </c>
      <c r="B76">
        <f>B75*(1-Premissas!$C$18/12)+Premissas!$C$12</f>
        <v/>
      </c>
      <c r="C76">
        <f>IF($B$2=1,C75*(1-Premissas!$C$26/12)+D76,0)</f>
        <v/>
      </c>
      <c r="D76">
        <f>IF(AND($B$2=1,A76&gt;=Premissas!$C$23),Premissas!$C$22,0)</f>
        <v/>
      </c>
      <c r="E76">
        <f>B76*Premissas!$C$28</f>
        <v/>
      </c>
      <c r="F76">
        <f>B76*Premissas!$C$13/12*MIN(1,A76/Premissas!$C$17)</f>
        <v/>
      </c>
      <c r="G76">
        <f>F76*Premissas!$C$14</f>
        <v/>
      </c>
      <c r="H76">
        <f>IF(IF(A76-1-Premissas!$C$16&gt;=0,OFFSET($J$4,A76-1-Premissas!$C$16,0),0)&gt;0,ROUND(IF(A76-1-Premissas!$C$16&gt;=0,OFFSET($J$4,A76-1-Premissas!$C$16,0),0)*10000/Premissas!$C$5*Premissas!$C$15,0),0)</f>
        <v/>
      </c>
      <c r="I76">
        <f>ROUND(G76*Premissas!$C$6/10000,0)</f>
        <v/>
      </c>
      <c r="J76">
        <f>ROUND(G76*Premissas!$C$5/10000,0)</f>
        <v/>
      </c>
      <c r="K76">
        <f>IF(IF(A76-1-Premissas!$C$16&gt;=0,OFFSET($A$4,A76-1-Premissas!$C$16,0)&gt;=Premissas!$C$19,FALSE),ROUND(IF(A76-1-Premissas!$C$16&gt;=0,OFFSET($J$4,A76-1-Premissas!$C$16,0),0)*Premissas!$C$15,0),0)</f>
        <v/>
      </c>
      <c r="L76">
        <f>ROUND(C76*Premissas!$C$24/12,0)</f>
        <v/>
      </c>
      <c r="M76">
        <f>ROUND(D76*Premissas!$C$25,0)</f>
        <v/>
      </c>
      <c r="N76">
        <f>ROUND(E76*Premissas!$C$29+B76*Premissas!$C$30,0)</f>
        <v/>
      </c>
      <c r="O76">
        <f>K76+L76+M76+N76</f>
        <v/>
      </c>
      <c r="P76">
        <f>K76+ROUND(AC76*Premissas!$C$24,0)+M76+N76</f>
        <v/>
      </c>
      <c r="Q76">
        <f>ROUND(IF(A76-1-Premissas!$C$21&gt;=0,OFFSET($P$4,A76-1-Premissas!$C$21,0),0)*(1-Premissas!$C$20/100),0)</f>
        <v/>
      </c>
      <c r="R76">
        <f>ROUND(F76*Premissas!$C$11+N76*Premissas!$C$31/100,0)+ROUND((E76+B76)*Premissas!$C$10,0)+ROUND(Q76*Premissas!$C$8/100,0)+ROUND(Premissas!$C$35+(B76+C76)*Premissas!$C$36,0)</f>
        <v/>
      </c>
      <c r="S76">
        <f>O76-R76</f>
        <v/>
      </c>
      <c r="T76">
        <f>ROUND(O76*Premissas!$C$9/100,0)</f>
        <v/>
      </c>
      <c r="U76">
        <f>ROUND(AB76*Premissas!$C$33,0)</f>
        <v/>
      </c>
      <c r="V76">
        <f>Premissas!$C$37+ROUND(Premissas!$C$12*Premissas!$C$38+D76*Premissas!$C$27,0)</f>
        <v/>
      </c>
      <c r="W76">
        <f>Premissas!$C$39</f>
        <v/>
      </c>
      <c r="X76">
        <f>S76-T76-ROUND(Premissas!$C$12*Premissas!$C$38+D76*Premissas!$C$27,0)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Premissas!$C$32+(B76+C76)/Premissas!$C$34</f>
        <v/>
      </c>
      <c r="AC76">
        <f>D76+AC64*(1-Premissas!$C$26/12)^12</f>
        <v/>
      </c>
    </row>
    <row r="77">
      <c r="A77" t="n">
        <v>74</v>
      </c>
      <c r="B77">
        <f>B76*(1-Premissas!$C$18/12)+Premissas!$C$12</f>
        <v/>
      </c>
      <c r="C77">
        <f>IF($B$2=1,C76*(1-Premissas!$C$26/12)+D77,0)</f>
        <v/>
      </c>
      <c r="D77">
        <f>IF(AND($B$2=1,A77&gt;=Premissas!$C$23),Premissas!$C$22,0)</f>
        <v/>
      </c>
      <c r="E77">
        <f>B77*Premissas!$C$28</f>
        <v/>
      </c>
      <c r="F77">
        <f>B77*Premissas!$C$13/12*MIN(1,A77/Premissas!$C$17)</f>
        <v/>
      </c>
      <c r="G77">
        <f>F77*Premissas!$C$14</f>
        <v/>
      </c>
      <c r="H77">
        <f>IF(IF(A77-1-Premissas!$C$16&gt;=0,OFFSET($J$4,A77-1-Premissas!$C$16,0),0)&gt;0,ROUND(IF(A77-1-Premissas!$C$16&gt;=0,OFFSET($J$4,A77-1-Premissas!$C$16,0),0)*10000/Premissas!$C$5*Premissas!$C$15,0),0)</f>
        <v/>
      </c>
      <c r="I77">
        <f>ROUND(G77*Premissas!$C$6/10000,0)</f>
        <v/>
      </c>
      <c r="J77">
        <f>ROUND(G77*Premissas!$C$5/10000,0)</f>
        <v/>
      </c>
      <c r="K77">
        <f>IF(IF(A77-1-Premissas!$C$16&gt;=0,OFFSET($A$4,A77-1-Premissas!$C$16,0)&gt;=Premissas!$C$19,FALSE),ROUND(IF(A77-1-Premissas!$C$16&gt;=0,OFFSET($J$4,A77-1-Premissas!$C$16,0),0)*Premissas!$C$15,0),0)</f>
        <v/>
      </c>
      <c r="L77">
        <f>ROUND(C77*Premissas!$C$24/12,0)</f>
        <v/>
      </c>
      <c r="M77">
        <f>ROUND(D77*Premissas!$C$25,0)</f>
        <v/>
      </c>
      <c r="N77">
        <f>ROUND(E77*Premissas!$C$29+B77*Premissas!$C$30,0)</f>
        <v/>
      </c>
      <c r="O77">
        <f>K77+L77+M77+N77</f>
        <v/>
      </c>
      <c r="P77">
        <f>K77+ROUND(AC77*Premissas!$C$24,0)+M77+N77</f>
        <v/>
      </c>
      <c r="Q77">
        <f>ROUND(IF(A77-1-Premissas!$C$21&gt;=0,OFFSET($P$4,A77-1-Premissas!$C$21,0),0)*(1-Premissas!$C$20/100),0)</f>
        <v/>
      </c>
      <c r="R77">
        <f>ROUND(F77*Premissas!$C$11+N77*Premissas!$C$31/100,0)+ROUND((E77+B77)*Premissas!$C$10,0)+ROUND(Q77*Premissas!$C$8/100,0)+ROUND(Premissas!$C$35+(B77+C77)*Premissas!$C$36,0)</f>
        <v/>
      </c>
      <c r="S77">
        <f>O77-R77</f>
        <v/>
      </c>
      <c r="T77">
        <f>ROUND(O77*Premissas!$C$9/100,0)</f>
        <v/>
      </c>
      <c r="U77">
        <f>ROUND(AB77*Premissas!$C$33,0)</f>
        <v/>
      </c>
      <c r="V77">
        <f>Premissas!$C$37+ROUND(Premissas!$C$12*Premissas!$C$38+D77*Premissas!$C$27,0)</f>
        <v/>
      </c>
      <c r="W77">
        <f>Premissas!$C$39</f>
        <v/>
      </c>
      <c r="X77">
        <f>S77-T77-ROUND(Premissas!$C$12*Premissas!$C$38+D77*Premissas!$C$27,0)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Premissas!$C$32+(B77+C77)/Premissas!$C$34</f>
        <v/>
      </c>
      <c r="AC77">
        <f>D77+AC65*(1-Premissas!$C$26/12)^12</f>
        <v/>
      </c>
    </row>
    <row r="78">
      <c r="A78" t="n">
        <v>75</v>
      </c>
      <c r="B78">
        <f>B77*(1-Premissas!$C$18/12)+Premissas!$C$12</f>
        <v/>
      </c>
      <c r="C78">
        <f>IF($B$2=1,C77*(1-Premissas!$C$26/12)+D78,0)</f>
        <v/>
      </c>
      <c r="D78">
        <f>IF(AND($B$2=1,A78&gt;=Premissas!$C$23),Premissas!$C$22,0)</f>
        <v/>
      </c>
      <c r="E78">
        <f>B78*Premissas!$C$28</f>
        <v/>
      </c>
      <c r="F78">
        <f>B78*Premissas!$C$13/12*MIN(1,A78/Premissas!$C$17)</f>
        <v/>
      </c>
      <c r="G78">
        <f>F78*Premissas!$C$14</f>
        <v/>
      </c>
      <c r="H78">
        <f>IF(IF(A78-1-Premissas!$C$16&gt;=0,OFFSET($J$4,A78-1-Premissas!$C$16,0),0)&gt;0,ROUND(IF(A78-1-Premissas!$C$16&gt;=0,OFFSET($J$4,A78-1-Premissas!$C$16,0),0)*10000/Premissas!$C$5*Premissas!$C$15,0),0)</f>
        <v/>
      </c>
      <c r="I78">
        <f>ROUND(G78*Premissas!$C$6/10000,0)</f>
        <v/>
      </c>
      <c r="J78">
        <f>ROUND(G78*Premissas!$C$5/10000,0)</f>
        <v/>
      </c>
      <c r="K78">
        <f>IF(IF(A78-1-Premissas!$C$16&gt;=0,OFFSET($A$4,A78-1-Premissas!$C$16,0)&gt;=Premissas!$C$19,FALSE),ROUND(IF(A78-1-Premissas!$C$16&gt;=0,OFFSET($J$4,A78-1-Premissas!$C$16,0),0)*Premissas!$C$15,0),0)</f>
        <v/>
      </c>
      <c r="L78">
        <f>ROUND(C78*Premissas!$C$24/12,0)</f>
        <v/>
      </c>
      <c r="M78">
        <f>ROUND(D78*Premissas!$C$25,0)</f>
        <v/>
      </c>
      <c r="N78">
        <f>ROUND(E78*Premissas!$C$29+B78*Premissas!$C$30,0)</f>
        <v/>
      </c>
      <c r="O78">
        <f>K78+L78+M78+N78</f>
        <v/>
      </c>
      <c r="P78">
        <f>K78+ROUND(AC78*Premissas!$C$24,0)+M78+N78</f>
        <v/>
      </c>
      <c r="Q78">
        <f>ROUND(IF(A78-1-Premissas!$C$21&gt;=0,OFFSET($P$4,A78-1-Premissas!$C$21,0),0)*(1-Premissas!$C$20/100),0)</f>
        <v/>
      </c>
      <c r="R78">
        <f>ROUND(F78*Premissas!$C$11+N78*Premissas!$C$31/100,0)+ROUND((E78+B78)*Premissas!$C$10,0)+ROUND(Q78*Premissas!$C$8/100,0)+ROUND(Premissas!$C$35+(B78+C78)*Premissas!$C$36,0)</f>
        <v/>
      </c>
      <c r="S78">
        <f>O78-R78</f>
        <v/>
      </c>
      <c r="T78">
        <f>ROUND(O78*Premissas!$C$9/100,0)</f>
        <v/>
      </c>
      <c r="U78">
        <f>ROUND(AB78*Premissas!$C$33,0)</f>
        <v/>
      </c>
      <c r="V78">
        <f>Premissas!$C$37+ROUND(Premissas!$C$12*Premissas!$C$38+D78*Premissas!$C$27,0)</f>
        <v/>
      </c>
      <c r="W78">
        <f>Premissas!$C$39</f>
        <v/>
      </c>
      <c r="X78">
        <f>S78-T78-ROUND(Premissas!$C$12*Premissas!$C$38+D78*Premissas!$C$27,0)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Premissas!$C$32+(B78+C78)/Premissas!$C$34</f>
        <v/>
      </c>
      <c r="AC78">
        <f>D78+AC66*(1-Premissas!$C$26/12)^12</f>
        <v/>
      </c>
    </row>
    <row r="79">
      <c r="A79" t="n">
        <v>76</v>
      </c>
      <c r="B79">
        <f>B78*(1-Premissas!$C$18/12)+Premissas!$C$12</f>
        <v/>
      </c>
      <c r="C79">
        <f>IF($B$2=1,C78*(1-Premissas!$C$26/12)+D79,0)</f>
        <v/>
      </c>
      <c r="D79">
        <f>IF(AND($B$2=1,A79&gt;=Premissas!$C$23),Premissas!$C$22,0)</f>
        <v/>
      </c>
      <c r="E79">
        <f>B79*Premissas!$C$28</f>
        <v/>
      </c>
      <c r="F79">
        <f>B79*Premissas!$C$13/12*MIN(1,A79/Premissas!$C$17)</f>
        <v/>
      </c>
      <c r="G79">
        <f>F79*Premissas!$C$14</f>
        <v/>
      </c>
      <c r="H79">
        <f>IF(IF(A79-1-Premissas!$C$16&gt;=0,OFFSET($J$4,A79-1-Premissas!$C$16,0),0)&gt;0,ROUND(IF(A79-1-Premissas!$C$16&gt;=0,OFFSET($J$4,A79-1-Premissas!$C$16,0),0)*10000/Premissas!$C$5*Premissas!$C$15,0),0)</f>
        <v/>
      </c>
      <c r="I79">
        <f>ROUND(G79*Premissas!$C$6/10000,0)</f>
        <v/>
      </c>
      <c r="J79">
        <f>ROUND(G79*Premissas!$C$5/10000,0)</f>
        <v/>
      </c>
      <c r="K79">
        <f>IF(IF(A79-1-Premissas!$C$16&gt;=0,OFFSET($A$4,A79-1-Premissas!$C$16,0)&gt;=Premissas!$C$19,FALSE),ROUND(IF(A79-1-Premissas!$C$16&gt;=0,OFFSET($J$4,A79-1-Premissas!$C$16,0),0)*Premissas!$C$15,0),0)</f>
        <v/>
      </c>
      <c r="L79">
        <f>ROUND(C79*Premissas!$C$24/12,0)</f>
        <v/>
      </c>
      <c r="M79">
        <f>ROUND(D79*Premissas!$C$25,0)</f>
        <v/>
      </c>
      <c r="N79">
        <f>ROUND(E79*Premissas!$C$29+B79*Premissas!$C$30,0)</f>
        <v/>
      </c>
      <c r="O79">
        <f>K79+L79+M79+N79</f>
        <v/>
      </c>
      <c r="P79">
        <f>K79+ROUND(AC79*Premissas!$C$24,0)+M79+N79</f>
        <v/>
      </c>
      <c r="Q79">
        <f>ROUND(IF(A79-1-Premissas!$C$21&gt;=0,OFFSET($P$4,A79-1-Premissas!$C$21,0),0)*(1-Premissas!$C$20/100),0)</f>
        <v/>
      </c>
      <c r="R79">
        <f>ROUND(F79*Premissas!$C$11+N79*Premissas!$C$31/100,0)+ROUND((E79+B79)*Premissas!$C$10,0)+ROUND(Q79*Premissas!$C$8/100,0)+ROUND(Premissas!$C$35+(B79+C79)*Premissas!$C$36,0)</f>
        <v/>
      </c>
      <c r="S79">
        <f>O79-R79</f>
        <v/>
      </c>
      <c r="T79">
        <f>ROUND(O79*Premissas!$C$9/100,0)</f>
        <v/>
      </c>
      <c r="U79">
        <f>ROUND(AB79*Premissas!$C$33,0)</f>
        <v/>
      </c>
      <c r="V79">
        <f>Premissas!$C$37+ROUND(Premissas!$C$12*Premissas!$C$38+D79*Premissas!$C$27,0)</f>
        <v/>
      </c>
      <c r="W79">
        <f>Premissas!$C$39</f>
        <v/>
      </c>
      <c r="X79">
        <f>S79-T79-ROUND(Premissas!$C$12*Premissas!$C$38+D79*Premissas!$C$27,0)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Premissas!$C$32+(B79+C79)/Premissas!$C$34</f>
        <v/>
      </c>
      <c r="AC79">
        <f>D79+AC67*(1-Premissas!$C$26/12)^12</f>
        <v/>
      </c>
    </row>
    <row r="80">
      <c r="A80" t="n">
        <v>77</v>
      </c>
      <c r="B80">
        <f>B79*(1-Premissas!$C$18/12)+Premissas!$C$12</f>
        <v/>
      </c>
      <c r="C80">
        <f>IF($B$2=1,C79*(1-Premissas!$C$26/12)+D80,0)</f>
        <v/>
      </c>
      <c r="D80">
        <f>IF(AND($B$2=1,A80&gt;=Premissas!$C$23),Premissas!$C$22,0)</f>
        <v/>
      </c>
      <c r="E80">
        <f>B80*Premissas!$C$28</f>
        <v/>
      </c>
      <c r="F80">
        <f>B80*Premissas!$C$13/12*MIN(1,A80/Premissas!$C$17)</f>
        <v/>
      </c>
      <c r="G80">
        <f>F80*Premissas!$C$14</f>
        <v/>
      </c>
      <c r="H80">
        <f>IF(IF(A80-1-Premissas!$C$16&gt;=0,OFFSET($J$4,A80-1-Premissas!$C$16,0),0)&gt;0,ROUND(IF(A80-1-Premissas!$C$16&gt;=0,OFFSET($J$4,A80-1-Premissas!$C$16,0),0)*10000/Premissas!$C$5*Premissas!$C$15,0),0)</f>
        <v/>
      </c>
      <c r="I80">
        <f>ROUND(G80*Premissas!$C$6/10000,0)</f>
        <v/>
      </c>
      <c r="J80">
        <f>ROUND(G80*Premissas!$C$5/10000,0)</f>
        <v/>
      </c>
      <c r="K80">
        <f>IF(IF(A80-1-Premissas!$C$16&gt;=0,OFFSET($A$4,A80-1-Premissas!$C$16,0)&gt;=Premissas!$C$19,FALSE),ROUND(IF(A80-1-Premissas!$C$16&gt;=0,OFFSET($J$4,A80-1-Premissas!$C$16,0),0)*Premissas!$C$15,0),0)</f>
        <v/>
      </c>
      <c r="L80">
        <f>ROUND(C80*Premissas!$C$24/12,0)</f>
        <v/>
      </c>
      <c r="M80">
        <f>ROUND(D80*Premissas!$C$25,0)</f>
        <v/>
      </c>
      <c r="N80">
        <f>ROUND(E80*Premissas!$C$29+B80*Premissas!$C$30,0)</f>
        <v/>
      </c>
      <c r="O80">
        <f>K80+L80+M80+N80</f>
        <v/>
      </c>
      <c r="P80">
        <f>K80+ROUND(AC80*Premissas!$C$24,0)+M80+N80</f>
        <v/>
      </c>
      <c r="Q80">
        <f>ROUND(IF(A80-1-Premissas!$C$21&gt;=0,OFFSET($P$4,A80-1-Premissas!$C$21,0),0)*(1-Premissas!$C$20/100),0)</f>
        <v/>
      </c>
      <c r="R80">
        <f>ROUND(F80*Premissas!$C$11+N80*Premissas!$C$31/100,0)+ROUND((E80+B80)*Premissas!$C$10,0)+ROUND(Q80*Premissas!$C$8/100,0)+ROUND(Premissas!$C$35+(B80+C80)*Premissas!$C$36,0)</f>
        <v/>
      </c>
      <c r="S80">
        <f>O80-R80</f>
        <v/>
      </c>
      <c r="T80">
        <f>ROUND(O80*Premissas!$C$9/100,0)</f>
        <v/>
      </c>
      <c r="U80">
        <f>ROUND(AB80*Premissas!$C$33,0)</f>
        <v/>
      </c>
      <c r="V80">
        <f>Premissas!$C$37+ROUND(Premissas!$C$12*Premissas!$C$38+D80*Premissas!$C$27,0)</f>
        <v/>
      </c>
      <c r="W80">
        <f>Premissas!$C$39</f>
        <v/>
      </c>
      <c r="X80">
        <f>S80-T80-ROUND(Premissas!$C$12*Premissas!$C$38+D80*Premissas!$C$27,0)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Premissas!$C$32+(B80+C80)/Premissas!$C$34</f>
        <v/>
      </c>
      <c r="AC80">
        <f>D80+AC68*(1-Premissas!$C$26/12)^12</f>
        <v/>
      </c>
    </row>
    <row r="81">
      <c r="A81" t="n">
        <v>78</v>
      </c>
      <c r="B81">
        <f>B80*(1-Premissas!$C$18/12)+Premissas!$C$12</f>
        <v/>
      </c>
      <c r="C81">
        <f>IF($B$2=1,C80*(1-Premissas!$C$26/12)+D81,0)</f>
        <v/>
      </c>
      <c r="D81">
        <f>IF(AND($B$2=1,A81&gt;=Premissas!$C$23),Premissas!$C$22,0)</f>
        <v/>
      </c>
      <c r="E81">
        <f>B81*Premissas!$C$28</f>
        <v/>
      </c>
      <c r="F81">
        <f>B81*Premissas!$C$13/12*MIN(1,A81/Premissas!$C$17)</f>
        <v/>
      </c>
      <c r="G81">
        <f>F81*Premissas!$C$14</f>
        <v/>
      </c>
      <c r="H81">
        <f>IF(IF(A81-1-Premissas!$C$16&gt;=0,OFFSET($J$4,A81-1-Premissas!$C$16,0),0)&gt;0,ROUND(IF(A81-1-Premissas!$C$16&gt;=0,OFFSET($J$4,A81-1-Premissas!$C$16,0),0)*10000/Premissas!$C$5*Premissas!$C$15,0),0)</f>
        <v/>
      </c>
      <c r="I81">
        <f>ROUND(G81*Premissas!$C$6/10000,0)</f>
        <v/>
      </c>
      <c r="J81">
        <f>ROUND(G81*Premissas!$C$5/10000,0)</f>
        <v/>
      </c>
      <c r="K81">
        <f>IF(IF(A81-1-Premissas!$C$16&gt;=0,OFFSET($A$4,A81-1-Premissas!$C$16,0)&gt;=Premissas!$C$19,FALSE),ROUND(IF(A81-1-Premissas!$C$16&gt;=0,OFFSET($J$4,A81-1-Premissas!$C$16,0),0)*Premissas!$C$15,0),0)</f>
        <v/>
      </c>
      <c r="L81">
        <f>ROUND(C81*Premissas!$C$24/12,0)</f>
        <v/>
      </c>
      <c r="M81">
        <f>ROUND(D81*Premissas!$C$25,0)</f>
        <v/>
      </c>
      <c r="N81">
        <f>ROUND(E81*Premissas!$C$29+B81*Premissas!$C$30,0)</f>
        <v/>
      </c>
      <c r="O81">
        <f>K81+L81+M81+N81</f>
        <v/>
      </c>
      <c r="P81">
        <f>K81+ROUND(AC81*Premissas!$C$24,0)+M81+N81</f>
        <v/>
      </c>
      <c r="Q81">
        <f>ROUND(IF(A81-1-Premissas!$C$21&gt;=0,OFFSET($P$4,A81-1-Premissas!$C$21,0),0)*(1-Premissas!$C$20/100),0)</f>
        <v/>
      </c>
      <c r="R81">
        <f>ROUND(F81*Premissas!$C$11+N81*Premissas!$C$31/100,0)+ROUND((E81+B81)*Premissas!$C$10,0)+ROUND(Q81*Premissas!$C$8/100,0)+ROUND(Premissas!$C$35+(B81+C81)*Premissas!$C$36,0)</f>
        <v/>
      </c>
      <c r="S81">
        <f>O81-R81</f>
        <v/>
      </c>
      <c r="T81">
        <f>ROUND(O81*Premissas!$C$9/100,0)</f>
        <v/>
      </c>
      <c r="U81">
        <f>ROUND(AB81*Premissas!$C$33,0)</f>
        <v/>
      </c>
      <c r="V81">
        <f>Premissas!$C$37+ROUND(Premissas!$C$12*Premissas!$C$38+D81*Premissas!$C$27,0)</f>
        <v/>
      </c>
      <c r="W81">
        <f>Premissas!$C$39</f>
        <v/>
      </c>
      <c r="X81">
        <f>S81-T81-ROUND(Premissas!$C$12*Premissas!$C$38+D81*Premissas!$C$27,0)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Premissas!$C$32+(B81+C81)/Premissas!$C$34</f>
        <v/>
      </c>
      <c r="AC81">
        <f>D81+AC69*(1-Premissas!$C$26/12)^12</f>
        <v/>
      </c>
    </row>
    <row r="82">
      <c r="A82" t="n">
        <v>79</v>
      </c>
      <c r="B82">
        <f>B81*(1-Premissas!$C$18/12)+Premissas!$C$12</f>
        <v/>
      </c>
      <c r="C82">
        <f>IF($B$2=1,C81*(1-Premissas!$C$26/12)+D82,0)</f>
        <v/>
      </c>
      <c r="D82">
        <f>IF(AND($B$2=1,A82&gt;=Premissas!$C$23),Premissas!$C$22,0)</f>
        <v/>
      </c>
      <c r="E82">
        <f>B82*Premissas!$C$28</f>
        <v/>
      </c>
      <c r="F82">
        <f>B82*Premissas!$C$13/12*MIN(1,A82/Premissas!$C$17)</f>
        <v/>
      </c>
      <c r="G82">
        <f>F82*Premissas!$C$14</f>
        <v/>
      </c>
      <c r="H82">
        <f>IF(IF(A82-1-Premissas!$C$16&gt;=0,OFFSET($J$4,A82-1-Premissas!$C$16,0),0)&gt;0,ROUND(IF(A82-1-Premissas!$C$16&gt;=0,OFFSET($J$4,A82-1-Premissas!$C$16,0),0)*10000/Premissas!$C$5*Premissas!$C$15,0),0)</f>
        <v/>
      </c>
      <c r="I82">
        <f>ROUND(G82*Premissas!$C$6/10000,0)</f>
        <v/>
      </c>
      <c r="J82">
        <f>ROUND(G82*Premissas!$C$5/10000,0)</f>
        <v/>
      </c>
      <c r="K82">
        <f>IF(IF(A82-1-Premissas!$C$16&gt;=0,OFFSET($A$4,A82-1-Premissas!$C$16,0)&gt;=Premissas!$C$19,FALSE),ROUND(IF(A82-1-Premissas!$C$16&gt;=0,OFFSET($J$4,A82-1-Premissas!$C$16,0),0)*Premissas!$C$15,0),0)</f>
        <v/>
      </c>
      <c r="L82">
        <f>ROUND(C82*Premissas!$C$24/12,0)</f>
        <v/>
      </c>
      <c r="M82">
        <f>ROUND(D82*Premissas!$C$25,0)</f>
        <v/>
      </c>
      <c r="N82">
        <f>ROUND(E82*Premissas!$C$29+B82*Premissas!$C$30,0)</f>
        <v/>
      </c>
      <c r="O82">
        <f>K82+L82+M82+N82</f>
        <v/>
      </c>
      <c r="P82">
        <f>K82+ROUND(AC82*Premissas!$C$24,0)+M82+N82</f>
        <v/>
      </c>
      <c r="Q82">
        <f>ROUND(IF(A82-1-Premissas!$C$21&gt;=0,OFFSET($P$4,A82-1-Premissas!$C$21,0),0)*(1-Premissas!$C$20/100),0)</f>
        <v/>
      </c>
      <c r="R82">
        <f>ROUND(F82*Premissas!$C$11+N82*Premissas!$C$31/100,0)+ROUND((E82+B82)*Premissas!$C$10,0)+ROUND(Q82*Premissas!$C$8/100,0)+ROUND(Premissas!$C$35+(B82+C82)*Premissas!$C$36,0)</f>
        <v/>
      </c>
      <c r="S82">
        <f>O82-R82</f>
        <v/>
      </c>
      <c r="T82">
        <f>ROUND(O82*Premissas!$C$9/100,0)</f>
        <v/>
      </c>
      <c r="U82">
        <f>ROUND(AB82*Premissas!$C$33,0)</f>
        <v/>
      </c>
      <c r="V82">
        <f>Premissas!$C$37+ROUND(Premissas!$C$12*Premissas!$C$38+D82*Premissas!$C$27,0)</f>
        <v/>
      </c>
      <c r="W82">
        <f>Premissas!$C$39</f>
        <v/>
      </c>
      <c r="X82">
        <f>S82-T82-ROUND(Premissas!$C$12*Premissas!$C$38+D82*Premissas!$C$27,0)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Premissas!$C$32+(B82+C82)/Premissas!$C$34</f>
        <v/>
      </c>
      <c r="AC82">
        <f>D82+AC70*(1-Premissas!$C$26/12)^12</f>
        <v/>
      </c>
    </row>
    <row r="83">
      <c r="A83" t="n">
        <v>80</v>
      </c>
      <c r="B83">
        <f>B82*(1-Premissas!$C$18/12)+Premissas!$C$12</f>
        <v/>
      </c>
      <c r="C83">
        <f>IF($B$2=1,C82*(1-Premissas!$C$26/12)+D83,0)</f>
        <v/>
      </c>
      <c r="D83">
        <f>IF(AND($B$2=1,A83&gt;=Premissas!$C$23),Premissas!$C$22,0)</f>
        <v/>
      </c>
      <c r="E83">
        <f>B83*Premissas!$C$28</f>
        <v/>
      </c>
      <c r="F83">
        <f>B83*Premissas!$C$13/12*MIN(1,A83/Premissas!$C$17)</f>
        <v/>
      </c>
      <c r="G83">
        <f>F83*Premissas!$C$14</f>
        <v/>
      </c>
      <c r="H83">
        <f>IF(IF(A83-1-Premissas!$C$16&gt;=0,OFFSET($J$4,A83-1-Premissas!$C$16,0),0)&gt;0,ROUND(IF(A83-1-Premissas!$C$16&gt;=0,OFFSET($J$4,A83-1-Premissas!$C$16,0),0)*10000/Premissas!$C$5*Premissas!$C$15,0),0)</f>
        <v/>
      </c>
      <c r="I83">
        <f>ROUND(G83*Premissas!$C$6/10000,0)</f>
        <v/>
      </c>
      <c r="J83">
        <f>ROUND(G83*Premissas!$C$5/10000,0)</f>
        <v/>
      </c>
      <c r="K83">
        <f>IF(IF(A83-1-Premissas!$C$16&gt;=0,OFFSET($A$4,A83-1-Premissas!$C$16,0)&gt;=Premissas!$C$19,FALSE),ROUND(IF(A83-1-Premissas!$C$16&gt;=0,OFFSET($J$4,A83-1-Premissas!$C$16,0),0)*Premissas!$C$15,0),0)</f>
        <v/>
      </c>
      <c r="L83">
        <f>ROUND(C83*Premissas!$C$24/12,0)</f>
        <v/>
      </c>
      <c r="M83">
        <f>ROUND(D83*Premissas!$C$25,0)</f>
        <v/>
      </c>
      <c r="N83">
        <f>ROUND(E83*Premissas!$C$29+B83*Premissas!$C$30,0)</f>
        <v/>
      </c>
      <c r="O83">
        <f>K83+L83+M83+N83</f>
        <v/>
      </c>
      <c r="P83">
        <f>K83+ROUND(AC83*Premissas!$C$24,0)+M83+N83</f>
        <v/>
      </c>
      <c r="Q83">
        <f>ROUND(IF(A83-1-Premissas!$C$21&gt;=0,OFFSET($P$4,A83-1-Premissas!$C$21,0),0)*(1-Premissas!$C$20/100),0)</f>
        <v/>
      </c>
      <c r="R83">
        <f>ROUND(F83*Premissas!$C$11+N83*Premissas!$C$31/100,0)+ROUND((E83+B83)*Premissas!$C$10,0)+ROUND(Q83*Premissas!$C$8/100,0)+ROUND(Premissas!$C$35+(B83+C83)*Premissas!$C$36,0)</f>
        <v/>
      </c>
      <c r="S83">
        <f>O83-R83</f>
        <v/>
      </c>
      <c r="T83">
        <f>ROUND(O83*Premissas!$C$9/100,0)</f>
        <v/>
      </c>
      <c r="U83">
        <f>ROUND(AB83*Premissas!$C$33,0)</f>
        <v/>
      </c>
      <c r="V83">
        <f>Premissas!$C$37+ROUND(Premissas!$C$12*Premissas!$C$38+D83*Premissas!$C$27,0)</f>
        <v/>
      </c>
      <c r="W83">
        <f>Premissas!$C$39</f>
        <v/>
      </c>
      <c r="X83">
        <f>S83-T83-ROUND(Premissas!$C$12*Premissas!$C$38+D83*Premissas!$C$27,0)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Premissas!$C$32+(B83+C83)/Premissas!$C$34</f>
        <v/>
      </c>
      <c r="AC83">
        <f>D83+AC71*(1-Premissas!$C$26/12)^12</f>
        <v/>
      </c>
    </row>
    <row r="84">
      <c r="A84" t="n">
        <v>81</v>
      </c>
      <c r="B84">
        <f>B83*(1-Premissas!$C$18/12)+Premissas!$C$12</f>
        <v/>
      </c>
      <c r="C84">
        <f>IF($B$2=1,C83*(1-Premissas!$C$26/12)+D84,0)</f>
        <v/>
      </c>
      <c r="D84">
        <f>IF(AND($B$2=1,A84&gt;=Premissas!$C$23),Premissas!$C$22,0)</f>
        <v/>
      </c>
      <c r="E84">
        <f>B84*Premissas!$C$28</f>
        <v/>
      </c>
      <c r="F84">
        <f>B84*Premissas!$C$13/12*MIN(1,A84/Premissas!$C$17)</f>
        <v/>
      </c>
      <c r="G84">
        <f>F84*Premissas!$C$14</f>
        <v/>
      </c>
      <c r="H84">
        <f>IF(IF(A84-1-Premissas!$C$16&gt;=0,OFFSET($J$4,A84-1-Premissas!$C$16,0),0)&gt;0,ROUND(IF(A84-1-Premissas!$C$16&gt;=0,OFFSET($J$4,A84-1-Premissas!$C$16,0),0)*10000/Premissas!$C$5*Premissas!$C$15,0),0)</f>
        <v/>
      </c>
      <c r="I84">
        <f>ROUND(G84*Premissas!$C$6/10000,0)</f>
        <v/>
      </c>
      <c r="J84">
        <f>ROUND(G84*Premissas!$C$5/10000,0)</f>
        <v/>
      </c>
      <c r="K84">
        <f>IF(IF(A84-1-Premissas!$C$16&gt;=0,OFFSET($A$4,A84-1-Premissas!$C$16,0)&gt;=Premissas!$C$19,FALSE),ROUND(IF(A84-1-Premissas!$C$16&gt;=0,OFFSET($J$4,A84-1-Premissas!$C$16,0),0)*Premissas!$C$15,0),0)</f>
        <v/>
      </c>
      <c r="L84">
        <f>ROUND(C84*Premissas!$C$24/12,0)</f>
        <v/>
      </c>
      <c r="M84">
        <f>ROUND(D84*Premissas!$C$25,0)</f>
        <v/>
      </c>
      <c r="N84">
        <f>ROUND(E84*Premissas!$C$29+B84*Premissas!$C$30,0)</f>
        <v/>
      </c>
      <c r="O84">
        <f>K84+L84+M84+N84</f>
        <v/>
      </c>
      <c r="P84">
        <f>K84+ROUND(AC84*Premissas!$C$24,0)+M84+N84</f>
        <v/>
      </c>
      <c r="Q84">
        <f>ROUND(IF(A84-1-Premissas!$C$21&gt;=0,OFFSET($P$4,A84-1-Premissas!$C$21,0),0)*(1-Premissas!$C$20/100),0)</f>
        <v/>
      </c>
      <c r="R84">
        <f>ROUND(F84*Premissas!$C$11+N84*Premissas!$C$31/100,0)+ROUND((E84+B84)*Premissas!$C$10,0)+ROUND(Q84*Premissas!$C$8/100,0)+ROUND(Premissas!$C$35+(B84+C84)*Premissas!$C$36,0)</f>
        <v/>
      </c>
      <c r="S84">
        <f>O84-R84</f>
        <v/>
      </c>
      <c r="T84">
        <f>ROUND(O84*Premissas!$C$9/100,0)</f>
        <v/>
      </c>
      <c r="U84">
        <f>ROUND(AB84*Premissas!$C$33,0)</f>
        <v/>
      </c>
      <c r="V84">
        <f>Premissas!$C$37+ROUND(Premissas!$C$12*Premissas!$C$38+D84*Premissas!$C$27,0)</f>
        <v/>
      </c>
      <c r="W84">
        <f>Premissas!$C$39</f>
        <v/>
      </c>
      <c r="X84">
        <f>S84-T84-ROUND(Premissas!$C$12*Premissas!$C$38+D84*Premissas!$C$27,0)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Premissas!$C$32+(B84+C84)/Premissas!$C$34</f>
        <v/>
      </c>
      <c r="AC84">
        <f>D84+AC72*(1-Premissas!$C$26/12)^12</f>
        <v/>
      </c>
    </row>
    <row r="85">
      <c r="A85" t="n">
        <v>82</v>
      </c>
      <c r="B85">
        <f>B84*(1-Premissas!$C$18/12)+Premissas!$C$12</f>
        <v/>
      </c>
      <c r="C85">
        <f>IF($B$2=1,C84*(1-Premissas!$C$26/12)+D85,0)</f>
        <v/>
      </c>
      <c r="D85">
        <f>IF(AND($B$2=1,A85&gt;=Premissas!$C$23),Premissas!$C$22,0)</f>
        <v/>
      </c>
      <c r="E85">
        <f>B85*Premissas!$C$28</f>
        <v/>
      </c>
      <c r="F85">
        <f>B85*Premissas!$C$13/12*MIN(1,A85/Premissas!$C$17)</f>
        <v/>
      </c>
      <c r="G85">
        <f>F85*Premissas!$C$14</f>
        <v/>
      </c>
      <c r="H85">
        <f>IF(IF(A85-1-Premissas!$C$16&gt;=0,OFFSET($J$4,A85-1-Premissas!$C$16,0),0)&gt;0,ROUND(IF(A85-1-Premissas!$C$16&gt;=0,OFFSET($J$4,A85-1-Premissas!$C$16,0),0)*10000/Premissas!$C$5*Premissas!$C$15,0),0)</f>
        <v/>
      </c>
      <c r="I85">
        <f>ROUND(G85*Premissas!$C$6/10000,0)</f>
        <v/>
      </c>
      <c r="J85">
        <f>ROUND(G85*Premissas!$C$5/10000,0)</f>
        <v/>
      </c>
      <c r="K85">
        <f>IF(IF(A85-1-Premissas!$C$16&gt;=0,OFFSET($A$4,A85-1-Premissas!$C$16,0)&gt;=Premissas!$C$19,FALSE),ROUND(IF(A85-1-Premissas!$C$16&gt;=0,OFFSET($J$4,A85-1-Premissas!$C$16,0),0)*Premissas!$C$15,0),0)</f>
        <v/>
      </c>
      <c r="L85">
        <f>ROUND(C85*Premissas!$C$24/12,0)</f>
        <v/>
      </c>
      <c r="M85">
        <f>ROUND(D85*Premissas!$C$25,0)</f>
        <v/>
      </c>
      <c r="N85">
        <f>ROUND(E85*Premissas!$C$29+B85*Premissas!$C$30,0)</f>
        <v/>
      </c>
      <c r="O85">
        <f>K85+L85+M85+N85</f>
        <v/>
      </c>
      <c r="P85">
        <f>K85+ROUND(AC85*Premissas!$C$24,0)+M85+N85</f>
        <v/>
      </c>
      <c r="Q85">
        <f>ROUND(IF(A85-1-Premissas!$C$21&gt;=0,OFFSET($P$4,A85-1-Premissas!$C$21,0),0)*(1-Premissas!$C$20/100),0)</f>
        <v/>
      </c>
      <c r="R85">
        <f>ROUND(F85*Premissas!$C$11+N85*Premissas!$C$31/100,0)+ROUND((E85+B85)*Premissas!$C$10,0)+ROUND(Q85*Premissas!$C$8/100,0)+ROUND(Premissas!$C$35+(B85+C85)*Premissas!$C$36,0)</f>
        <v/>
      </c>
      <c r="S85">
        <f>O85-R85</f>
        <v/>
      </c>
      <c r="T85">
        <f>ROUND(O85*Premissas!$C$9/100,0)</f>
        <v/>
      </c>
      <c r="U85">
        <f>ROUND(AB85*Premissas!$C$33,0)</f>
        <v/>
      </c>
      <c r="V85">
        <f>Premissas!$C$37+ROUND(Premissas!$C$12*Premissas!$C$38+D85*Premissas!$C$27,0)</f>
        <v/>
      </c>
      <c r="W85">
        <f>Premissas!$C$39</f>
        <v/>
      </c>
      <c r="X85">
        <f>S85-T85-ROUND(Premissas!$C$12*Premissas!$C$38+D85*Premissas!$C$27,0)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Premissas!$C$32+(B85+C85)/Premissas!$C$34</f>
        <v/>
      </c>
      <c r="AC85">
        <f>D85+AC73*(1-Premissas!$C$26/12)^12</f>
        <v/>
      </c>
    </row>
    <row r="86">
      <c r="A86" t="n">
        <v>83</v>
      </c>
      <c r="B86">
        <f>B85*(1-Premissas!$C$18/12)+Premissas!$C$12</f>
        <v/>
      </c>
      <c r="C86">
        <f>IF($B$2=1,C85*(1-Premissas!$C$26/12)+D86,0)</f>
        <v/>
      </c>
      <c r="D86">
        <f>IF(AND($B$2=1,A86&gt;=Premissas!$C$23),Premissas!$C$22,0)</f>
        <v/>
      </c>
      <c r="E86">
        <f>B86*Premissas!$C$28</f>
        <v/>
      </c>
      <c r="F86">
        <f>B86*Premissas!$C$13/12*MIN(1,A86/Premissas!$C$17)</f>
        <v/>
      </c>
      <c r="G86">
        <f>F86*Premissas!$C$14</f>
        <v/>
      </c>
      <c r="H86">
        <f>IF(IF(A86-1-Premissas!$C$16&gt;=0,OFFSET($J$4,A86-1-Premissas!$C$16,0),0)&gt;0,ROUND(IF(A86-1-Premissas!$C$16&gt;=0,OFFSET($J$4,A86-1-Premissas!$C$16,0),0)*10000/Premissas!$C$5*Premissas!$C$15,0),0)</f>
        <v/>
      </c>
      <c r="I86">
        <f>ROUND(G86*Premissas!$C$6/10000,0)</f>
        <v/>
      </c>
      <c r="J86">
        <f>ROUND(G86*Premissas!$C$5/10000,0)</f>
        <v/>
      </c>
      <c r="K86">
        <f>IF(IF(A86-1-Premissas!$C$16&gt;=0,OFFSET($A$4,A86-1-Premissas!$C$16,0)&gt;=Premissas!$C$19,FALSE),ROUND(IF(A86-1-Premissas!$C$16&gt;=0,OFFSET($J$4,A86-1-Premissas!$C$16,0),0)*Premissas!$C$15,0),0)</f>
        <v/>
      </c>
      <c r="L86">
        <f>ROUND(C86*Premissas!$C$24/12,0)</f>
        <v/>
      </c>
      <c r="M86">
        <f>ROUND(D86*Premissas!$C$25,0)</f>
        <v/>
      </c>
      <c r="N86">
        <f>ROUND(E86*Premissas!$C$29+B86*Premissas!$C$30,0)</f>
        <v/>
      </c>
      <c r="O86">
        <f>K86+L86+M86+N86</f>
        <v/>
      </c>
      <c r="P86">
        <f>K86+ROUND(AC86*Premissas!$C$24,0)+M86+N86</f>
        <v/>
      </c>
      <c r="Q86">
        <f>ROUND(IF(A86-1-Premissas!$C$21&gt;=0,OFFSET($P$4,A86-1-Premissas!$C$21,0),0)*(1-Premissas!$C$20/100),0)</f>
        <v/>
      </c>
      <c r="R86">
        <f>ROUND(F86*Premissas!$C$11+N86*Premissas!$C$31/100,0)+ROUND((E86+B86)*Premissas!$C$10,0)+ROUND(Q86*Premissas!$C$8/100,0)+ROUND(Premissas!$C$35+(B86+C86)*Premissas!$C$36,0)</f>
        <v/>
      </c>
      <c r="S86">
        <f>O86-R86</f>
        <v/>
      </c>
      <c r="T86">
        <f>ROUND(O86*Premissas!$C$9/100,0)</f>
        <v/>
      </c>
      <c r="U86">
        <f>ROUND(AB86*Premissas!$C$33,0)</f>
        <v/>
      </c>
      <c r="V86">
        <f>Premissas!$C$37+ROUND(Premissas!$C$12*Premissas!$C$38+D86*Premissas!$C$27,0)</f>
        <v/>
      </c>
      <c r="W86">
        <f>Premissas!$C$39</f>
        <v/>
      </c>
      <c r="X86">
        <f>S86-T86-ROUND(Premissas!$C$12*Premissas!$C$38+D86*Premissas!$C$27,0)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Premissas!$C$32+(B86+C86)/Premissas!$C$34</f>
        <v/>
      </c>
      <c r="AC86">
        <f>D86+AC74*(1-Premissas!$C$26/12)^12</f>
        <v/>
      </c>
    </row>
    <row r="87">
      <c r="A87" t="n">
        <v>84</v>
      </c>
      <c r="B87">
        <f>B86*(1-Premissas!$C$18/12)+Premissas!$C$12</f>
        <v/>
      </c>
      <c r="C87">
        <f>IF($B$2=1,C86*(1-Premissas!$C$26/12)+D87,0)</f>
        <v/>
      </c>
      <c r="D87">
        <f>IF(AND($B$2=1,A87&gt;=Premissas!$C$23),Premissas!$C$22,0)</f>
        <v/>
      </c>
      <c r="E87">
        <f>B87*Premissas!$C$28</f>
        <v/>
      </c>
      <c r="F87">
        <f>B87*Premissas!$C$13/12*MIN(1,A87/Premissas!$C$17)</f>
        <v/>
      </c>
      <c r="G87">
        <f>F87*Premissas!$C$14</f>
        <v/>
      </c>
      <c r="H87">
        <f>IF(IF(A87-1-Premissas!$C$16&gt;=0,OFFSET($J$4,A87-1-Premissas!$C$16,0),0)&gt;0,ROUND(IF(A87-1-Premissas!$C$16&gt;=0,OFFSET($J$4,A87-1-Premissas!$C$16,0),0)*10000/Premissas!$C$5*Premissas!$C$15,0),0)</f>
        <v/>
      </c>
      <c r="I87">
        <f>ROUND(G87*Premissas!$C$6/10000,0)</f>
        <v/>
      </c>
      <c r="J87">
        <f>ROUND(G87*Premissas!$C$5/10000,0)</f>
        <v/>
      </c>
      <c r="K87">
        <f>IF(IF(A87-1-Premissas!$C$16&gt;=0,OFFSET($A$4,A87-1-Premissas!$C$16,0)&gt;=Premissas!$C$19,FALSE),ROUND(IF(A87-1-Premissas!$C$16&gt;=0,OFFSET($J$4,A87-1-Premissas!$C$16,0),0)*Premissas!$C$15,0),0)</f>
        <v/>
      </c>
      <c r="L87">
        <f>ROUND(C87*Premissas!$C$24/12,0)</f>
        <v/>
      </c>
      <c r="M87">
        <f>ROUND(D87*Premissas!$C$25,0)</f>
        <v/>
      </c>
      <c r="N87">
        <f>ROUND(E87*Premissas!$C$29+B87*Premissas!$C$30,0)</f>
        <v/>
      </c>
      <c r="O87">
        <f>K87+L87+M87+N87</f>
        <v/>
      </c>
      <c r="P87">
        <f>K87+ROUND(AC87*Premissas!$C$24,0)+M87+N87</f>
        <v/>
      </c>
      <c r="Q87">
        <f>ROUND(IF(A87-1-Premissas!$C$21&gt;=0,OFFSET($P$4,A87-1-Premissas!$C$21,0),0)*(1-Premissas!$C$20/100),0)</f>
        <v/>
      </c>
      <c r="R87">
        <f>ROUND(F87*Premissas!$C$11+N87*Premissas!$C$31/100,0)+ROUND((E87+B87)*Premissas!$C$10,0)+ROUND(Q87*Premissas!$C$8/100,0)+ROUND(Premissas!$C$35+(B87+C87)*Premissas!$C$36,0)</f>
        <v/>
      </c>
      <c r="S87">
        <f>O87-R87</f>
        <v/>
      </c>
      <c r="T87">
        <f>ROUND(O87*Premissas!$C$9/100,0)</f>
        <v/>
      </c>
      <c r="U87">
        <f>ROUND(AB87*Premissas!$C$33,0)</f>
        <v/>
      </c>
      <c r="V87">
        <f>Premissas!$C$37+ROUND(Premissas!$C$12*Premissas!$C$38+D87*Premissas!$C$27,0)</f>
        <v/>
      </c>
      <c r="W87">
        <f>Premissas!$C$39</f>
        <v/>
      </c>
      <c r="X87">
        <f>S87-T87-ROUND(Premissas!$C$12*Premissas!$C$38+D87*Premissas!$C$27,0)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Premissas!$C$32+(B87+C87)/Premissas!$C$34</f>
        <v/>
      </c>
      <c r="AC87">
        <f>D87+AC75*(1-Premissas!$C$26/12)^12</f>
        <v/>
      </c>
    </row>
    <row r="88">
      <c r="A88" t="n">
        <v>85</v>
      </c>
      <c r="B88">
        <f>B87*(1-Premissas!$C$18/12)+Premissas!$C$12</f>
        <v/>
      </c>
      <c r="C88">
        <f>IF($B$2=1,C87*(1-Premissas!$C$26/12)+D88,0)</f>
        <v/>
      </c>
      <c r="D88">
        <f>IF(AND($B$2=1,A88&gt;=Premissas!$C$23),Premissas!$C$22,0)</f>
        <v/>
      </c>
      <c r="E88">
        <f>B88*Premissas!$C$28</f>
        <v/>
      </c>
      <c r="F88">
        <f>B88*Premissas!$C$13/12*MIN(1,A88/Premissas!$C$17)</f>
        <v/>
      </c>
      <c r="G88">
        <f>F88*Premissas!$C$14</f>
        <v/>
      </c>
      <c r="H88">
        <f>IF(IF(A88-1-Premissas!$C$16&gt;=0,OFFSET($J$4,A88-1-Premissas!$C$16,0),0)&gt;0,ROUND(IF(A88-1-Premissas!$C$16&gt;=0,OFFSET($J$4,A88-1-Premissas!$C$16,0),0)*10000/Premissas!$C$5*Premissas!$C$15,0),0)</f>
        <v/>
      </c>
      <c r="I88">
        <f>ROUND(G88*Premissas!$C$6/10000,0)</f>
        <v/>
      </c>
      <c r="J88">
        <f>ROUND(G88*Premissas!$C$5/10000,0)</f>
        <v/>
      </c>
      <c r="K88">
        <f>IF(IF(A88-1-Premissas!$C$16&gt;=0,OFFSET($A$4,A88-1-Premissas!$C$16,0)&gt;=Premissas!$C$19,FALSE),ROUND(IF(A88-1-Premissas!$C$16&gt;=0,OFFSET($J$4,A88-1-Premissas!$C$16,0),0)*Premissas!$C$15,0),0)</f>
        <v/>
      </c>
      <c r="L88">
        <f>ROUND(C88*Premissas!$C$24/12,0)</f>
        <v/>
      </c>
      <c r="M88">
        <f>ROUND(D88*Premissas!$C$25,0)</f>
        <v/>
      </c>
      <c r="N88">
        <f>ROUND(E88*Premissas!$C$29+B88*Premissas!$C$30,0)</f>
        <v/>
      </c>
      <c r="O88">
        <f>K88+L88+M88+N88</f>
        <v/>
      </c>
      <c r="P88">
        <f>K88+ROUND(AC88*Premissas!$C$24,0)+M88+N88</f>
        <v/>
      </c>
      <c r="Q88">
        <f>ROUND(IF(A88-1-Premissas!$C$21&gt;=0,OFFSET($P$4,A88-1-Premissas!$C$21,0),0)*(1-Premissas!$C$20/100),0)</f>
        <v/>
      </c>
      <c r="R88">
        <f>ROUND(F88*Premissas!$C$11+N88*Premissas!$C$31/100,0)+ROUND((E88+B88)*Premissas!$C$10,0)+ROUND(Q88*Premissas!$C$8/100,0)+ROUND(Premissas!$C$35+(B88+C88)*Premissas!$C$36,0)</f>
        <v/>
      </c>
      <c r="S88">
        <f>O88-R88</f>
        <v/>
      </c>
      <c r="T88">
        <f>ROUND(O88*Premissas!$C$9/100,0)</f>
        <v/>
      </c>
      <c r="U88">
        <f>ROUND(AB88*Premissas!$C$33,0)</f>
        <v/>
      </c>
      <c r="V88">
        <f>Premissas!$C$37+ROUND(Premissas!$C$12*Premissas!$C$38+D88*Premissas!$C$27,0)</f>
        <v/>
      </c>
      <c r="W88">
        <f>Premissas!$C$39</f>
        <v/>
      </c>
      <c r="X88">
        <f>S88-T88-ROUND(Premissas!$C$12*Premissas!$C$38+D88*Premissas!$C$27,0)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Premissas!$C$32+(B88+C88)/Premissas!$C$34</f>
        <v/>
      </c>
      <c r="AC88">
        <f>D88+AC76*(1-Premissas!$C$26/12)^12</f>
        <v/>
      </c>
    </row>
    <row r="89">
      <c r="A89" t="n">
        <v>86</v>
      </c>
      <c r="B89">
        <f>B88*(1-Premissas!$C$18/12)+Premissas!$C$12</f>
        <v/>
      </c>
      <c r="C89">
        <f>IF($B$2=1,C88*(1-Premissas!$C$26/12)+D89,0)</f>
        <v/>
      </c>
      <c r="D89">
        <f>IF(AND($B$2=1,A89&gt;=Premissas!$C$23),Premissas!$C$22,0)</f>
        <v/>
      </c>
      <c r="E89">
        <f>B89*Premissas!$C$28</f>
        <v/>
      </c>
      <c r="F89">
        <f>B89*Premissas!$C$13/12*MIN(1,A89/Premissas!$C$17)</f>
        <v/>
      </c>
      <c r="G89">
        <f>F89*Premissas!$C$14</f>
        <v/>
      </c>
      <c r="H89">
        <f>IF(IF(A89-1-Premissas!$C$16&gt;=0,OFFSET($J$4,A89-1-Premissas!$C$16,0),0)&gt;0,ROUND(IF(A89-1-Premissas!$C$16&gt;=0,OFFSET($J$4,A89-1-Premissas!$C$16,0),0)*10000/Premissas!$C$5*Premissas!$C$15,0),0)</f>
        <v/>
      </c>
      <c r="I89">
        <f>ROUND(G89*Premissas!$C$6/10000,0)</f>
        <v/>
      </c>
      <c r="J89">
        <f>ROUND(G89*Premissas!$C$5/10000,0)</f>
        <v/>
      </c>
      <c r="K89">
        <f>IF(IF(A89-1-Premissas!$C$16&gt;=0,OFFSET($A$4,A89-1-Premissas!$C$16,0)&gt;=Premissas!$C$19,FALSE),ROUND(IF(A89-1-Premissas!$C$16&gt;=0,OFFSET($J$4,A89-1-Premissas!$C$16,0),0)*Premissas!$C$15,0),0)</f>
        <v/>
      </c>
      <c r="L89">
        <f>ROUND(C89*Premissas!$C$24/12,0)</f>
        <v/>
      </c>
      <c r="M89">
        <f>ROUND(D89*Premissas!$C$25,0)</f>
        <v/>
      </c>
      <c r="N89">
        <f>ROUND(E89*Premissas!$C$29+B89*Premissas!$C$30,0)</f>
        <v/>
      </c>
      <c r="O89">
        <f>K89+L89+M89+N89</f>
        <v/>
      </c>
      <c r="P89">
        <f>K89+ROUND(AC89*Premissas!$C$24,0)+M89+N89</f>
        <v/>
      </c>
      <c r="Q89">
        <f>ROUND(IF(A89-1-Premissas!$C$21&gt;=0,OFFSET($P$4,A89-1-Premissas!$C$21,0),0)*(1-Premissas!$C$20/100),0)</f>
        <v/>
      </c>
      <c r="R89">
        <f>ROUND(F89*Premissas!$C$11+N89*Premissas!$C$31/100,0)+ROUND((E89+B89)*Premissas!$C$10,0)+ROUND(Q89*Premissas!$C$8/100,0)+ROUND(Premissas!$C$35+(B89+C89)*Premissas!$C$36,0)</f>
        <v/>
      </c>
      <c r="S89">
        <f>O89-R89</f>
        <v/>
      </c>
      <c r="T89">
        <f>ROUND(O89*Premissas!$C$9/100,0)</f>
        <v/>
      </c>
      <c r="U89">
        <f>ROUND(AB89*Premissas!$C$33,0)</f>
        <v/>
      </c>
      <c r="V89">
        <f>Premissas!$C$37+ROUND(Premissas!$C$12*Premissas!$C$38+D89*Premissas!$C$27,0)</f>
        <v/>
      </c>
      <c r="W89">
        <f>Premissas!$C$39</f>
        <v/>
      </c>
      <c r="X89">
        <f>S89-T89-ROUND(Premissas!$C$12*Premissas!$C$38+D89*Premissas!$C$27,0)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Premissas!$C$32+(B89+C89)/Premissas!$C$34</f>
        <v/>
      </c>
      <c r="AC89">
        <f>D89+AC77*(1-Premissas!$C$26/12)^12</f>
        <v/>
      </c>
    </row>
    <row r="90">
      <c r="A90" t="n">
        <v>87</v>
      </c>
      <c r="B90">
        <f>B89*(1-Premissas!$C$18/12)+Premissas!$C$12</f>
        <v/>
      </c>
      <c r="C90">
        <f>IF($B$2=1,C89*(1-Premissas!$C$26/12)+D90,0)</f>
        <v/>
      </c>
      <c r="D90">
        <f>IF(AND($B$2=1,A90&gt;=Premissas!$C$23),Premissas!$C$22,0)</f>
        <v/>
      </c>
      <c r="E90">
        <f>B90*Premissas!$C$28</f>
        <v/>
      </c>
      <c r="F90">
        <f>B90*Premissas!$C$13/12*MIN(1,A90/Premissas!$C$17)</f>
        <v/>
      </c>
      <c r="G90">
        <f>F90*Premissas!$C$14</f>
        <v/>
      </c>
      <c r="H90">
        <f>IF(IF(A90-1-Premissas!$C$16&gt;=0,OFFSET($J$4,A90-1-Premissas!$C$16,0),0)&gt;0,ROUND(IF(A90-1-Premissas!$C$16&gt;=0,OFFSET($J$4,A90-1-Premissas!$C$16,0),0)*10000/Premissas!$C$5*Premissas!$C$15,0),0)</f>
        <v/>
      </c>
      <c r="I90">
        <f>ROUND(G90*Premissas!$C$6/10000,0)</f>
        <v/>
      </c>
      <c r="J90">
        <f>ROUND(G90*Premissas!$C$5/10000,0)</f>
        <v/>
      </c>
      <c r="K90">
        <f>IF(IF(A90-1-Premissas!$C$16&gt;=0,OFFSET($A$4,A90-1-Premissas!$C$16,0)&gt;=Premissas!$C$19,FALSE),ROUND(IF(A90-1-Premissas!$C$16&gt;=0,OFFSET($J$4,A90-1-Premissas!$C$16,0),0)*Premissas!$C$15,0),0)</f>
        <v/>
      </c>
      <c r="L90">
        <f>ROUND(C90*Premissas!$C$24/12,0)</f>
        <v/>
      </c>
      <c r="M90">
        <f>ROUND(D90*Premissas!$C$25,0)</f>
        <v/>
      </c>
      <c r="N90">
        <f>ROUND(E90*Premissas!$C$29+B90*Premissas!$C$30,0)</f>
        <v/>
      </c>
      <c r="O90">
        <f>K90+L90+M90+N90</f>
        <v/>
      </c>
      <c r="P90">
        <f>K90+ROUND(AC90*Premissas!$C$24,0)+M90+N90</f>
        <v/>
      </c>
      <c r="Q90">
        <f>ROUND(IF(A90-1-Premissas!$C$21&gt;=0,OFFSET($P$4,A90-1-Premissas!$C$21,0),0)*(1-Premissas!$C$20/100),0)</f>
        <v/>
      </c>
      <c r="R90">
        <f>ROUND(F90*Premissas!$C$11+N90*Premissas!$C$31/100,0)+ROUND((E90+B90)*Premissas!$C$10,0)+ROUND(Q90*Premissas!$C$8/100,0)+ROUND(Premissas!$C$35+(B90+C90)*Premissas!$C$36,0)</f>
        <v/>
      </c>
      <c r="S90">
        <f>O90-R90</f>
        <v/>
      </c>
      <c r="T90">
        <f>ROUND(O90*Premissas!$C$9/100,0)</f>
        <v/>
      </c>
      <c r="U90">
        <f>ROUND(AB90*Premissas!$C$33,0)</f>
        <v/>
      </c>
      <c r="V90">
        <f>Premissas!$C$37+ROUND(Premissas!$C$12*Premissas!$C$38+D90*Premissas!$C$27,0)</f>
        <v/>
      </c>
      <c r="W90">
        <f>Premissas!$C$39</f>
        <v/>
      </c>
      <c r="X90">
        <f>S90-T90-ROUND(Premissas!$C$12*Premissas!$C$38+D90*Premissas!$C$27,0)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Premissas!$C$32+(B90+C90)/Premissas!$C$34</f>
        <v/>
      </c>
      <c r="AC90">
        <f>D90+AC78*(1-Premissas!$C$26/12)^12</f>
        <v/>
      </c>
    </row>
    <row r="91">
      <c r="A91" t="n">
        <v>88</v>
      </c>
      <c r="B91">
        <f>B90*(1-Premissas!$C$18/12)+Premissas!$C$12</f>
        <v/>
      </c>
      <c r="C91">
        <f>IF($B$2=1,C90*(1-Premissas!$C$26/12)+D91,0)</f>
        <v/>
      </c>
      <c r="D91">
        <f>IF(AND($B$2=1,A91&gt;=Premissas!$C$23),Premissas!$C$22,0)</f>
        <v/>
      </c>
      <c r="E91">
        <f>B91*Premissas!$C$28</f>
        <v/>
      </c>
      <c r="F91">
        <f>B91*Premissas!$C$13/12*MIN(1,A91/Premissas!$C$17)</f>
        <v/>
      </c>
      <c r="G91">
        <f>F91*Premissas!$C$14</f>
        <v/>
      </c>
      <c r="H91">
        <f>IF(IF(A91-1-Premissas!$C$16&gt;=0,OFFSET($J$4,A91-1-Premissas!$C$16,0),0)&gt;0,ROUND(IF(A91-1-Premissas!$C$16&gt;=0,OFFSET($J$4,A91-1-Premissas!$C$16,0),0)*10000/Premissas!$C$5*Premissas!$C$15,0),0)</f>
        <v/>
      </c>
      <c r="I91">
        <f>ROUND(G91*Premissas!$C$6/10000,0)</f>
        <v/>
      </c>
      <c r="J91">
        <f>ROUND(G91*Premissas!$C$5/10000,0)</f>
        <v/>
      </c>
      <c r="K91">
        <f>IF(IF(A91-1-Premissas!$C$16&gt;=0,OFFSET($A$4,A91-1-Premissas!$C$16,0)&gt;=Premissas!$C$19,FALSE),ROUND(IF(A91-1-Premissas!$C$16&gt;=0,OFFSET($J$4,A91-1-Premissas!$C$16,0),0)*Premissas!$C$15,0),0)</f>
        <v/>
      </c>
      <c r="L91">
        <f>ROUND(C91*Premissas!$C$24/12,0)</f>
        <v/>
      </c>
      <c r="M91">
        <f>ROUND(D91*Premissas!$C$25,0)</f>
        <v/>
      </c>
      <c r="N91">
        <f>ROUND(E91*Premissas!$C$29+B91*Premissas!$C$30,0)</f>
        <v/>
      </c>
      <c r="O91">
        <f>K91+L91+M91+N91</f>
        <v/>
      </c>
      <c r="P91">
        <f>K91+ROUND(AC91*Premissas!$C$24,0)+M91+N91</f>
        <v/>
      </c>
      <c r="Q91">
        <f>ROUND(IF(A91-1-Premissas!$C$21&gt;=0,OFFSET($P$4,A91-1-Premissas!$C$21,0),0)*(1-Premissas!$C$20/100),0)</f>
        <v/>
      </c>
      <c r="R91">
        <f>ROUND(F91*Premissas!$C$11+N91*Premissas!$C$31/100,0)+ROUND((E91+B91)*Premissas!$C$10,0)+ROUND(Q91*Premissas!$C$8/100,0)+ROUND(Premissas!$C$35+(B91+C91)*Premissas!$C$36,0)</f>
        <v/>
      </c>
      <c r="S91">
        <f>O91-R91</f>
        <v/>
      </c>
      <c r="T91">
        <f>ROUND(O91*Premissas!$C$9/100,0)</f>
        <v/>
      </c>
      <c r="U91">
        <f>ROUND(AB91*Premissas!$C$33,0)</f>
        <v/>
      </c>
      <c r="V91">
        <f>Premissas!$C$37+ROUND(Premissas!$C$12*Premissas!$C$38+D91*Premissas!$C$27,0)</f>
        <v/>
      </c>
      <c r="W91">
        <f>Premissas!$C$39</f>
        <v/>
      </c>
      <c r="X91">
        <f>S91-T91-ROUND(Premissas!$C$12*Premissas!$C$38+D91*Premissas!$C$27,0)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Premissas!$C$32+(B91+C91)/Premissas!$C$34</f>
        <v/>
      </c>
      <c r="AC91">
        <f>D91+AC79*(1-Premissas!$C$26/12)^12</f>
        <v/>
      </c>
    </row>
    <row r="92">
      <c r="A92" t="n">
        <v>89</v>
      </c>
      <c r="B92">
        <f>B91*(1-Premissas!$C$18/12)+Premissas!$C$12</f>
        <v/>
      </c>
      <c r="C92">
        <f>IF($B$2=1,C91*(1-Premissas!$C$26/12)+D92,0)</f>
        <v/>
      </c>
      <c r="D92">
        <f>IF(AND($B$2=1,A92&gt;=Premissas!$C$23),Premissas!$C$22,0)</f>
        <v/>
      </c>
      <c r="E92">
        <f>B92*Premissas!$C$28</f>
        <v/>
      </c>
      <c r="F92">
        <f>B92*Premissas!$C$13/12*MIN(1,A92/Premissas!$C$17)</f>
        <v/>
      </c>
      <c r="G92">
        <f>F92*Premissas!$C$14</f>
        <v/>
      </c>
      <c r="H92">
        <f>IF(IF(A92-1-Premissas!$C$16&gt;=0,OFFSET($J$4,A92-1-Premissas!$C$16,0),0)&gt;0,ROUND(IF(A92-1-Premissas!$C$16&gt;=0,OFFSET($J$4,A92-1-Premissas!$C$16,0),0)*10000/Premissas!$C$5*Premissas!$C$15,0),0)</f>
        <v/>
      </c>
      <c r="I92">
        <f>ROUND(G92*Premissas!$C$6/10000,0)</f>
        <v/>
      </c>
      <c r="J92">
        <f>ROUND(G92*Premissas!$C$5/10000,0)</f>
        <v/>
      </c>
      <c r="K92">
        <f>IF(IF(A92-1-Premissas!$C$16&gt;=0,OFFSET($A$4,A92-1-Premissas!$C$16,0)&gt;=Premissas!$C$19,FALSE),ROUND(IF(A92-1-Premissas!$C$16&gt;=0,OFFSET($J$4,A92-1-Premissas!$C$16,0),0)*Premissas!$C$15,0),0)</f>
        <v/>
      </c>
      <c r="L92">
        <f>ROUND(C92*Premissas!$C$24/12,0)</f>
        <v/>
      </c>
      <c r="M92">
        <f>ROUND(D92*Premissas!$C$25,0)</f>
        <v/>
      </c>
      <c r="N92">
        <f>ROUND(E92*Premissas!$C$29+B92*Premissas!$C$30,0)</f>
        <v/>
      </c>
      <c r="O92">
        <f>K92+L92+M92+N92</f>
        <v/>
      </c>
      <c r="P92">
        <f>K92+ROUND(AC92*Premissas!$C$24,0)+M92+N92</f>
        <v/>
      </c>
      <c r="Q92">
        <f>ROUND(IF(A92-1-Premissas!$C$21&gt;=0,OFFSET($P$4,A92-1-Premissas!$C$21,0),0)*(1-Premissas!$C$20/100),0)</f>
        <v/>
      </c>
      <c r="R92">
        <f>ROUND(F92*Premissas!$C$11+N92*Premissas!$C$31/100,0)+ROUND((E92+B92)*Premissas!$C$10,0)+ROUND(Q92*Premissas!$C$8/100,0)+ROUND(Premissas!$C$35+(B92+C92)*Premissas!$C$36,0)</f>
        <v/>
      </c>
      <c r="S92">
        <f>O92-R92</f>
        <v/>
      </c>
      <c r="T92">
        <f>ROUND(O92*Premissas!$C$9/100,0)</f>
        <v/>
      </c>
      <c r="U92">
        <f>ROUND(AB92*Premissas!$C$33,0)</f>
        <v/>
      </c>
      <c r="V92">
        <f>Premissas!$C$37+ROUND(Premissas!$C$12*Premissas!$C$38+D92*Premissas!$C$27,0)</f>
        <v/>
      </c>
      <c r="W92">
        <f>Premissas!$C$39</f>
        <v/>
      </c>
      <c r="X92">
        <f>S92-T92-ROUND(Premissas!$C$12*Premissas!$C$38+D92*Premissas!$C$27,0)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Premissas!$C$32+(B92+C92)/Premissas!$C$34</f>
        <v/>
      </c>
      <c r="AC92">
        <f>D92+AC80*(1-Premissas!$C$26/12)^12</f>
        <v/>
      </c>
    </row>
    <row r="93">
      <c r="A93" t="n">
        <v>90</v>
      </c>
      <c r="B93">
        <f>B92*(1-Premissas!$C$18/12)+Premissas!$C$12</f>
        <v/>
      </c>
      <c r="C93">
        <f>IF($B$2=1,C92*(1-Premissas!$C$26/12)+D93,0)</f>
        <v/>
      </c>
      <c r="D93">
        <f>IF(AND($B$2=1,A93&gt;=Premissas!$C$23),Premissas!$C$22,0)</f>
        <v/>
      </c>
      <c r="E93">
        <f>B93*Premissas!$C$28</f>
        <v/>
      </c>
      <c r="F93">
        <f>B93*Premissas!$C$13/12*MIN(1,A93/Premissas!$C$17)</f>
        <v/>
      </c>
      <c r="G93">
        <f>F93*Premissas!$C$14</f>
        <v/>
      </c>
      <c r="H93">
        <f>IF(IF(A93-1-Premissas!$C$16&gt;=0,OFFSET($J$4,A93-1-Premissas!$C$16,0),0)&gt;0,ROUND(IF(A93-1-Premissas!$C$16&gt;=0,OFFSET($J$4,A93-1-Premissas!$C$16,0),0)*10000/Premissas!$C$5*Premissas!$C$15,0),0)</f>
        <v/>
      </c>
      <c r="I93">
        <f>ROUND(G93*Premissas!$C$6/10000,0)</f>
        <v/>
      </c>
      <c r="J93">
        <f>ROUND(G93*Premissas!$C$5/10000,0)</f>
        <v/>
      </c>
      <c r="K93">
        <f>IF(IF(A93-1-Premissas!$C$16&gt;=0,OFFSET($A$4,A93-1-Premissas!$C$16,0)&gt;=Premissas!$C$19,FALSE),ROUND(IF(A93-1-Premissas!$C$16&gt;=0,OFFSET($J$4,A93-1-Premissas!$C$16,0),0)*Premissas!$C$15,0),0)</f>
        <v/>
      </c>
      <c r="L93">
        <f>ROUND(C93*Premissas!$C$24/12,0)</f>
        <v/>
      </c>
      <c r="M93">
        <f>ROUND(D93*Premissas!$C$25,0)</f>
        <v/>
      </c>
      <c r="N93">
        <f>ROUND(E93*Premissas!$C$29+B93*Premissas!$C$30,0)</f>
        <v/>
      </c>
      <c r="O93">
        <f>K93+L93+M93+N93</f>
        <v/>
      </c>
      <c r="P93">
        <f>K93+ROUND(AC93*Premissas!$C$24,0)+M93+N93</f>
        <v/>
      </c>
      <c r="Q93">
        <f>ROUND(IF(A93-1-Premissas!$C$21&gt;=0,OFFSET($P$4,A93-1-Premissas!$C$21,0),0)*(1-Premissas!$C$20/100),0)</f>
        <v/>
      </c>
      <c r="R93">
        <f>ROUND(F93*Premissas!$C$11+N93*Premissas!$C$31/100,0)+ROUND((E93+B93)*Premissas!$C$10,0)+ROUND(Q93*Premissas!$C$8/100,0)+ROUND(Premissas!$C$35+(B93+C93)*Premissas!$C$36,0)</f>
        <v/>
      </c>
      <c r="S93">
        <f>O93-R93</f>
        <v/>
      </c>
      <c r="T93">
        <f>ROUND(O93*Premissas!$C$9/100,0)</f>
        <v/>
      </c>
      <c r="U93">
        <f>ROUND(AB93*Premissas!$C$33,0)</f>
        <v/>
      </c>
      <c r="V93">
        <f>Premissas!$C$37+ROUND(Premissas!$C$12*Premissas!$C$38+D93*Premissas!$C$27,0)</f>
        <v/>
      </c>
      <c r="W93">
        <f>Premissas!$C$39</f>
        <v/>
      </c>
      <c r="X93">
        <f>S93-T93-ROUND(Premissas!$C$12*Premissas!$C$38+D93*Premissas!$C$27,0)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Premissas!$C$32+(B93+C93)/Premissas!$C$34</f>
        <v/>
      </c>
      <c r="AC93">
        <f>D93+AC81*(1-Premissas!$C$26/12)^12</f>
        <v/>
      </c>
    </row>
    <row r="94">
      <c r="A94" t="n">
        <v>91</v>
      </c>
      <c r="B94">
        <f>B93*(1-Premissas!$C$18/12)+Premissas!$C$12</f>
        <v/>
      </c>
      <c r="C94">
        <f>IF($B$2=1,C93*(1-Premissas!$C$26/12)+D94,0)</f>
        <v/>
      </c>
      <c r="D94">
        <f>IF(AND($B$2=1,A94&gt;=Premissas!$C$23),Premissas!$C$22,0)</f>
        <v/>
      </c>
      <c r="E94">
        <f>B94*Premissas!$C$28</f>
        <v/>
      </c>
      <c r="F94">
        <f>B94*Premissas!$C$13/12*MIN(1,A94/Premissas!$C$17)</f>
        <v/>
      </c>
      <c r="G94">
        <f>F94*Premissas!$C$14</f>
        <v/>
      </c>
      <c r="H94">
        <f>IF(IF(A94-1-Premissas!$C$16&gt;=0,OFFSET($J$4,A94-1-Premissas!$C$16,0),0)&gt;0,ROUND(IF(A94-1-Premissas!$C$16&gt;=0,OFFSET($J$4,A94-1-Premissas!$C$16,0),0)*10000/Premissas!$C$5*Premissas!$C$15,0),0)</f>
        <v/>
      </c>
      <c r="I94">
        <f>ROUND(G94*Premissas!$C$6/10000,0)</f>
        <v/>
      </c>
      <c r="J94">
        <f>ROUND(G94*Premissas!$C$5/10000,0)</f>
        <v/>
      </c>
      <c r="K94">
        <f>IF(IF(A94-1-Premissas!$C$16&gt;=0,OFFSET($A$4,A94-1-Premissas!$C$16,0)&gt;=Premissas!$C$19,FALSE),ROUND(IF(A94-1-Premissas!$C$16&gt;=0,OFFSET($J$4,A94-1-Premissas!$C$16,0),0)*Premissas!$C$15,0),0)</f>
        <v/>
      </c>
      <c r="L94">
        <f>ROUND(C94*Premissas!$C$24/12,0)</f>
        <v/>
      </c>
      <c r="M94">
        <f>ROUND(D94*Premissas!$C$25,0)</f>
        <v/>
      </c>
      <c r="N94">
        <f>ROUND(E94*Premissas!$C$29+B94*Premissas!$C$30,0)</f>
        <v/>
      </c>
      <c r="O94">
        <f>K94+L94+M94+N94</f>
        <v/>
      </c>
      <c r="P94">
        <f>K94+ROUND(AC94*Premissas!$C$24,0)+M94+N94</f>
        <v/>
      </c>
      <c r="Q94">
        <f>ROUND(IF(A94-1-Premissas!$C$21&gt;=0,OFFSET($P$4,A94-1-Premissas!$C$21,0),0)*(1-Premissas!$C$20/100),0)</f>
        <v/>
      </c>
      <c r="R94">
        <f>ROUND(F94*Premissas!$C$11+N94*Premissas!$C$31/100,0)+ROUND((E94+B94)*Premissas!$C$10,0)+ROUND(Q94*Premissas!$C$8/100,0)+ROUND(Premissas!$C$35+(B94+C94)*Premissas!$C$36,0)</f>
        <v/>
      </c>
      <c r="S94">
        <f>O94-R94</f>
        <v/>
      </c>
      <c r="T94">
        <f>ROUND(O94*Premissas!$C$9/100,0)</f>
        <v/>
      </c>
      <c r="U94">
        <f>ROUND(AB94*Premissas!$C$33,0)</f>
        <v/>
      </c>
      <c r="V94">
        <f>Premissas!$C$37+ROUND(Premissas!$C$12*Premissas!$C$38+D94*Premissas!$C$27,0)</f>
        <v/>
      </c>
      <c r="W94">
        <f>Premissas!$C$39</f>
        <v/>
      </c>
      <c r="X94">
        <f>S94-T94-ROUND(Premissas!$C$12*Premissas!$C$38+D94*Premissas!$C$27,0)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Premissas!$C$32+(B94+C94)/Premissas!$C$34</f>
        <v/>
      </c>
      <c r="AC94">
        <f>D94+AC82*(1-Premissas!$C$26/12)^12</f>
        <v/>
      </c>
    </row>
    <row r="95">
      <c r="A95" t="n">
        <v>92</v>
      </c>
      <c r="B95">
        <f>B94*(1-Premissas!$C$18/12)+Premissas!$C$12</f>
        <v/>
      </c>
      <c r="C95">
        <f>IF($B$2=1,C94*(1-Premissas!$C$26/12)+D95,0)</f>
        <v/>
      </c>
      <c r="D95">
        <f>IF(AND($B$2=1,A95&gt;=Premissas!$C$23),Premissas!$C$22,0)</f>
        <v/>
      </c>
      <c r="E95">
        <f>B95*Premissas!$C$28</f>
        <v/>
      </c>
      <c r="F95">
        <f>B95*Premissas!$C$13/12*MIN(1,A95/Premissas!$C$17)</f>
        <v/>
      </c>
      <c r="G95">
        <f>F95*Premissas!$C$14</f>
        <v/>
      </c>
      <c r="H95">
        <f>IF(IF(A95-1-Premissas!$C$16&gt;=0,OFFSET($J$4,A95-1-Premissas!$C$16,0),0)&gt;0,ROUND(IF(A95-1-Premissas!$C$16&gt;=0,OFFSET($J$4,A95-1-Premissas!$C$16,0),0)*10000/Premissas!$C$5*Premissas!$C$15,0),0)</f>
        <v/>
      </c>
      <c r="I95">
        <f>ROUND(G95*Premissas!$C$6/10000,0)</f>
        <v/>
      </c>
      <c r="J95">
        <f>ROUND(G95*Premissas!$C$5/10000,0)</f>
        <v/>
      </c>
      <c r="K95">
        <f>IF(IF(A95-1-Premissas!$C$16&gt;=0,OFFSET($A$4,A95-1-Premissas!$C$16,0)&gt;=Premissas!$C$19,FALSE),ROUND(IF(A95-1-Premissas!$C$16&gt;=0,OFFSET($J$4,A95-1-Premissas!$C$16,0),0)*Premissas!$C$15,0),0)</f>
        <v/>
      </c>
      <c r="L95">
        <f>ROUND(C95*Premissas!$C$24/12,0)</f>
        <v/>
      </c>
      <c r="M95">
        <f>ROUND(D95*Premissas!$C$25,0)</f>
        <v/>
      </c>
      <c r="N95">
        <f>ROUND(E95*Premissas!$C$29+B95*Premissas!$C$30,0)</f>
        <v/>
      </c>
      <c r="O95">
        <f>K95+L95+M95+N95</f>
        <v/>
      </c>
      <c r="P95">
        <f>K95+ROUND(AC95*Premissas!$C$24,0)+M95+N95</f>
        <v/>
      </c>
      <c r="Q95">
        <f>ROUND(IF(A95-1-Premissas!$C$21&gt;=0,OFFSET($P$4,A95-1-Premissas!$C$21,0),0)*(1-Premissas!$C$20/100),0)</f>
        <v/>
      </c>
      <c r="R95">
        <f>ROUND(F95*Premissas!$C$11+N95*Premissas!$C$31/100,0)+ROUND((E95+B95)*Premissas!$C$10,0)+ROUND(Q95*Premissas!$C$8/100,0)+ROUND(Premissas!$C$35+(B95+C95)*Premissas!$C$36,0)</f>
        <v/>
      </c>
      <c r="S95">
        <f>O95-R95</f>
        <v/>
      </c>
      <c r="T95">
        <f>ROUND(O95*Premissas!$C$9/100,0)</f>
        <v/>
      </c>
      <c r="U95">
        <f>ROUND(AB95*Premissas!$C$33,0)</f>
        <v/>
      </c>
      <c r="V95">
        <f>Premissas!$C$37+ROUND(Premissas!$C$12*Premissas!$C$38+D95*Premissas!$C$27,0)</f>
        <v/>
      </c>
      <c r="W95">
        <f>Premissas!$C$39</f>
        <v/>
      </c>
      <c r="X95">
        <f>S95-T95-ROUND(Premissas!$C$12*Premissas!$C$38+D95*Premissas!$C$27,0)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Premissas!$C$32+(B95+C95)/Premissas!$C$34</f>
        <v/>
      </c>
      <c r="AC95">
        <f>D95+AC83*(1-Premissas!$C$26/12)^12</f>
        <v/>
      </c>
    </row>
    <row r="96">
      <c r="A96" t="n">
        <v>93</v>
      </c>
      <c r="B96">
        <f>B95*(1-Premissas!$C$18/12)+Premissas!$C$12</f>
        <v/>
      </c>
      <c r="C96">
        <f>IF($B$2=1,C95*(1-Premissas!$C$26/12)+D96,0)</f>
        <v/>
      </c>
      <c r="D96">
        <f>IF(AND($B$2=1,A96&gt;=Premissas!$C$23),Premissas!$C$22,0)</f>
        <v/>
      </c>
      <c r="E96">
        <f>B96*Premissas!$C$28</f>
        <v/>
      </c>
      <c r="F96">
        <f>B96*Premissas!$C$13/12*MIN(1,A96/Premissas!$C$17)</f>
        <v/>
      </c>
      <c r="G96">
        <f>F96*Premissas!$C$14</f>
        <v/>
      </c>
      <c r="H96">
        <f>IF(IF(A96-1-Premissas!$C$16&gt;=0,OFFSET($J$4,A96-1-Premissas!$C$16,0),0)&gt;0,ROUND(IF(A96-1-Premissas!$C$16&gt;=0,OFFSET($J$4,A96-1-Premissas!$C$16,0),0)*10000/Premissas!$C$5*Premissas!$C$15,0),0)</f>
        <v/>
      </c>
      <c r="I96">
        <f>ROUND(G96*Premissas!$C$6/10000,0)</f>
        <v/>
      </c>
      <c r="J96">
        <f>ROUND(G96*Premissas!$C$5/10000,0)</f>
        <v/>
      </c>
      <c r="K96">
        <f>IF(IF(A96-1-Premissas!$C$16&gt;=0,OFFSET($A$4,A96-1-Premissas!$C$16,0)&gt;=Premissas!$C$19,FALSE),ROUND(IF(A96-1-Premissas!$C$16&gt;=0,OFFSET($J$4,A96-1-Premissas!$C$16,0),0)*Premissas!$C$15,0),0)</f>
        <v/>
      </c>
      <c r="L96">
        <f>ROUND(C96*Premissas!$C$24/12,0)</f>
        <v/>
      </c>
      <c r="M96">
        <f>ROUND(D96*Premissas!$C$25,0)</f>
        <v/>
      </c>
      <c r="N96">
        <f>ROUND(E96*Premissas!$C$29+B96*Premissas!$C$30,0)</f>
        <v/>
      </c>
      <c r="O96">
        <f>K96+L96+M96+N96</f>
        <v/>
      </c>
      <c r="P96">
        <f>K96+ROUND(AC96*Premissas!$C$24,0)+M96+N96</f>
        <v/>
      </c>
      <c r="Q96">
        <f>ROUND(IF(A96-1-Premissas!$C$21&gt;=0,OFFSET($P$4,A96-1-Premissas!$C$21,0),0)*(1-Premissas!$C$20/100),0)</f>
        <v/>
      </c>
      <c r="R96">
        <f>ROUND(F96*Premissas!$C$11+N96*Premissas!$C$31/100,0)+ROUND((E96+B96)*Premissas!$C$10,0)+ROUND(Q96*Premissas!$C$8/100,0)+ROUND(Premissas!$C$35+(B96+C96)*Premissas!$C$36,0)</f>
        <v/>
      </c>
      <c r="S96">
        <f>O96-R96</f>
        <v/>
      </c>
      <c r="T96">
        <f>ROUND(O96*Premissas!$C$9/100,0)</f>
        <v/>
      </c>
      <c r="U96">
        <f>ROUND(AB96*Premissas!$C$33,0)</f>
        <v/>
      </c>
      <c r="V96">
        <f>Premissas!$C$37+ROUND(Premissas!$C$12*Premissas!$C$38+D96*Premissas!$C$27,0)</f>
        <v/>
      </c>
      <c r="W96">
        <f>Premissas!$C$39</f>
        <v/>
      </c>
      <c r="X96">
        <f>S96-T96-ROUND(Premissas!$C$12*Premissas!$C$38+D96*Premissas!$C$27,0)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Premissas!$C$32+(B96+C96)/Premissas!$C$34</f>
        <v/>
      </c>
      <c r="AC96">
        <f>D96+AC84*(1-Premissas!$C$26/12)^12</f>
        <v/>
      </c>
    </row>
    <row r="97">
      <c r="A97" t="n">
        <v>94</v>
      </c>
      <c r="B97">
        <f>B96*(1-Premissas!$C$18/12)+Premissas!$C$12</f>
        <v/>
      </c>
      <c r="C97">
        <f>IF($B$2=1,C96*(1-Premissas!$C$26/12)+D97,0)</f>
        <v/>
      </c>
      <c r="D97">
        <f>IF(AND($B$2=1,A97&gt;=Premissas!$C$23),Premissas!$C$22,0)</f>
        <v/>
      </c>
      <c r="E97">
        <f>B97*Premissas!$C$28</f>
        <v/>
      </c>
      <c r="F97">
        <f>B97*Premissas!$C$13/12*MIN(1,A97/Premissas!$C$17)</f>
        <v/>
      </c>
      <c r="G97">
        <f>F97*Premissas!$C$14</f>
        <v/>
      </c>
      <c r="H97">
        <f>IF(IF(A97-1-Premissas!$C$16&gt;=0,OFFSET($J$4,A97-1-Premissas!$C$16,0),0)&gt;0,ROUND(IF(A97-1-Premissas!$C$16&gt;=0,OFFSET($J$4,A97-1-Premissas!$C$16,0),0)*10000/Premissas!$C$5*Premissas!$C$15,0),0)</f>
        <v/>
      </c>
      <c r="I97">
        <f>ROUND(G97*Premissas!$C$6/10000,0)</f>
        <v/>
      </c>
      <c r="J97">
        <f>ROUND(G97*Premissas!$C$5/10000,0)</f>
        <v/>
      </c>
      <c r="K97">
        <f>IF(IF(A97-1-Premissas!$C$16&gt;=0,OFFSET($A$4,A97-1-Premissas!$C$16,0)&gt;=Premissas!$C$19,FALSE),ROUND(IF(A97-1-Premissas!$C$16&gt;=0,OFFSET($J$4,A97-1-Premissas!$C$16,0),0)*Premissas!$C$15,0),0)</f>
        <v/>
      </c>
      <c r="L97">
        <f>ROUND(C97*Premissas!$C$24/12,0)</f>
        <v/>
      </c>
      <c r="M97">
        <f>ROUND(D97*Premissas!$C$25,0)</f>
        <v/>
      </c>
      <c r="N97">
        <f>ROUND(E97*Premissas!$C$29+B97*Premissas!$C$30,0)</f>
        <v/>
      </c>
      <c r="O97">
        <f>K97+L97+M97+N97</f>
        <v/>
      </c>
      <c r="P97">
        <f>K97+ROUND(AC97*Premissas!$C$24,0)+M97+N97</f>
        <v/>
      </c>
      <c r="Q97">
        <f>ROUND(IF(A97-1-Premissas!$C$21&gt;=0,OFFSET($P$4,A97-1-Premissas!$C$21,0),0)*(1-Premissas!$C$20/100),0)</f>
        <v/>
      </c>
      <c r="R97">
        <f>ROUND(F97*Premissas!$C$11+N97*Premissas!$C$31/100,0)+ROUND((E97+B97)*Premissas!$C$10,0)+ROUND(Q97*Premissas!$C$8/100,0)+ROUND(Premissas!$C$35+(B97+C97)*Premissas!$C$36,0)</f>
        <v/>
      </c>
      <c r="S97">
        <f>O97-R97</f>
        <v/>
      </c>
      <c r="T97">
        <f>ROUND(O97*Premissas!$C$9/100,0)</f>
        <v/>
      </c>
      <c r="U97">
        <f>ROUND(AB97*Premissas!$C$33,0)</f>
        <v/>
      </c>
      <c r="V97">
        <f>Premissas!$C$37+ROUND(Premissas!$C$12*Premissas!$C$38+D97*Premissas!$C$27,0)</f>
        <v/>
      </c>
      <c r="W97">
        <f>Premissas!$C$39</f>
        <v/>
      </c>
      <c r="X97">
        <f>S97-T97-ROUND(Premissas!$C$12*Premissas!$C$38+D97*Premissas!$C$27,0)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Premissas!$C$32+(B97+C97)/Premissas!$C$34</f>
        <v/>
      </c>
      <c r="AC97">
        <f>D97+AC85*(1-Premissas!$C$26/12)^12</f>
        <v/>
      </c>
    </row>
    <row r="98">
      <c r="A98" t="n">
        <v>95</v>
      </c>
      <c r="B98">
        <f>B97*(1-Premissas!$C$18/12)+Premissas!$C$12</f>
        <v/>
      </c>
      <c r="C98">
        <f>IF($B$2=1,C97*(1-Premissas!$C$26/12)+D98,0)</f>
        <v/>
      </c>
      <c r="D98">
        <f>IF(AND($B$2=1,A98&gt;=Premissas!$C$23),Premissas!$C$22,0)</f>
        <v/>
      </c>
      <c r="E98">
        <f>B98*Premissas!$C$28</f>
        <v/>
      </c>
      <c r="F98">
        <f>B98*Premissas!$C$13/12*MIN(1,A98/Premissas!$C$17)</f>
        <v/>
      </c>
      <c r="G98">
        <f>F98*Premissas!$C$14</f>
        <v/>
      </c>
      <c r="H98">
        <f>IF(IF(A98-1-Premissas!$C$16&gt;=0,OFFSET($J$4,A98-1-Premissas!$C$16,0),0)&gt;0,ROUND(IF(A98-1-Premissas!$C$16&gt;=0,OFFSET($J$4,A98-1-Premissas!$C$16,0),0)*10000/Premissas!$C$5*Premissas!$C$15,0),0)</f>
        <v/>
      </c>
      <c r="I98">
        <f>ROUND(G98*Premissas!$C$6/10000,0)</f>
        <v/>
      </c>
      <c r="J98">
        <f>ROUND(G98*Premissas!$C$5/10000,0)</f>
        <v/>
      </c>
      <c r="K98">
        <f>IF(IF(A98-1-Premissas!$C$16&gt;=0,OFFSET($A$4,A98-1-Premissas!$C$16,0)&gt;=Premissas!$C$19,FALSE),ROUND(IF(A98-1-Premissas!$C$16&gt;=0,OFFSET($J$4,A98-1-Premissas!$C$16,0),0)*Premissas!$C$15,0),0)</f>
        <v/>
      </c>
      <c r="L98">
        <f>ROUND(C98*Premissas!$C$24/12,0)</f>
        <v/>
      </c>
      <c r="M98">
        <f>ROUND(D98*Premissas!$C$25,0)</f>
        <v/>
      </c>
      <c r="N98">
        <f>ROUND(E98*Premissas!$C$29+B98*Premissas!$C$30,0)</f>
        <v/>
      </c>
      <c r="O98">
        <f>K98+L98+M98+N98</f>
        <v/>
      </c>
      <c r="P98">
        <f>K98+ROUND(AC98*Premissas!$C$24,0)+M98+N98</f>
        <v/>
      </c>
      <c r="Q98">
        <f>ROUND(IF(A98-1-Premissas!$C$21&gt;=0,OFFSET($P$4,A98-1-Premissas!$C$21,0),0)*(1-Premissas!$C$20/100),0)</f>
        <v/>
      </c>
      <c r="R98">
        <f>ROUND(F98*Premissas!$C$11+N98*Premissas!$C$31/100,0)+ROUND((E98+B98)*Premissas!$C$10,0)+ROUND(Q98*Premissas!$C$8/100,0)+ROUND(Premissas!$C$35+(B98+C98)*Premissas!$C$36,0)</f>
        <v/>
      </c>
      <c r="S98">
        <f>O98-R98</f>
        <v/>
      </c>
      <c r="T98">
        <f>ROUND(O98*Premissas!$C$9/100,0)</f>
        <v/>
      </c>
      <c r="U98">
        <f>ROUND(AB98*Premissas!$C$33,0)</f>
        <v/>
      </c>
      <c r="V98">
        <f>Premissas!$C$37+ROUND(Premissas!$C$12*Premissas!$C$38+D98*Premissas!$C$27,0)</f>
        <v/>
      </c>
      <c r="W98">
        <f>Premissas!$C$39</f>
        <v/>
      </c>
      <c r="X98">
        <f>S98-T98-ROUND(Premissas!$C$12*Premissas!$C$38+D98*Premissas!$C$27,0)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Premissas!$C$32+(B98+C98)/Premissas!$C$34</f>
        <v/>
      </c>
      <c r="AC98">
        <f>D98+AC86*(1-Premissas!$C$26/12)^12</f>
        <v/>
      </c>
    </row>
    <row r="99">
      <c r="A99" t="n">
        <v>96</v>
      </c>
      <c r="B99">
        <f>B98*(1-Premissas!$C$18/12)+Premissas!$C$12</f>
        <v/>
      </c>
      <c r="C99">
        <f>IF($B$2=1,C98*(1-Premissas!$C$26/12)+D99,0)</f>
        <v/>
      </c>
      <c r="D99">
        <f>IF(AND($B$2=1,A99&gt;=Premissas!$C$23),Premissas!$C$22,0)</f>
        <v/>
      </c>
      <c r="E99">
        <f>B99*Premissas!$C$28</f>
        <v/>
      </c>
      <c r="F99">
        <f>B99*Premissas!$C$13/12*MIN(1,A99/Premissas!$C$17)</f>
        <v/>
      </c>
      <c r="G99">
        <f>F99*Premissas!$C$14</f>
        <v/>
      </c>
      <c r="H99">
        <f>IF(IF(A99-1-Premissas!$C$16&gt;=0,OFFSET($J$4,A99-1-Premissas!$C$16,0),0)&gt;0,ROUND(IF(A99-1-Premissas!$C$16&gt;=0,OFFSET($J$4,A99-1-Premissas!$C$16,0),0)*10000/Premissas!$C$5*Premissas!$C$15,0),0)</f>
        <v/>
      </c>
      <c r="I99">
        <f>ROUND(G99*Premissas!$C$6/10000,0)</f>
        <v/>
      </c>
      <c r="J99">
        <f>ROUND(G99*Premissas!$C$5/10000,0)</f>
        <v/>
      </c>
      <c r="K99">
        <f>IF(IF(A99-1-Premissas!$C$16&gt;=0,OFFSET($A$4,A99-1-Premissas!$C$16,0)&gt;=Premissas!$C$19,FALSE),ROUND(IF(A99-1-Premissas!$C$16&gt;=0,OFFSET($J$4,A99-1-Premissas!$C$16,0),0)*Premissas!$C$15,0),0)</f>
        <v/>
      </c>
      <c r="L99">
        <f>ROUND(C99*Premissas!$C$24/12,0)</f>
        <v/>
      </c>
      <c r="M99">
        <f>ROUND(D99*Premissas!$C$25,0)</f>
        <v/>
      </c>
      <c r="N99">
        <f>ROUND(E99*Premissas!$C$29+B99*Premissas!$C$30,0)</f>
        <v/>
      </c>
      <c r="O99">
        <f>K99+L99+M99+N99</f>
        <v/>
      </c>
      <c r="P99">
        <f>K99+ROUND(AC99*Premissas!$C$24,0)+M99+N99</f>
        <v/>
      </c>
      <c r="Q99">
        <f>ROUND(IF(A99-1-Premissas!$C$21&gt;=0,OFFSET($P$4,A99-1-Premissas!$C$21,0),0)*(1-Premissas!$C$20/100),0)</f>
        <v/>
      </c>
      <c r="R99">
        <f>ROUND(F99*Premissas!$C$11+N99*Premissas!$C$31/100,0)+ROUND((E99+B99)*Premissas!$C$10,0)+ROUND(Q99*Premissas!$C$8/100,0)+ROUND(Premissas!$C$35+(B99+C99)*Premissas!$C$36,0)</f>
        <v/>
      </c>
      <c r="S99">
        <f>O99-R99</f>
        <v/>
      </c>
      <c r="T99">
        <f>ROUND(O99*Premissas!$C$9/100,0)</f>
        <v/>
      </c>
      <c r="U99">
        <f>ROUND(AB99*Premissas!$C$33,0)</f>
        <v/>
      </c>
      <c r="V99">
        <f>Premissas!$C$37+ROUND(Premissas!$C$12*Premissas!$C$38+D99*Premissas!$C$27,0)</f>
        <v/>
      </c>
      <c r="W99">
        <f>Premissas!$C$39</f>
        <v/>
      </c>
      <c r="X99">
        <f>S99-T99-ROUND(Premissas!$C$12*Premissas!$C$38+D99*Premissas!$C$27,0)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Premissas!$C$32+(B99+C99)/Premissas!$C$34</f>
        <v/>
      </c>
      <c r="AC99">
        <f>D99+AC87*(1-Premissas!$C$26/12)^12</f>
        <v/>
      </c>
    </row>
    <row r="100">
      <c r="A100" t="n">
        <v>97</v>
      </c>
      <c r="B100">
        <f>B99*(1-Premissas!$C$18/12)+Premissas!$C$12</f>
        <v/>
      </c>
      <c r="C100">
        <f>IF($B$2=1,C99*(1-Premissas!$C$26/12)+D100,0)</f>
        <v/>
      </c>
      <c r="D100">
        <f>IF(AND($B$2=1,A100&gt;=Premissas!$C$23),Premissas!$C$22,0)</f>
        <v/>
      </c>
      <c r="E100">
        <f>B100*Premissas!$C$28</f>
        <v/>
      </c>
      <c r="F100">
        <f>B100*Premissas!$C$13/12*MIN(1,A100/Premissas!$C$17)</f>
        <v/>
      </c>
      <c r="G100">
        <f>F100*Premissas!$C$14</f>
        <v/>
      </c>
      <c r="H100">
        <f>IF(IF(A100-1-Premissas!$C$16&gt;=0,OFFSET($J$4,A100-1-Premissas!$C$16,0),0)&gt;0,ROUND(IF(A100-1-Premissas!$C$16&gt;=0,OFFSET($J$4,A100-1-Premissas!$C$16,0),0)*10000/Premissas!$C$5*Premissas!$C$15,0),0)</f>
        <v/>
      </c>
      <c r="I100">
        <f>ROUND(G100*Premissas!$C$6/10000,0)</f>
        <v/>
      </c>
      <c r="J100">
        <f>ROUND(G100*Premissas!$C$5/10000,0)</f>
        <v/>
      </c>
      <c r="K100">
        <f>IF(IF(A100-1-Premissas!$C$16&gt;=0,OFFSET($A$4,A100-1-Premissas!$C$16,0)&gt;=Premissas!$C$19,FALSE),ROUND(IF(A100-1-Premissas!$C$16&gt;=0,OFFSET($J$4,A100-1-Premissas!$C$16,0),0)*Premissas!$C$15,0),0)</f>
        <v/>
      </c>
      <c r="L100">
        <f>ROUND(C100*Premissas!$C$24/12,0)</f>
        <v/>
      </c>
      <c r="M100">
        <f>ROUND(D100*Premissas!$C$25,0)</f>
        <v/>
      </c>
      <c r="N100">
        <f>ROUND(E100*Premissas!$C$29+B100*Premissas!$C$30,0)</f>
        <v/>
      </c>
      <c r="O100">
        <f>K100+L100+M100+N100</f>
        <v/>
      </c>
      <c r="P100">
        <f>K100+ROUND(AC100*Premissas!$C$24,0)+M100+N100</f>
        <v/>
      </c>
      <c r="Q100">
        <f>ROUND(IF(A100-1-Premissas!$C$21&gt;=0,OFFSET($P$4,A100-1-Premissas!$C$21,0),0)*(1-Premissas!$C$20/100),0)</f>
        <v/>
      </c>
      <c r="R100">
        <f>ROUND(F100*Premissas!$C$11+N100*Premissas!$C$31/100,0)+ROUND((E100+B100)*Premissas!$C$10,0)+ROUND(Q100*Premissas!$C$8/100,0)+ROUND(Premissas!$C$35+(B100+C100)*Premissas!$C$36,0)</f>
        <v/>
      </c>
      <c r="S100">
        <f>O100-R100</f>
        <v/>
      </c>
      <c r="T100">
        <f>ROUND(O100*Premissas!$C$9/100,0)</f>
        <v/>
      </c>
      <c r="U100">
        <f>ROUND(AB100*Premissas!$C$33,0)</f>
        <v/>
      </c>
      <c r="V100">
        <f>Premissas!$C$37+ROUND(Premissas!$C$12*Premissas!$C$38+D100*Premissas!$C$27,0)</f>
        <v/>
      </c>
      <c r="W100">
        <f>Premissas!$C$39</f>
        <v/>
      </c>
      <c r="X100">
        <f>S100-T100-ROUND(Premissas!$C$12*Premissas!$C$38+D100*Premissas!$C$27,0)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Premissas!$C$32+(B100+C100)/Premissas!$C$34</f>
        <v/>
      </c>
      <c r="AC100">
        <f>D100+AC88*(1-Premissas!$C$26/12)^12</f>
        <v/>
      </c>
    </row>
    <row r="101">
      <c r="A101" t="n">
        <v>98</v>
      </c>
      <c r="B101">
        <f>B100*(1-Premissas!$C$18/12)+Premissas!$C$12</f>
        <v/>
      </c>
      <c r="C101">
        <f>IF($B$2=1,C100*(1-Premissas!$C$26/12)+D101,0)</f>
        <v/>
      </c>
      <c r="D101">
        <f>IF(AND($B$2=1,A101&gt;=Premissas!$C$23),Premissas!$C$22,0)</f>
        <v/>
      </c>
      <c r="E101">
        <f>B101*Premissas!$C$28</f>
        <v/>
      </c>
      <c r="F101">
        <f>B101*Premissas!$C$13/12*MIN(1,A101/Premissas!$C$17)</f>
        <v/>
      </c>
      <c r="G101">
        <f>F101*Premissas!$C$14</f>
        <v/>
      </c>
      <c r="H101">
        <f>IF(IF(A101-1-Premissas!$C$16&gt;=0,OFFSET($J$4,A101-1-Premissas!$C$16,0),0)&gt;0,ROUND(IF(A101-1-Premissas!$C$16&gt;=0,OFFSET($J$4,A101-1-Premissas!$C$16,0),0)*10000/Premissas!$C$5*Premissas!$C$15,0),0)</f>
        <v/>
      </c>
      <c r="I101">
        <f>ROUND(G101*Premissas!$C$6/10000,0)</f>
        <v/>
      </c>
      <c r="J101">
        <f>ROUND(G101*Premissas!$C$5/10000,0)</f>
        <v/>
      </c>
      <c r="K101">
        <f>IF(IF(A101-1-Premissas!$C$16&gt;=0,OFFSET($A$4,A101-1-Premissas!$C$16,0)&gt;=Premissas!$C$19,FALSE),ROUND(IF(A101-1-Premissas!$C$16&gt;=0,OFFSET($J$4,A101-1-Premissas!$C$16,0),0)*Premissas!$C$15,0),0)</f>
        <v/>
      </c>
      <c r="L101">
        <f>ROUND(C101*Premissas!$C$24/12,0)</f>
        <v/>
      </c>
      <c r="M101">
        <f>ROUND(D101*Premissas!$C$25,0)</f>
        <v/>
      </c>
      <c r="N101">
        <f>ROUND(E101*Premissas!$C$29+B101*Premissas!$C$30,0)</f>
        <v/>
      </c>
      <c r="O101">
        <f>K101+L101+M101+N101</f>
        <v/>
      </c>
      <c r="P101">
        <f>K101+ROUND(AC101*Premissas!$C$24,0)+M101+N101</f>
        <v/>
      </c>
      <c r="Q101">
        <f>ROUND(IF(A101-1-Premissas!$C$21&gt;=0,OFFSET($P$4,A101-1-Premissas!$C$21,0),0)*(1-Premissas!$C$20/100),0)</f>
        <v/>
      </c>
      <c r="R101">
        <f>ROUND(F101*Premissas!$C$11+N101*Premissas!$C$31/100,0)+ROUND((E101+B101)*Premissas!$C$10,0)+ROUND(Q101*Premissas!$C$8/100,0)+ROUND(Premissas!$C$35+(B101+C101)*Premissas!$C$36,0)</f>
        <v/>
      </c>
      <c r="S101">
        <f>O101-R101</f>
        <v/>
      </c>
      <c r="T101">
        <f>ROUND(O101*Premissas!$C$9/100,0)</f>
        <v/>
      </c>
      <c r="U101">
        <f>ROUND(AB101*Premissas!$C$33,0)</f>
        <v/>
      </c>
      <c r="V101">
        <f>Premissas!$C$37+ROUND(Premissas!$C$12*Premissas!$C$38+D101*Premissas!$C$27,0)</f>
        <v/>
      </c>
      <c r="W101">
        <f>Premissas!$C$39</f>
        <v/>
      </c>
      <c r="X101">
        <f>S101-T101-ROUND(Premissas!$C$12*Premissas!$C$38+D101*Premissas!$C$27,0)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Premissas!$C$32+(B101+C101)/Premissas!$C$34</f>
        <v/>
      </c>
      <c r="AC101">
        <f>D101+AC89*(1-Premissas!$C$26/12)^12</f>
        <v/>
      </c>
    </row>
    <row r="102">
      <c r="A102" t="n">
        <v>99</v>
      </c>
      <c r="B102">
        <f>B101*(1-Premissas!$C$18/12)+Premissas!$C$12</f>
        <v/>
      </c>
      <c r="C102">
        <f>IF($B$2=1,C101*(1-Premissas!$C$26/12)+D102,0)</f>
        <v/>
      </c>
      <c r="D102">
        <f>IF(AND($B$2=1,A102&gt;=Premissas!$C$23),Premissas!$C$22,0)</f>
        <v/>
      </c>
      <c r="E102">
        <f>B102*Premissas!$C$28</f>
        <v/>
      </c>
      <c r="F102">
        <f>B102*Premissas!$C$13/12*MIN(1,A102/Premissas!$C$17)</f>
        <v/>
      </c>
      <c r="G102">
        <f>F102*Premissas!$C$14</f>
        <v/>
      </c>
      <c r="H102">
        <f>IF(IF(A102-1-Premissas!$C$16&gt;=0,OFFSET($J$4,A102-1-Premissas!$C$16,0),0)&gt;0,ROUND(IF(A102-1-Premissas!$C$16&gt;=0,OFFSET($J$4,A102-1-Premissas!$C$16,0),0)*10000/Premissas!$C$5*Premissas!$C$15,0),0)</f>
        <v/>
      </c>
      <c r="I102">
        <f>ROUND(G102*Premissas!$C$6/10000,0)</f>
        <v/>
      </c>
      <c r="J102">
        <f>ROUND(G102*Premissas!$C$5/10000,0)</f>
        <v/>
      </c>
      <c r="K102">
        <f>IF(IF(A102-1-Premissas!$C$16&gt;=0,OFFSET($A$4,A102-1-Premissas!$C$16,0)&gt;=Premissas!$C$19,FALSE),ROUND(IF(A102-1-Premissas!$C$16&gt;=0,OFFSET($J$4,A102-1-Premissas!$C$16,0),0)*Premissas!$C$15,0),0)</f>
        <v/>
      </c>
      <c r="L102">
        <f>ROUND(C102*Premissas!$C$24/12,0)</f>
        <v/>
      </c>
      <c r="M102">
        <f>ROUND(D102*Premissas!$C$25,0)</f>
        <v/>
      </c>
      <c r="N102">
        <f>ROUND(E102*Premissas!$C$29+B102*Premissas!$C$30,0)</f>
        <v/>
      </c>
      <c r="O102">
        <f>K102+L102+M102+N102</f>
        <v/>
      </c>
      <c r="P102">
        <f>K102+ROUND(AC102*Premissas!$C$24,0)+M102+N102</f>
        <v/>
      </c>
      <c r="Q102">
        <f>ROUND(IF(A102-1-Premissas!$C$21&gt;=0,OFFSET($P$4,A102-1-Premissas!$C$21,0),0)*(1-Premissas!$C$20/100),0)</f>
        <v/>
      </c>
      <c r="R102">
        <f>ROUND(F102*Premissas!$C$11+N102*Premissas!$C$31/100,0)+ROUND((E102+B102)*Premissas!$C$10,0)+ROUND(Q102*Premissas!$C$8/100,0)+ROUND(Premissas!$C$35+(B102+C102)*Premissas!$C$36,0)</f>
        <v/>
      </c>
      <c r="S102">
        <f>O102-R102</f>
        <v/>
      </c>
      <c r="T102">
        <f>ROUND(O102*Premissas!$C$9/100,0)</f>
        <v/>
      </c>
      <c r="U102">
        <f>ROUND(AB102*Premissas!$C$33,0)</f>
        <v/>
      </c>
      <c r="V102">
        <f>Premissas!$C$37+ROUND(Premissas!$C$12*Premissas!$C$38+D102*Premissas!$C$27,0)</f>
        <v/>
      </c>
      <c r="W102">
        <f>Premissas!$C$39</f>
        <v/>
      </c>
      <c r="X102">
        <f>S102-T102-ROUND(Premissas!$C$12*Premissas!$C$38+D102*Premissas!$C$27,0)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Premissas!$C$32+(B102+C102)/Premissas!$C$34</f>
        <v/>
      </c>
      <c r="AC102">
        <f>D102+AC90*(1-Premissas!$C$26/12)^12</f>
        <v/>
      </c>
    </row>
    <row r="103">
      <c r="A103" t="n">
        <v>100</v>
      </c>
      <c r="B103">
        <f>B102*(1-Premissas!$C$18/12)+Premissas!$C$12</f>
        <v/>
      </c>
      <c r="C103">
        <f>IF($B$2=1,C102*(1-Premissas!$C$26/12)+D103,0)</f>
        <v/>
      </c>
      <c r="D103">
        <f>IF(AND($B$2=1,A103&gt;=Premissas!$C$23),Premissas!$C$22,0)</f>
        <v/>
      </c>
      <c r="E103">
        <f>B103*Premissas!$C$28</f>
        <v/>
      </c>
      <c r="F103">
        <f>B103*Premissas!$C$13/12*MIN(1,A103/Premissas!$C$17)</f>
        <v/>
      </c>
      <c r="G103">
        <f>F103*Premissas!$C$14</f>
        <v/>
      </c>
      <c r="H103">
        <f>IF(IF(A103-1-Premissas!$C$16&gt;=0,OFFSET($J$4,A103-1-Premissas!$C$16,0),0)&gt;0,ROUND(IF(A103-1-Premissas!$C$16&gt;=0,OFFSET($J$4,A103-1-Premissas!$C$16,0),0)*10000/Premissas!$C$5*Premissas!$C$15,0),0)</f>
        <v/>
      </c>
      <c r="I103">
        <f>ROUND(G103*Premissas!$C$6/10000,0)</f>
        <v/>
      </c>
      <c r="J103">
        <f>ROUND(G103*Premissas!$C$5/10000,0)</f>
        <v/>
      </c>
      <c r="K103">
        <f>IF(IF(A103-1-Premissas!$C$16&gt;=0,OFFSET($A$4,A103-1-Premissas!$C$16,0)&gt;=Premissas!$C$19,FALSE),ROUND(IF(A103-1-Premissas!$C$16&gt;=0,OFFSET($J$4,A103-1-Premissas!$C$16,0),0)*Premissas!$C$15,0),0)</f>
        <v/>
      </c>
      <c r="L103">
        <f>ROUND(C103*Premissas!$C$24/12,0)</f>
        <v/>
      </c>
      <c r="M103">
        <f>ROUND(D103*Premissas!$C$25,0)</f>
        <v/>
      </c>
      <c r="N103">
        <f>ROUND(E103*Premissas!$C$29+B103*Premissas!$C$30,0)</f>
        <v/>
      </c>
      <c r="O103">
        <f>K103+L103+M103+N103</f>
        <v/>
      </c>
      <c r="P103">
        <f>K103+ROUND(AC103*Premissas!$C$24,0)+M103+N103</f>
        <v/>
      </c>
      <c r="Q103">
        <f>ROUND(IF(A103-1-Premissas!$C$21&gt;=0,OFFSET($P$4,A103-1-Premissas!$C$21,0),0)*(1-Premissas!$C$20/100),0)</f>
        <v/>
      </c>
      <c r="R103">
        <f>ROUND(F103*Premissas!$C$11+N103*Premissas!$C$31/100,0)+ROUND((E103+B103)*Premissas!$C$10,0)+ROUND(Q103*Premissas!$C$8/100,0)+ROUND(Premissas!$C$35+(B103+C103)*Premissas!$C$36,0)</f>
        <v/>
      </c>
      <c r="S103">
        <f>O103-R103</f>
        <v/>
      </c>
      <c r="T103">
        <f>ROUND(O103*Premissas!$C$9/100,0)</f>
        <v/>
      </c>
      <c r="U103">
        <f>ROUND(AB103*Premissas!$C$33,0)</f>
        <v/>
      </c>
      <c r="V103">
        <f>Premissas!$C$37+ROUND(Premissas!$C$12*Premissas!$C$38+D103*Premissas!$C$27,0)</f>
        <v/>
      </c>
      <c r="W103">
        <f>Premissas!$C$39</f>
        <v/>
      </c>
      <c r="X103">
        <f>S103-T103-ROUND(Premissas!$C$12*Premissas!$C$38+D103*Premissas!$C$27,0)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Premissas!$C$32+(B103+C103)/Premissas!$C$34</f>
        <v/>
      </c>
      <c r="AC103">
        <f>D103+AC91*(1-Premissas!$C$26/12)^12</f>
        <v/>
      </c>
    </row>
    <row r="104">
      <c r="A104" t="n">
        <v>101</v>
      </c>
      <c r="B104">
        <f>B103*(1-Premissas!$C$18/12)+Premissas!$C$12</f>
        <v/>
      </c>
      <c r="C104">
        <f>IF($B$2=1,C103*(1-Premissas!$C$26/12)+D104,0)</f>
        <v/>
      </c>
      <c r="D104">
        <f>IF(AND($B$2=1,A104&gt;=Premissas!$C$23),Premissas!$C$22,0)</f>
        <v/>
      </c>
      <c r="E104">
        <f>B104*Premissas!$C$28</f>
        <v/>
      </c>
      <c r="F104">
        <f>B104*Premissas!$C$13/12*MIN(1,A104/Premissas!$C$17)</f>
        <v/>
      </c>
      <c r="G104">
        <f>F104*Premissas!$C$14</f>
        <v/>
      </c>
      <c r="H104">
        <f>IF(IF(A104-1-Premissas!$C$16&gt;=0,OFFSET($J$4,A104-1-Premissas!$C$16,0),0)&gt;0,ROUND(IF(A104-1-Premissas!$C$16&gt;=0,OFFSET($J$4,A104-1-Premissas!$C$16,0),0)*10000/Premissas!$C$5*Premissas!$C$15,0),0)</f>
        <v/>
      </c>
      <c r="I104">
        <f>ROUND(G104*Premissas!$C$6/10000,0)</f>
        <v/>
      </c>
      <c r="J104">
        <f>ROUND(G104*Premissas!$C$5/10000,0)</f>
        <v/>
      </c>
      <c r="K104">
        <f>IF(IF(A104-1-Premissas!$C$16&gt;=0,OFFSET($A$4,A104-1-Premissas!$C$16,0)&gt;=Premissas!$C$19,FALSE),ROUND(IF(A104-1-Premissas!$C$16&gt;=0,OFFSET($J$4,A104-1-Premissas!$C$16,0),0)*Premissas!$C$15,0),0)</f>
        <v/>
      </c>
      <c r="L104">
        <f>ROUND(C104*Premissas!$C$24/12,0)</f>
        <v/>
      </c>
      <c r="M104">
        <f>ROUND(D104*Premissas!$C$25,0)</f>
        <v/>
      </c>
      <c r="N104">
        <f>ROUND(E104*Premissas!$C$29+B104*Premissas!$C$30,0)</f>
        <v/>
      </c>
      <c r="O104">
        <f>K104+L104+M104+N104</f>
        <v/>
      </c>
      <c r="P104">
        <f>K104+ROUND(AC104*Premissas!$C$24,0)+M104+N104</f>
        <v/>
      </c>
      <c r="Q104">
        <f>ROUND(IF(A104-1-Premissas!$C$21&gt;=0,OFFSET($P$4,A104-1-Premissas!$C$21,0),0)*(1-Premissas!$C$20/100),0)</f>
        <v/>
      </c>
      <c r="R104">
        <f>ROUND(F104*Premissas!$C$11+N104*Premissas!$C$31/100,0)+ROUND((E104+B104)*Premissas!$C$10,0)+ROUND(Q104*Premissas!$C$8/100,0)+ROUND(Premissas!$C$35+(B104+C104)*Premissas!$C$36,0)</f>
        <v/>
      </c>
      <c r="S104">
        <f>O104-R104</f>
        <v/>
      </c>
      <c r="T104">
        <f>ROUND(O104*Premissas!$C$9/100,0)</f>
        <v/>
      </c>
      <c r="U104">
        <f>ROUND(AB104*Premissas!$C$33,0)</f>
        <v/>
      </c>
      <c r="V104">
        <f>Premissas!$C$37+ROUND(Premissas!$C$12*Premissas!$C$38+D104*Premissas!$C$27,0)</f>
        <v/>
      </c>
      <c r="W104">
        <f>Premissas!$C$39</f>
        <v/>
      </c>
      <c r="X104">
        <f>S104-T104-ROUND(Premissas!$C$12*Premissas!$C$38+D104*Premissas!$C$27,0)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Premissas!$C$32+(B104+C104)/Premissas!$C$34</f>
        <v/>
      </c>
      <c r="AC104">
        <f>D104+AC92*(1-Premissas!$C$26/12)^12</f>
        <v/>
      </c>
    </row>
    <row r="105">
      <c r="A105" t="n">
        <v>102</v>
      </c>
      <c r="B105">
        <f>B104*(1-Premissas!$C$18/12)+Premissas!$C$12</f>
        <v/>
      </c>
      <c r="C105">
        <f>IF($B$2=1,C104*(1-Premissas!$C$26/12)+D105,0)</f>
        <v/>
      </c>
      <c r="D105">
        <f>IF(AND($B$2=1,A105&gt;=Premissas!$C$23),Premissas!$C$22,0)</f>
        <v/>
      </c>
      <c r="E105">
        <f>B105*Premissas!$C$28</f>
        <v/>
      </c>
      <c r="F105">
        <f>B105*Premissas!$C$13/12*MIN(1,A105/Premissas!$C$17)</f>
        <v/>
      </c>
      <c r="G105">
        <f>F105*Premissas!$C$14</f>
        <v/>
      </c>
      <c r="H105">
        <f>IF(IF(A105-1-Premissas!$C$16&gt;=0,OFFSET($J$4,A105-1-Premissas!$C$16,0),0)&gt;0,ROUND(IF(A105-1-Premissas!$C$16&gt;=0,OFFSET($J$4,A105-1-Premissas!$C$16,0),0)*10000/Premissas!$C$5*Premissas!$C$15,0),0)</f>
        <v/>
      </c>
      <c r="I105">
        <f>ROUND(G105*Premissas!$C$6/10000,0)</f>
        <v/>
      </c>
      <c r="J105">
        <f>ROUND(G105*Premissas!$C$5/10000,0)</f>
        <v/>
      </c>
      <c r="K105">
        <f>IF(IF(A105-1-Premissas!$C$16&gt;=0,OFFSET($A$4,A105-1-Premissas!$C$16,0)&gt;=Premissas!$C$19,FALSE),ROUND(IF(A105-1-Premissas!$C$16&gt;=0,OFFSET($J$4,A105-1-Premissas!$C$16,0),0)*Premissas!$C$15,0),0)</f>
        <v/>
      </c>
      <c r="L105">
        <f>ROUND(C105*Premissas!$C$24/12,0)</f>
        <v/>
      </c>
      <c r="M105">
        <f>ROUND(D105*Premissas!$C$25,0)</f>
        <v/>
      </c>
      <c r="N105">
        <f>ROUND(E105*Premissas!$C$29+B105*Premissas!$C$30,0)</f>
        <v/>
      </c>
      <c r="O105">
        <f>K105+L105+M105+N105</f>
        <v/>
      </c>
      <c r="P105">
        <f>K105+ROUND(AC105*Premissas!$C$24,0)+M105+N105</f>
        <v/>
      </c>
      <c r="Q105">
        <f>ROUND(IF(A105-1-Premissas!$C$21&gt;=0,OFFSET($P$4,A105-1-Premissas!$C$21,0),0)*(1-Premissas!$C$20/100),0)</f>
        <v/>
      </c>
      <c r="R105">
        <f>ROUND(F105*Premissas!$C$11+N105*Premissas!$C$31/100,0)+ROUND((E105+B105)*Premissas!$C$10,0)+ROUND(Q105*Premissas!$C$8/100,0)+ROUND(Premissas!$C$35+(B105+C105)*Premissas!$C$36,0)</f>
        <v/>
      </c>
      <c r="S105">
        <f>O105-R105</f>
        <v/>
      </c>
      <c r="T105">
        <f>ROUND(O105*Premissas!$C$9/100,0)</f>
        <v/>
      </c>
      <c r="U105">
        <f>ROUND(AB105*Premissas!$C$33,0)</f>
        <v/>
      </c>
      <c r="V105">
        <f>Premissas!$C$37+ROUND(Premissas!$C$12*Premissas!$C$38+D105*Premissas!$C$27,0)</f>
        <v/>
      </c>
      <c r="W105">
        <f>Premissas!$C$39</f>
        <v/>
      </c>
      <c r="X105">
        <f>S105-T105-ROUND(Premissas!$C$12*Premissas!$C$38+D105*Premissas!$C$27,0)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Premissas!$C$32+(B105+C105)/Premissas!$C$34</f>
        <v/>
      </c>
      <c r="AC105">
        <f>D105+AC93*(1-Premissas!$C$26/12)^12</f>
        <v/>
      </c>
    </row>
    <row r="106">
      <c r="A106" t="n">
        <v>103</v>
      </c>
      <c r="B106">
        <f>B105*(1-Premissas!$C$18/12)+Premissas!$C$12</f>
        <v/>
      </c>
      <c r="C106">
        <f>IF($B$2=1,C105*(1-Premissas!$C$26/12)+D106,0)</f>
        <v/>
      </c>
      <c r="D106">
        <f>IF(AND($B$2=1,A106&gt;=Premissas!$C$23),Premissas!$C$22,0)</f>
        <v/>
      </c>
      <c r="E106">
        <f>B106*Premissas!$C$28</f>
        <v/>
      </c>
      <c r="F106">
        <f>B106*Premissas!$C$13/12*MIN(1,A106/Premissas!$C$17)</f>
        <v/>
      </c>
      <c r="G106">
        <f>F106*Premissas!$C$14</f>
        <v/>
      </c>
      <c r="H106">
        <f>IF(IF(A106-1-Premissas!$C$16&gt;=0,OFFSET($J$4,A106-1-Premissas!$C$16,0),0)&gt;0,ROUND(IF(A106-1-Premissas!$C$16&gt;=0,OFFSET($J$4,A106-1-Premissas!$C$16,0),0)*10000/Premissas!$C$5*Premissas!$C$15,0),0)</f>
        <v/>
      </c>
      <c r="I106">
        <f>ROUND(G106*Premissas!$C$6/10000,0)</f>
        <v/>
      </c>
      <c r="J106">
        <f>ROUND(G106*Premissas!$C$5/10000,0)</f>
        <v/>
      </c>
      <c r="K106">
        <f>IF(IF(A106-1-Premissas!$C$16&gt;=0,OFFSET($A$4,A106-1-Premissas!$C$16,0)&gt;=Premissas!$C$19,FALSE),ROUND(IF(A106-1-Premissas!$C$16&gt;=0,OFFSET($J$4,A106-1-Premissas!$C$16,0),0)*Premissas!$C$15,0),0)</f>
        <v/>
      </c>
      <c r="L106">
        <f>ROUND(C106*Premissas!$C$24/12,0)</f>
        <v/>
      </c>
      <c r="M106">
        <f>ROUND(D106*Premissas!$C$25,0)</f>
        <v/>
      </c>
      <c r="N106">
        <f>ROUND(E106*Premissas!$C$29+B106*Premissas!$C$30,0)</f>
        <v/>
      </c>
      <c r="O106">
        <f>K106+L106+M106+N106</f>
        <v/>
      </c>
      <c r="P106">
        <f>K106+ROUND(AC106*Premissas!$C$24,0)+M106+N106</f>
        <v/>
      </c>
      <c r="Q106">
        <f>ROUND(IF(A106-1-Premissas!$C$21&gt;=0,OFFSET($P$4,A106-1-Premissas!$C$21,0),0)*(1-Premissas!$C$20/100),0)</f>
        <v/>
      </c>
      <c r="R106">
        <f>ROUND(F106*Premissas!$C$11+N106*Premissas!$C$31/100,0)+ROUND((E106+B106)*Premissas!$C$10,0)+ROUND(Q106*Premissas!$C$8/100,0)+ROUND(Premissas!$C$35+(B106+C106)*Premissas!$C$36,0)</f>
        <v/>
      </c>
      <c r="S106">
        <f>O106-R106</f>
        <v/>
      </c>
      <c r="T106">
        <f>ROUND(O106*Premissas!$C$9/100,0)</f>
        <v/>
      </c>
      <c r="U106">
        <f>ROUND(AB106*Premissas!$C$33,0)</f>
        <v/>
      </c>
      <c r="V106">
        <f>Premissas!$C$37+ROUND(Premissas!$C$12*Premissas!$C$38+D106*Premissas!$C$27,0)</f>
        <v/>
      </c>
      <c r="W106">
        <f>Premissas!$C$39</f>
        <v/>
      </c>
      <c r="X106">
        <f>S106-T106-ROUND(Premissas!$C$12*Premissas!$C$38+D106*Premissas!$C$27,0)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Premissas!$C$32+(B106+C106)/Premissas!$C$34</f>
        <v/>
      </c>
      <c r="AC106">
        <f>D106+AC94*(1-Premissas!$C$26/12)^12</f>
        <v/>
      </c>
    </row>
    <row r="107">
      <c r="A107" t="n">
        <v>104</v>
      </c>
      <c r="B107">
        <f>B106*(1-Premissas!$C$18/12)+Premissas!$C$12</f>
        <v/>
      </c>
      <c r="C107">
        <f>IF($B$2=1,C106*(1-Premissas!$C$26/12)+D107,0)</f>
        <v/>
      </c>
      <c r="D107">
        <f>IF(AND($B$2=1,A107&gt;=Premissas!$C$23),Premissas!$C$22,0)</f>
        <v/>
      </c>
      <c r="E107">
        <f>B107*Premissas!$C$28</f>
        <v/>
      </c>
      <c r="F107">
        <f>B107*Premissas!$C$13/12*MIN(1,A107/Premissas!$C$17)</f>
        <v/>
      </c>
      <c r="G107">
        <f>F107*Premissas!$C$14</f>
        <v/>
      </c>
      <c r="H107">
        <f>IF(IF(A107-1-Premissas!$C$16&gt;=0,OFFSET($J$4,A107-1-Premissas!$C$16,0),0)&gt;0,ROUND(IF(A107-1-Premissas!$C$16&gt;=0,OFFSET($J$4,A107-1-Premissas!$C$16,0),0)*10000/Premissas!$C$5*Premissas!$C$15,0),0)</f>
        <v/>
      </c>
      <c r="I107">
        <f>ROUND(G107*Premissas!$C$6/10000,0)</f>
        <v/>
      </c>
      <c r="J107">
        <f>ROUND(G107*Premissas!$C$5/10000,0)</f>
        <v/>
      </c>
      <c r="K107">
        <f>IF(IF(A107-1-Premissas!$C$16&gt;=0,OFFSET($A$4,A107-1-Premissas!$C$16,0)&gt;=Premissas!$C$19,FALSE),ROUND(IF(A107-1-Premissas!$C$16&gt;=0,OFFSET($J$4,A107-1-Premissas!$C$16,0),0)*Premissas!$C$15,0),0)</f>
        <v/>
      </c>
      <c r="L107">
        <f>ROUND(C107*Premissas!$C$24/12,0)</f>
        <v/>
      </c>
      <c r="M107">
        <f>ROUND(D107*Premissas!$C$25,0)</f>
        <v/>
      </c>
      <c r="N107">
        <f>ROUND(E107*Premissas!$C$29+B107*Premissas!$C$30,0)</f>
        <v/>
      </c>
      <c r="O107">
        <f>K107+L107+M107+N107</f>
        <v/>
      </c>
      <c r="P107">
        <f>K107+ROUND(AC107*Premissas!$C$24,0)+M107+N107</f>
        <v/>
      </c>
      <c r="Q107">
        <f>ROUND(IF(A107-1-Premissas!$C$21&gt;=0,OFFSET($P$4,A107-1-Premissas!$C$21,0),0)*(1-Premissas!$C$20/100),0)</f>
        <v/>
      </c>
      <c r="R107">
        <f>ROUND(F107*Premissas!$C$11+N107*Premissas!$C$31/100,0)+ROUND((E107+B107)*Premissas!$C$10,0)+ROUND(Q107*Premissas!$C$8/100,0)+ROUND(Premissas!$C$35+(B107+C107)*Premissas!$C$36,0)</f>
        <v/>
      </c>
      <c r="S107">
        <f>O107-R107</f>
        <v/>
      </c>
      <c r="T107">
        <f>ROUND(O107*Premissas!$C$9/100,0)</f>
        <v/>
      </c>
      <c r="U107">
        <f>ROUND(AB107*Premissas!$C$33,0)</f>
        <v/>
      </c>
      <c r="V107">
        <f>Premissas!$C$37+ROUND(Premissas!$C$12*Premissas!$C$38+D107*Premissas!$C$27,0)</f>
        <v/>
      </c>
      <c r="W107">
        <f>Premissas!$C$39</f>
        <v/>
      </c>
      <c r="X107">
        <f>S107-T107-ROUND(Premissas!$C$12*Premissas!$C$38+D107*Premissas!$C$27,0)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Premissas!$C$32+(B107+C107)/Premissas!$C$34</f>
        <v/>
      </c>
      <c r="AC107">
        <f>D107+AC95*(1-Premissas!$C$26/12)^12</f>
        <v/>
      </c>
    </row>
    <row r="108">
      <c r="A108" t="n">
        <v>105</v>
      </c>
      <c r="B108">
        <f>B107*(1-Premissas!$C$18/12)+Premissas!$C$12</f>
        <v/>
      </c>
      <c r="C108">
        <f>IF($B$2=1,C107*(1-Premissas!$C$26/12)+D108,0)</f>
        <v/>
      </c>
      <c r="D108">
        <f>IF(AND($B$2=1,A108&gt;=Premissas!$C$23),Premissas!$C$22,0)</f>
        <v/>
      </c>
      <c r="E108">
        <f>B108*Premissas!$C$28</f>
        <v/>
      </c>
      <c r="F108">
        <f>B108*Premissas!$C$13/12*MIN(1,A108/Premissas!$C$17)</f>
        <v/>
      </c>
      <c r="G108">
        <f>F108*Premissas!$C$14</f>
        <v/>
      </c>
      <c r="H108">
        <f>IF(IF(A108-1-Premissas!$C$16&gt;=0,OFFSET($J$4,A108-1-Premissas!$C$16,0),0)&gt;0,ROUND(IF(A108-1-Premissas!$C$16&gt;=0,OFFSET($J$4,A108-1-Premissas!$C$16,0),0)*10000/Premissas!$C$5*Premissas!$C$15,0),0)</f>
        <v/>
      </c>
      <c r="I108">
        <f>ROUND(G108*Premissas!$C$6/10000,0)</f>
        <v/>
      </c>
      <c r="J108">
        <f>ROUND(G108*Premissas!$C$5/10000,0)</f>
        <v/>
      </c>
      <c r="K108">
        <f>IF(IF(A108-1-Premissas!$C$16&gt;=0,OFFSET($A$4,A108-1-Premissas!$C$16,0)&gt;=Premissas!$C$19,FALSE),ROUND(IF(A108-1-Premissas!$C$16&gt;=0,OFFSET($J$4,A108-1-Premissas!$C$16,0),0)*Premissas!$C$15,0),0)</f>
        <v/>
      </c>
      <c r="L108">
        <f>ROUND(C108*Premissas!$C$24/12,0)</f>
        <v/>
      </c>
      <c r="M108">
        <f>ROUND(D108*Premissas!$C$25,0)</f>
        <v/>
      </c>
      <c r="N108">
        <f>ROUND(E108*Premissas!$C$29+B108*Premissas!$C$30,0)</f>
        <v/>
      </c>
      <c r="O108">
        <f>K108+L108+M108+N108</f>
        <v/>
      </c>
      <c r="P108">
        <f>K108+ROUND(AC108*Premissas!$C$24,0)+M108+N108</f>
        <v/>
      </c>
      <c r="Q108">
        <f>ROUND(IF(A108-1-Premissas!$C$21&gt;=0,OFFSET($P$4,A108-1-Premissas!$C$21,0),0)*(1-Premissas!$C$20/100),0)</f>
        <v/>
      </c>
      <c r="R108">
        <f>ROUND(F108*Premissas!$C$11+N108*Premissas!$C$31/100,0)+ROUND((E108+B108)*Premissas!$C$10,0)+ROUND(Q108*Premissas!$C$8/100,0)+ROUND(Premissas!$C$35+(B108+C108)*Premissas!$C$36,0)</f>
        <v/>
      </c>
      <c r="S108">
        <f>O108-R108</f>
        <v/>
      </c>
      <c r="T108">
        <f>ROUND(O108*Premissas!$C$9/100,0)</f>
        <v/>
      </c>
      <c r="U108">
        <f>ROUND(AB108*Premissas!$C$33,0)</f>
        <v/>
      </c>
      <c r="V108">
        <f>Premissas!$C$37+ROUND(Premissas!$C$12*Premissas!$C$38+D108*Premissas!$C$27,0)</f>
        <v/>
      </c>
      <c r="W108">
        <f>Premissas!$C$39</f>
        <v/>
      </c>
      <c r="X108">
        <f>S108-T108-ROUND(Premissas!$C$12*Premissas!$C$38+D108*Premissas!$C$27,0)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Premissas!$C$32+(B108+C108)/Premissas!$C$34</f>
        <v/>
      </c>
      <c r="AC108">
        <f>D108+AC96*(1-Premissas!$C$26/12)^12</f>
        <v/>
      </c>
    </row>
    <row r="109">
      <c r="A109" t="n">
        <v>106</v>
      </c>
      <c r="B109">
        <f>B108*(1-Premissas!$C$18/12)+Premissas!$C$12</f>
        <v/>
      </c>
      <c r="C109">
        <f>IF($B$2=1,C108*(1-Premissas!$C$26/12)+D109,0)</f>
        <v/>
      </c>
      <c r="D109">
        <f>IF(AND($B$2=1,A109&gt;=Premissas!$C$23),Premissas!$C$22,0)</f>
        <v/>
      </c>
      <c r="E109">
        <f>B109*Premissas!$C$28</f>
        <v/>
      </c>
      <c r="F109">
        <f>B109*Premissas!$C$13/12*MIN(1,A109/Premissas!$C$17)</f>
        <v/>
      </c>
      <c r="G109">
        <f>F109*Premissas!$C$14</f>
        <v/>
      </c>
      <c r="H109">
        <f>IF(IF(A109-1-Premissas!$C$16&gt;=0,OFFSET($J$4,A109-1-Premissas!$C$16,0),0)&gt;0,ROUND(IF(A109-1-Premissas!$C$16&gt;=0,OFFSET($J$4,A109-1-Premissas!$C$16,0),0)*10000/Premissas!$C$5*Premissas!$C$15,0),0)</f>
        <v/>
      </c>
      <c r="I109">
        <f>ROUND(G109*Premissas!$C$6/10000,0)</f>
        <v/>
      </c>
      <c r="J109">
        <f>ROUND(G109*Premissas!$C$5/10000,0)</f>
        <v/>
      </c>
      <c r="K109">
        <f>IF(IF(A109-1-Premissas!$C$16&gt;=0,OFFSET($A$4,A109-1-Premissas!$C$16,0)&gt;=Premissas!$C$19,FALSE),ROUND(IF(A109-1-Premissas!$C$16&gt;=0,OFFSET($J$4,A109-1-Premissas!$C$16,0),0)*Premissas!$C$15,0),0)</f>
        <v/>
      </c>
      <c r="L109">
        <f>ROUND(C109*Premissas!$C$24/12,0)</f>
        <v/>
      </c>
      <c r="M109">
        <f>ROUND(D109*Premissas!$C$25,0)</f>
        <v/>
      </c>
      <c r="N109">
        <f>ROUND(E109*Premissas!$C$29+B109*Premissas!$C$30,0)</f>
        <v/>
      </c>
      <c r="O109">
        <f>K109+L109+M109+N109</f>
        <v/>
      </c>
      <c r="P109">
        <f>K109+ROUND(AC109*Premissas!$C$24,0)+M109+N109</f>
        <v/>
      </c>
      <c r="Q109">
        <f>ROUND(IF(A109-1-Premissas!$C$21&gt;=0,OFFSET($P$4,A109-1-Premissas!$C$21,0),0)*(1-Premissas!$C$20/100),0)</f>
        <v/>
      </c>
      <c r="R109">
        <f>ROUND(F109*Premissas!$C$11+N109*Premissas!$C$31/100,0)+ROUND((E109+B109)*Premissas!$C$10,0)+ROUND(Q109*Premissas!$C$8/100,0)+ROUND(Premissas!$C$35+(B109+C109)*Premissas!$C$36,0)</f>
        <v/>
      </c>
      <c r="S109">
        <f>O109-R109</f>
        <v/>
      </c>
      <c r="T109">
        <f>ROUND(O109*Premissas!$C$9/100,0)</f>
        <v/>
      </c>
      <c r="U109">
        <f>ROUND(AB109*Premissas!$C$33,0)</f>
        <v/>
      </c>
      <c r="V109">
        <f>Premissas!$C$37+ROUND(Premissas!$C$12*Premissas!$C$38+D109*Premissas!$C$27,0)</f>
        <v/>
      </c>
      <c r="W109">
        <f>Premissas!$C$39</f>
        <v/>
      </c>
      <c r="X109">
        <f>S109-T109-ROUND(Premissas!$C$12*Premissas!$C$38+D109*Premissas!$C$27,0)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Premissas!$C$32+(B109+C109)/Premissas!$C$34</f>
        <v/>
      </c>
      <c r="AC109">
        <f>D109+AC97*(1-Premissas!$C$26/12)^12</f>
        <v/>
      </c>
    </row>
    <row r="110">
      <c r="A110" t="n">
        <v>107</v>
      </c>
      <c r="B110">
        <f>B109*(1-Premissas!$C$18/12)+Premissas!$C$12</f>
        <v/>
      </c>
      <c r="C110">
        <f>IF($B$2=1,C109*(1-Premissas!$C$26/12)+D110,0)</f>
        <v/>
      </c>
      <c r="D110">
        <f>IF(AND($B$2=1,A110&gt;=Premissas!$C$23),Premissas!$C$22,0)</f>
        <v/>
      </c>
      <c r="E110">
        <f>B110*Premissas!$C$28</f>
        <v/>
      </c>
      <c r="F110">
        <f>B110*Premissas!$C$13/12*MIN(1,A110/Premissas!$C$17)</f>
        <v/>
      </c>
      <c r="G110">
        <f>F110*Premissas!$C$14</f>
        <v/>
      </c>
      <c r="H110">
        <f>IF(IF(A110-1-Premissas!$C$16&gt;=0,OFFSET($J$4,A110-1-Premissas!$C$16,0),0)&gt;0,ROUND(IF(A110-1-Premissas!$C$16&gt;=0,OFFSET($J$4,A110-1-Premissas!$C$16,0),0)*10000/Premissas!$C$5*Premissas!$C$15,0),0)</f>
        <v/>
      </c>
      <c r="I110">
        <f>ROUND(G110*Premissas!$C$6/10000,0)</f>
        <v/>
      </c>
      <c r="J110">
        <f>ROUND(G110*Premissas!$C$5/10000,0)</f>
        <v/>
      </c>
      <c r="K110">
        <f>IF(IF(A110-1-Premissas!$C$16&gt;=0,OFFSET($A$4,A110-1-Premissas!$C$16,0)&gt;=Premissas!$C$19,FALSE),ROUND(IF(A110-1-Premissas!$C$16&gt;=0,OFFSET($J$4,A110-1-Premissas!$C$16,0),0)*Premissas!$C$15,0),0)</f>
        <v/>
      </c>
      <c r="L110">
        <f>ROUND(C110*Premissas!$C$24/12,0)</f>
        <v/>
      </c>
      <c r="M110">
        <f>ROUND(D110*Premissas!$C$25,0)</f>
        <v/>
      </c>
      <c r="N110">
        <f>ROUND(E110*Premissas!$C$29+B110*Premissas!$C$30,0)</f>
        <v/>
      </c>
      <c r="O110">
        <f>K110+L110+M110+N110</f>
        <v/>
      </c>
      <c r="P110">
        <f>K110+ROUND(AC110*Premissas!$C$24,0)+M110+N110</f>
        <v/>
      </c>
      <c r="Q110">
        <f>ROUND(IF(A110-1-Premissas!$C$21&gt;=0,OFFSET($P$4,A110-1-Premissas!$C$21,0),0)*(1-Premissas!$C$20/100),0)</f>
        <v/>
      </c>
      <c r="R110">
        <f>ROUND(F110*Premissas!$C$11+N110*Premissas!$C$31/100,0)+ROUND((E110+B110)*Premissas!$C$10,0)+ROUND(Q110*Premissas!$C$8/100,0)+ROUND(Premissas!$C$35+(B110+C110)*Premissas!$C$36,0)</f>
        <v/>
      </c>
      <c r="S110">
        <f>O110-R110</f>
        <v/>
      </c>
      <c r="T110">
        <f>ROUND(O110*Premissas!$C$9/100,0)</f>
        <v/>
      </c>
      <c r="U110">
        <f>ROUND(AB110*Premissas!$C$33,0)</f>
        <v/>
      </c>
      <c r="V110">
        <f>Premissas!$C$37+ROUND(Premissas!$C$12*Premissas!$C$38+D110*Premissas!$C$27,0)</f>
        <v/>
      </c>
      <c r="W110">
        <f>Premissas!$C$39</f>
        <v/>
      </c>
      <c r="X110">
        <f>S110-T110-ROUND(Premissas!$C$12*Premissas!$C$38+D110*Premissas!$C$27,0)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Premissas!$C$32+(B110+C110)/Premissas!$C$34</f>
        <v/>
      </c>
      <c r="AC110">
        <f>D110+AC98*(1-Premissas!$C$26/12)^12</f>
        <v/>
      </c>
    </row>
    <row r="111">
      <c r="A111" t="n">
        <v>108</v>
      </c>
      <c r="B111">
        <f>B110*(1-Premissas!$C$18/12)+Premissas!$C$12</f>
        <v/>
      </c>
      <c r="C111">
        <f>IF($B$2=1,C110*(1-Premissas!$C$26/12)+D111,0)</f>
        <v/>
      </c>
      <c r="D111">
        <f>IF(AND($B$2=1,A111&gt;=Premissas!$C$23),Premissas!$C$22,0)</f>
        <v/>
      </c>
      <c r="E111">
        <f>B111*Premissas!$C$28</f>
        <v/>
      </c>
      <c r="F111">
        <f>B111*Premissas!$C$13/12*MIN(1,A111/Premissas!$C$17)</f>
        <v/>
      </c>
      <c r="G111">
        <f>F111*Premissas!$C$14</f>
        <v/>
      </c>
      <c r="H111">
        <f>IF(IF(A111-1-Premissas!$C$16&gt;=0,OFFSET($J$4,A111-1-Premissas!$C$16,0),0)&gt;0,ROUND(IF(A111-1-Premissas!$C$16&gt;=0,OFFSET($J$4,A111-1-Premissas!$C$16,0),0)*10000/Premissas!$C$5*Premissas!$C$15,0),0)</f>
        <v/>
      </c>
      <c r="I111">
        <f>ROUND(G111*Premissas!$C$6/10000,0)</f>
        <v/>
      </c>
      <c r="J111">
        <f>ROUND(G111*Premissas!$C$5/10000,0)</f>
        <v/>
      </c>
      <c r="K111">
        <f>IF(IF(A111-1-Premissas!$C$16&gt;=0,OFFSET($A$4,A111-1-Premissas!$C$16,0)&gt;=Premissas!$C$19,FALSE),ROUND(IF(A111-1-Premissas!$C$16&gt;=0,OFFSET($J$4,A111-1-Premissas!$C$16,0),0)*Premissas!$C$15,0),0)</f>
        <v/>
      </c>
      <c r="L111">
        <f>ROUND(C111*Premissas!$C$24/12,0)</f>
        <v/>
      </c>
      <c r="M111">
        <f>ROUND(D111*Premissas!$C$25,0)</f>
        <v/>
      </c>
      <c r="N111">
        <f>ROUND(E111*Premissas!$C$29+B111*Premissas!$C$30,0)</f>
        <v/>
      </c>
      <c r="O111">
        <f>K111+L111+M111+N111</f>
        <v/>
      </c>
      <c r="P111">
        <f>K111+ROUND(AC111*Premissas!$C$24,0)+M111+N111</f>
        <v/>
      </c>
      <c r="Q111">
        <f>ROUND(IF(A111-1-Premissas!$C$21&gt;=0,OFFSET($P$4,A111-1-Premissas!$C$21,0),0)*(1-Premissas!$C$20/100),0)</f>
        <v/>
      </c>
      <c r="R111">
        <f>ROUND(F111*Premissas!$C$11+N111*Premissas!$C$31/100,0)+ROUND((E111+B111)*Premissas!$C$10,0)+ROUND(Q111*Premissas!$C$8/100,0)+ROUND(Premissas!$C$35+(B111+C111)*Premissas!$C$36,0)</f>
        <v/>
      </c>
      <c r="S111">
        <f>O111-R111</f>
        <v/>
      </c>
      <c r="T111">
        <f>ROUND(O111*Premissas!$C$9/100,0)</f>
        <v/>
      </c>
      <c r="U111">
        <f>ROUND(AB111*Premissas!$C$33,0)</f>
        <v/>
      </c>
      <c r="V111">
        <f>Premissas!$C$37+ROUND(Premissas!$C$12*Premissas!$C$38+D111*Premissas!$C$27,0)</f>
        <v/>
      </c>
      <c r="W111">
        <f>Premissas!$C$39</f>
        <v/>
      </c>
      <c r="X111">
        <f>S111-T111-ROUND(Premissas!$C$12*Premissas!$C$38+D111*Premissas!$C$27,0)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Premissas!$C$32+(B111+C111)/Premissas!$C$34</f>
        <v/>
      </c>
      <c r="AC111">
        <f>D111+AC99*(1-Premissas!$C$26/12)^12</f>
        <v/>
      </c>
    </row>
    <row r="112">
      <c r="A112" t="n">
        <v>109</v>
      </c>
      <c r="B112">
        <f>B111*(1-Premissas!$C$18/12)+Premissas!$C$12</f>
        <v/>
      </c>
      <c r="C112">
        <f>IF($B$2=1,C111*(1-Premissas!$C$26/12)+D112,0)</f>
        <v/>
      </c>
      <c r="D112">
        <f>IF(AND($B$2=1,A112&gt;=Premissas!$C$23),Premissas!$C$22,0)</f>
        <v/>
      </c>
      <c r="E112">
        <f>B112*Premissas!$C$28</f>
        <v/>
      </c>
      <c r="F112">
        <f>B112*Premissas!$C$13/12*MIN(1,A112/Premissas!$C$17)</f>
        <v/>
      </c>
      <c r="G112">
        <f>F112*Premissas!$C$14</f>
        <v/>
      </c>
      <c r="H112">
        <f>IF(IF(A112-1-Premissas!$C$16&gt;=0,OFFSET($J$4,A112-1-Premissas!$C$16,0),0)&gt;0,ROUND(IF(A112-1-Premissas!$C$16&gt;=0,OFFSET($J$4,A112-1-Premissas!$C$16,0),0)*10000/Premissas!$C$5*Premissas!$C$15,0),0)</f>
        <v/>
      </c>
      <c r="I112">
        <f>ROUND(G112*Premissas!$C$6/10000,0)</f>
        <v/>
      </c>
      <c r="J112">
        <f>ROUND(G112*Premissas!$C$5/10000,0)</f>
        <v/>
      </c>
      <c r="K112">
        <f>IF(IF(A112-1-Premissas!$C$16&gt;=0,OFFSET($A$4,A112-1-Premissas!$C$16,0)&gt;=Premissas!$C$19,FALSE),ROUND(IF(A112-1-Premissas!$C$16&gt;=0,OFFSET($J$4,A112-1-Premissas!$C$16,0),0)*Premissas!$C$15,0),0)</f>
        <v/>
      </c>
      <c r="L112">
        <f>ROUND(C112*Premissas!$C$24/12,0)</f>
        <v/>
      </c>
      <c r="M112">
        <f>ROUND(D112*Premissas!$C$25,0)</f>
        <v/>
      </c>
      <c r="N112">
        <f>ROUND(E112*Premissas!$C$29+B112*Premissas!$C$30,0)</f>
        <v/>
      </c>
      <c r="O112">
        <f>K112+L112+M112+N112</f>
        <v/>
      </c>
      <c r="P112">
        <f>K112+ROUND(AC112*Premissas!$C$24,0)+M112+N112</f>
        <v/>
      </c>
      <c r="Q112">
        <f>ROUND(IF(A112-1-Premissas!$C$21&gt;=0,OFFSET($P$4,A112-1-Premissas!$C$21,0),0)*(1-Premissas!$C$20/100),0)</f>
        <v/>
      </c>
      <c r="R112">
        <f>ROUND(F112*Premissas!$C$11+N112*Premissas!$C$31/100,0)+ROUND((E112+B112)*Premissas!$C$10,0)+ROUND(Q112*Premissas!$C$8/100,0)+ROUND(Premissas!$C$35+(B112+C112)*Premissas!$C$36,0)</f>
        <v/>
      </c>
      <c r="S112">
        <f>O112-R112</f>
        <v/>
      </c>
      <c r="T112">
        <f>ROUND(O112*Premissas!$C$9/100,0)</f>
        <v/>
      </c>
      <c r="U112">
        <f>ROUND(AB112*Premissas!$C$33,0)</f>
        <v/>
      </c>
      <c r="V112">
        <f>Premissas!$C$37+ROUND(Premissas!$C$12*Premissas!$C$38+D112*Premissas!$C$27,0)</f>
        <v/>
      </c>
      <c r="W112">
        <f>Premissas!$C$39</f>
        <v/>
      </c>
      <c r="X112">
        <f>S112-T112-ROUND(Premissas!$C$12*Premissas!$C$38+D112*Premissas!$C$27,0)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Premissas!$C$32+(B112+C112)/Premissas!$C$34</f>
        <v/>
      </c>
      <c r="AC112">
        <f>D112+AC100*(1-Premissas!$C$26/12)^12</f>
        <v/>
      </c>
    </row>
    <row r="113">
      <c r="A113" t="n">
        <v>110</v>
      </c>
      <c r="B113">
        <f>B112*(1-Premissas!$C$18/12)+Premissas!$C$12</f>
        <v/>
      </c>
      <c r="C113">
        <f>IF($B$2=1,C112*(1-Premissas!$C$26/12)+D113,0)</f>
        <v/>
      </c>
      <c r="D113">
        <f>IF(AND($B$2=1,A113&gt;=Premissas!$C$23),Premissas!$C$22,0)</f>
        <v/>
      </c>
      <c r="E113">
        <f>B113*Premissas!$C$28</f>
        <v/>
      </c>
      <c r="F113">
        <f>B113*Premissas!$C$13/12*MIN(1,A113/Premissas!$C$17)</f>
        <v/>
      </c>
      <c r="G113">
        <f>F113*Premissas!$C$14</f>
        <v/>
      </c>
      <c r="H113">
        <f>IF(IF(A113-1-Premissas!$C$16&gt;=0,OFFSET($J$4,A113-1-Premissas!$C$16,0),0)&gt;0,ROUND(IF(A113-1-Premissas!$C$16&gt;=0,OFFSET($J$4,A113-1-Premissas!$C$16,0),0)*10000/Premissas!$C$5*Premissas!$C$15,0),0)</f>
        <v/>
      </c>
      <c r="I113">
        <f>ROUND(G113*Premissas!$C$6/10000,0)</f>
        <v/>
      </c>
      <c r="J113">
        <f>ROUND(G113*Premissas!$C$5/10000,0)</f>
        <v/>
      </c>
      <c r="K113">
        <f>IF(IF(A113-1-Premissas!$C$16&gt;=0,OFFSET($A$4,A113-1-Premissas!$C$16,0)&gt;=Premissas!$C$19,FALSE),ROUND(IF(A113-1-Premissas!$C$16&gt;=0,OFFSET($J$4,A113-1-Premissas!$C$16,0),0)*Premissas!$C$15,0),0)</f>
        <v/>
      </c>
      <c r="L113">
        <f>ROUND(C113*Premissas!$C$24/12,0)</f>
        <v/>
      </c>
      <c r="M113">
        <f>ROUND(D113*Premissas!$C$25,0)</f>
        <v/>
      </c>
      <c r="N113">
        <f>ROUND(E113*Premissas!$C$29+B113*Premissas!$C$30,0)</f>
        <v/>
      </c>
      <c r="O113">
        <f>K113+L113+M113+N113</f>
        <v/>
      </c>
      <c r="P113">
        <f>K113+ROUND(AC113*Premissas!$C$24,0)+M113+N113</f>
        <v/>
      </c>
      <c r="Q113">
        <f>ROUND(IF(A113-1-Premissas!$C$21&gt;=0,OFFSET($P$4,A113-1-Premissas!$C$21,0),0)*(1-Premissas!$C$20/100),0)</f>
        <v/>
      </c>
      <c r="R113">
        <f>ROUND(F113*Premissas!$C$11+N113*Premissas!$C$31/100,0)+ROUND((E113+B113)*Premissas!$C$10,0)+ROUND(Q113*Premissas!$C$8/100,0)+ROUND(Premissas!$C$35+(B113+C113)*Premissas!$C$36,0)</f>
        <v/>
      </c>
      <c r="S113">
        <f>O113-R113</f>
        <v/>
      </c>
      <c r="T113">
        <f>ROUND(O113*Premissas!$C$9/100,0)</f>
        <v/>
      </c>
      <c r="U113">
        <f>ROUND(AB113*Premissas!$C$33,0)</f>
        <v/>
      </c>
      <c r="V113">
        <f>Premissas!$C$37+ROUND(Premissas!$C$12*Premissas!$C$38+D113*Premissas!$C$27,0)</f>
        <v/>
      </c>
      <c r="W113">
        <f>Premissas!$C$39</f>
        <v/>
      </c>
      <c r="X113">
        <f>S113-T113-ROUND(Premissas!$C$12*Premissas!$C$38+D113*Premissas!$C$27,0)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Premissas!$C$32+(B113+C113)/Premissas!$C$34</f>
        <v/>
      </c>
      <c r="AC113">
        <f>D113+AC101*(1-Premissas!$C$26/12)^12</f>
        <v/>
      </c>
    </row>
    <row r="114">
      <c r="A114" t="n">
        <v>111</v>
      </c>
      <c r="B114">
        <f>B113*(1-Premissas!$C$18/12)+Premissas!$C$12</f>
        <v/>
      </c>
      <c r="C114">
        <f>IF($B$2=1,C113*(1-Premissas!$C$26/12)+D114,0)</f>
        <v/>
      </c>
      <c r="D114">
        <f>IF(AND($B$2=1,A114&gt;=Premissas!$C$23),Premissas!$C$22,0)</f>
        <v/>
      </c>
      <c r="E114">
        <f>B114*Premissas!$C$28</f>
        <v/>
      </c>
      <c r="F114">
        <f>B114*Premissas!$C$13/12*MIN(1,A114/Premissas!$C$17)</f>
        <v/>
      </c>
      <c r="G114">
        <f>F114*Premissas!$C$14</f>
        <v/>
      </c>
      <c r="H114">
        <f>IF(IF(A114-1-Premissas!$C$16&gt;=0,OFFSET($J$4,A114-1-Premissas!$C$16,0),0)&gt;0,ROUND(IF(A114-1-Premissas!$C$16&gt;=0,OFFSET($J$4,A114-1-Premissas!$C$16,0),0)*10000/Premissas!$C$5*Premissas!$C$15,0),0)</f>
        <v/>
      </c>
      <c r="I114">
        <f>ROUND(G114*Premissas!$C$6/10000,0)</f>
        <v/>
      </c>
      <c r="J114">
        <f>ROUND(G114*Premissas!$C$5/10000,0)</f>
        <v/>
      </c>
      <c r="K114">
        <f>IF(IF(A114-1-Premissas!$C$16&gt;=0,OFFSET($A$4,A114-1-Premissas!$C$16,0)&gt;=Premissas!$C$19,FALSE),ROUND(IF(A114-1-Premissas!$C$16&gt;=0,OFFSET($J$4,A114-1-Premissas!$C$16,0),0)*Premissas!$C$15,0),0)</f>
        <v/>
      </c>
      <c r="L114">
        <f>ROUND(C114*Premissas!$C$24/12,0)</f>
        <v/>
      </c>
      <c r="M114">
        <f>ROUND(D114*Premissas!$C$25,0)</f>
        <v/>
      </c>
      <c r="N114">
        <f>ROUND(E114*Premissas!$C$29+B114*Premissas!$C$30,0)</f>
        <v/>
      </c>
      <c r="O114">
        <f>K114+L114+M114+N114</f>
        <v/>
      </c>
      <c r="P114">
        <f>K114+ROUND(AC114*Premissas!$C$24,0)+M114+N114</f>
        <v/>
      </c>
      <c r="Q114">
        <f>ROUND(IF(A114-1-Premissas!$C$21&gt;=0,OFFSET($P$4,A114-1-Premissas!$C$21,0),0)*(1-Premissas!$C$20/100),0)</f>
        <v/>
      </c>
      <c r="R114">
        <f>ROUND(F114*Premissas!$C$11+N114*Premissas!$C$31/100,0)+ROUND((E114+B114)*Premissas!$C$10,0)+ROUND(Q114*Premissas!$C$8/100,0)+ROUND(Premissas!$C$35+(B114+C114)*Premissas!$C$36,0)</f>
        <v/>
      </c>
      <c r="S114">
        <f>O114-R114</f>
        <v/>
      </c>
      <c r="T114">
        <f>ROUND(O114*Premissas!$C$9/100,0)</f>
        <v/>
      </c>
      <c r="U114">
        <f>ROUND(AB114*Premissas!$C$33,0)</f>
        <v/>
      </c>
      <c r="V114">
        <f>Premissas!$C$37+ROUND(Premissas!$C$12*Premissas!$C$38+D114*Premissas!$C$27,0)</f>
        <v/>
      </c>
      <c r="W114">
        <f>Premissas!$C$39</f>
        <v/>
      </c>
      <c r="X114">
        <f>S114-T114-ROUND(Premissas!$C$12*Premissas!$C$38+D114*Premissas!$C$27,0)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Premissas!$C$32+(B114+C114)/Premissas!$C$34</f>
        <v/>
      </c>
      <c r="AC114">
        <f>D114+AC102*(1-Premissas!$C$26/12)^12</f>
        <v/>
      </c>
    </row>
    <row r="115">
      <c r="A115" t="n">
        <v>112</v>
      </c>
      <c r="B115">
        <f>B114*(1-Premissas!$C$18/12)+Premissas!$C$12</f>
        <v/>
      </c>
      <c r="C115">
        <f>IF($B$2=1,C114*(1-Premissas!$C$26/12)+D115,0)</f>
        <v/>
      </c>
      <c r="D115">
        <f>IF(AND($B$2=1,A115&gt;=Premissas!$C$23),Premissas!$C$22,0)</f>
        <v/>
      </c>
      <c r="E115">
        <f>B115*Premissas!$C$28</f>
        <v/>
      </c>
      <c r="F115">
        <f>B115*Premissas!$C$13/12*MIN(1,A115/Premissas!$C$17)</f>
        <v/>
      </c>
      <c r="G115">
        <f>F115*Premissas!$C$14</f>
        <v/>
      </c>
      <c r="H115">
        <f>IF(IF(A115-1-Premissas!$C$16&gt;=0,OFFSET($J$4,A115-1-Premissas!$C$16,0),0)&gt;0,ROUND(IF(A115-1-Premissas!$C$16&gt;=0,OFFSET($J$4,A115-1-Premissas!$C$16,0),0)*10000/Premissas!$C$5*Premissas!$C$15,0),0)</f>
        <v/>
      </c>
      <c r="I115">
        <f>ROUND(G115*Premissas!$C$6/10000,0)</f>
        <v/>
      </c>
      <c r="J115">
        <f>ROUND(G115*Premissas!$C$5/10000,0)</f>
        <v/>
      </c>
      <c r="K115">
        <f>IF(IF(A115-1-Premissas!$C$16&gt;=0,OFFSET($A$4,A115-1-Premissas!$C$16,0)&gt;=Premissas!$C$19,FALSE),ROUND(IF(A115-1-Premissas!$C$16&gt;=0,OFFSET($J$4,A115-1-Premissas!$C$16,0),0)*Premissas!$C$15,0),0)</f>
        <v/>
      </c>
      <c r="L115">
        <f>ROUND(C115*Premissas!$C$24/12,0)</f>
        <v/>
      </c>
      <c r="M115">
        <f>ROUND(D115*Premissas!$C$25,0)</f>
        <v/>
      </c>
      <c r="N115">
        <f>ROUND(E115*Premissas!$C$29+B115*Premissas!$C$30,0)</f>
        <v/>
      </c>
      <c r="O115">
        <f>K115+L115+M115+N115</f>
        <v/>
      </c>
      <c r="P115">
        <f>K115+ROUND(AC115*Premissas!$C$24,0)+M115+N115</f>
        <v/>
      </c>
      <c r="Q115">
        <f>ROUND(IF(A115-1-Premissas!$C$21&gt;=0,OFFSET($P$4,A115-1-Premissas!$C$21,0),0)*(1-Premissas!$C$20/100),0)</f>
        <v/>
      </c>
      <c r="R115">
        <f>ROUND(F115*Premissas!$C$11+N115*Premissas!$C$31/100,0)+ROUND((E115+B115)*Premissas!$C$10,0)+ROUND(Q115*Premissas!$C$8/100,0)+ROUND(Premissas!$C$35+(B115+C115)*Premissas!$C$36,0)</f>
        <v/>
      </c>
      <c r="S115">
        <f>O115-R115</f>
        <v/>
      </c>
      <c r="T115">
        <f>ROUND(O115*Premissas!$C$9/100,0)</f>
        <v/>
      </c>
      <c r="U115">
        <f>ROUND(AB115*Premissas!$C$33,0)</f>
        <v/>
      </c>
      <c r="V115">
        <f>Premissas!$C$37+ROUND(Premissas!$C$12*Premissas!$C$38+D115*Premissas!$C$27,0)</f>
        <v/>
      </c>
      <c r="W115">
        <f>Premissas!$C$39</f>
        <v/>
      </c>
      <c r="X115">
        <f>S115-T115-ROUND(Premissas!$C$12*Premissas!$C$38+D115*Premissas!$C$27,0)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Premissas!$C$32+(B115+C115)/Premissas!$C$34</f>
        <v/>
      </c>
      <c r="AC115">
        <f>D115+AC103*(1-Premissas!$C$26/12)^12</f>
        <v/>
      </c>
    </row>
    <row r="116">
      <c r="A116" t="n">
        <v>113</v>
      </c>
      <c r="B116">
        <f>B115*(1-Premissas!$C$18/12)+Premissas!$C$12</f>
        <v/>
      </c>
      <c r="C116">
        <f>IF($B$2=1,C115*(1-Premissas!$C$26/12)+D116,0)</f>
        <v/>
      </c>
      <c r="D116">
        <f>IF(AND($B$2=1,A116&gt;=Premissas!$C$23),Premissas!$C$22,0)</f>
        <v/>
      </c>
      <c r="E116">
        <f>B116*Premissas!$C$28</f>
        <v/>
      </c>
      <c r="F116">
        <f>B116*Premissas!$C$13/12*MIN(1,A116/Premissas!$C$17)</f>
        <v/>
      </c>
      <c r="G116">
        <f>F116*Premissas!$C$14</f>
        <v/>
      </c>
      <c r="H116">
        <f>IF(IF(A116-1-Premissas!$C$16&gt;=0,OFFSET($J$4,A116-1-Premissas!$C$16,0),0)&gt;0,ROUND(IF(A116-1-Premissas!$C$16&gt;=0,OFFSET($J$4,A116-1-Premissas!$C$16,0),0)*10000/Premissas!$C$5*Premissas!$C$15,0),0)</f>
        <v/>
      </c>
      <c r="I116">
        <f>ROUND(G116*Premissas!$C$6/10000,0)</f>
        <v/>
      </c>
      <c r="J116">
        <f>ROUND(G116*Premissas!$C$5/10000,0)</f>
        <v/>
      </c>
      <c r="K116">
        <f>IF(IF(A116-1-Premissas!$C$16&gt;=0,OFFSET($A$4,A116-1-Premissas!$C$16,0)&gt;=Premissas!$C$19,FALSE),ROUND(IF(A116-1-Premissas!$C$16&gt;=0,OFFSET($J$4,A116-1-Premissas!$C$16,0),0)*Premissas!$C$15,0),0)</f>
        <v/>
      </c>
      <c r="L116">
        <f>ROUND(C116*Premissas!$C$24/12,0)</f>
        <v/>
      </c>
      <c r="M116">
        <f>ROUND(D116*Premissas!$C$25,0)</f>
        <v/>
      </c>
      <c r="N116">
        <f>ROUND(E116*Premissas!$C$29+B116*Premissas!$C$30,0)</f>
        <v/>
      </c>
      <c r="O116">
        <f>K116+L116+M116+N116</f>
        <v/>
      </c>
      <c r="P116">
        <f>K116+ROUND(AC116*Premissas!$C$24,0)+M116+N116</f>
        <v/>
      </c>
      <c r="Q116">
        <f>ROUND(IF(A116-1-Premissas!$C$21&gt;=0,OFFSET($P$4,A116-1-Premissas!$C$21,0),0)*(1-Premissas!$C$20/100),0)</f>
        <v/>
      </c>
      <c r="R116">
        <f>ROUND(F116*Premissas!$C$11+N116*Premissas!$C$31/100,0)+ROUND((E116+B116)*Premissas!$C$10,0)+ROUND(Q116*Premissas!$C$8/100,0)+ROUND(Premissas!$C$35+(B116+C116)*Premissas!$C$36,0)</f>
        <v/>
      </c>
      <c r="S116">
        <f>O116-R116</f>
        <v/>
      </c>
      <c r="T116">
        <f>ROUND(O116*Premissas!$C$9/100,0)</f>
        <v/>
      </c>
      <c r="U116">
        <f>ROUND(AB116*Premissas!$C$33,0)</f>
        <v/>
      </c>
      <c r="V116">
        <f>Premissas!$C$37+ROUND(Premissas!$C$12*Premissas!$C$38+D116*Premissas!$C$27,0)</f>
        <v/>
      </c>
      <c r="W116">
        <f>Premissas!$C$39</f>
        <v/>
      </c>
      <c r="X116">
        <f>S116-T116-ROUND(Premissas!$C$12*Premissas!$C$38+D116*Premissas!$C$27,0)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Premissas!$C$32+(B116+C116)/Premissas!$C$34</f>
        <v/>
      </c>
      <c r="AC116">
        <f>D116+AC104*(1-Premissas!$C$26/12)^12</f>
        <v/>
      </c>
    </row>
    <row r="117">
      <c r="A117" t="n">
        <v>114</v>
      </c>
      <c r="B117">
        <f>B116*(1-Premissas!$C$18/12)+Premissas!$C$12</f>
        <v/>
      </c>
      <c r="C117">
        <f>IF($B$2=1,C116*(1-Premissas!$C$26/12)+D117,0)</f>
        <v/>
      </c>
      <c r="D117">
        <f>IF(AND($B$2=1,A117&gt;=Premissas!$C$23),Premissas!$C$22,0)</f>
        <v/>
      </c>
      <c r="E117">
        <f>B117*Premissas!$C$28</f>
        <v/>
      </c>
      <c r="F117">
        <f>B117*Premissas!$C$13/12*MIN(1,A117/Premissas!$C$17)</f>
        <v/>
      </c>
      <c r="G117">
        <f>F117*Premissas!$C$14</f>
        <v/>
      </c>
      <c r="H117">
        <f>IF(IF(A117-1-Premissas!$C$16&gt;=0,OFFSET($J$4,A117-1-Premissas!$C$16,0),0)&gt;0,ROUND(IF(A117-1-Premissas!$C$16&gt;=0,OFFSET($J$4,A117-1-Premissas!$C$16,0),0)*10000/Premissas!$C$5*Premissas!$C$15,0),0)</f>
        <v/>
      </c>
      <c r="I117">
        <f>ROUND(G117*Premissas!$C$6/10000,0)</f>
        <v/>
      </c>
      <c r="J117">
        <f>ROUND(G117*Premissas!$C$5/10000,0)</f>
        <v/>
      </c>
      <c r="K117">
        <f>IF(IF(A117-1-Premissas!$C$16&gt;=0,OFFSET($A$4,A117-1-Premissas!$C$16,0)&gt;=Premissas!$C$19,FALSE),ROUND(IF(A117-1-Premissas!$C$16&gt;=0,OFFSET($J$4,A117-1-Premissas!$C$16,0),0)*Premissas!$C$15,0),0)</f>
        <v/>
      </c>
      <c r="L117">
        <f>ROUND(C117*Premissas!$C$24/12,0)</f>
        <v/>
      </c>
      <c r="M117">
        <f>ROUND(D117*Premissas!$C$25,0)</f>
        <v/>
      </c>
      <c r="N117">
        <f>ROUND(E117*Premissas!$C$29+B117*Premissas!$C$30,0)</f>
        <v/>
      </c>
      <c r="O117">
        <f>K117+L117+M117+N117</f>
        <v/>
      </c>
      <c r="P117">
        <f>K117+ROUND(AC117*Premissas!$C$24,0)+M117+N117</f>
        <v/>
      </c>
      <c r="Q117">
        <f>ROUND(IF(A117-1-Premissas!$C$21&gt;=0,OFFSET($P$4,A117-1-Premissas!$C$21,0),0)*(1-Premissas!$C$20/100),0)</f>
        <v/>
      </c>
      <c r="R117">
        <f>ROUND(F117*Premissas!$C$11+N117*Premissas!$C$31/100,0)+ROUND((E117+B117)*Premissas!$C$10,0)+ROUND(Q117*Premissas!$C$8/100,0)+ROUND(Premissas!$C$35+(B117+C117)*Premissas!$C$36,0)</f>
        <v/>
      </c>
      <c r="S117">
        <f>O117-R117</f>
        <v/>
      </c>
      <c r="T117">
        <f>ROUND(O117*Premissas!$C$9/100,0)</f>
        <v/>
      </c>
      <c r="U117">
        <f>ROUND(AB117*Premissas!$C$33,0)</f>
        <v/>
      </c>
      <c r="V117">
        <f>Premissas!$C$37+ROUND(Premissas!$C$12*Premissas!$C$38+D117*Premissas!$C$27,0)</f>
        <v/>
      </c>
      <c r="W117">
        <f>Premissas!$C$39</f>
        <v/>
      </c>
      <c r="X117">
        <f>S117-T117-ROUND(Premissas!$C$12*Premissas!$C$38+D117*Premissas!$C$27,0)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Premissas!$C$32+(B117+C117)/Premissas!$C$34</f>
        <v/>
      </c>
      <c r="AC117">
        <f>D117+AC105*(1-Premissas!$C$26/12)^12</f>
        <v/>
      </c>
    </row>
    <row r="118">
      <c r="A118" t="n">
        <v>115</v>
      </c>
      <c r="B118">
        <f>B117*(1-Premissas!$C$18/12)+Premissas!$C$12</f>
        <v/>
      </c>
      <c r="C118">
        <f>IF($B$2=1,C117*(1-Premissas!$C$26/12)+D118,0)</f>
        <v/>
      </c>
      <c r="D118">
        <f>IF(AND($B$2=1,A118&gt;=Premissas!$C$23),Premissas!$C$22,0)</f>
        <v/>
      </c>
      <c r="E118">
        <f>B118*Premissas!$C$28</f>
        <v/>
      </c>
      <c r="F118">
        <f>B118*Premissas!$C$13/12*MIN(1,A118/Premissas!$C$17)</f>
        <v/>
      </c>
      <c r="G118">
        <f>F118*Premissas!$C$14</f>
        <v/>
      </c>
      <c r="H118">
        <f>IF(IF(A118-1-Premissas!$C$16&gt;=0,OFFSET($J$4,A118-1-Premissas!$C$16,0),0)&gt;0,ROUND(IF(A118-1-Premissas!$C$16&gt;=0,OFFSET($J$4,A118-1-Premissas!$C$16,0),0)*10000/Premissas!$C$5*Premissas!$C$15,0),0)</f>
        <v/>
      </c>
      <c r="I118">
        <f>ROUND(G118*Premissas!$C$6/10000,0)</f>
        <v/>
      </c>
      <c r="J118">
        <f>ROUND(G118*Premissas!$C$5/10000,0)</f>
        <v/>
      </c>
      <c r="K118">
        <f>IF(IF(A118-1-Premissas!$C$16&gt;=0,OFFSET($A$4,A118-1-Premissas!$C$16,0)&gt;=Premissas!$C$19,FALSE),ROUND(IF(A118-1-Premissas!$C$16&gt;=0,OFFSET($J$4,A118-1-Premissas!$C$16,0),0)*Premissas!$C$15,0),0)</f>
        <v/>
      </c>
      <c r="L118">
        <f>ROUND(C118*Premissas!$C$24/12,0)</f>
        <v/>
      </c>
      <c r="M118">
        <f>ROUND(D118*Premissas!$C$25,0)</f>
        <v/>
      </c>
      <c r="N118">
        <f>ROUND(E118*Premissas!$C$29+B118*Premissas!$C$30,0)</f>
        <v/>
      </c>
      <c r="O118">
        <f>K118+L118+M118+N118</f>
        <v/>
      </c>
      <c r="P118">
        <f>K118+ROUND(AC118*Premissas!$C$24,0)+M118+N118</f>
        <v/>
      </c>
      <c r="Q118">
        <f>ROUND(IF(A118-1-Premissas!$C$21&gt;=0,OFFSET($P$4,A118-1-Premissas!$C$21,0),0)*(1-Premissas!$C$20/100),0)</f>
        <v/>
      </c>
      <c r="R118">
        <f>ROUND(F118*Premissas!$C$11+N118*Premissas!$C$31/100,0)+ROUND((E118+B118)*Premissas!$C$10,0)+ROUND(Q118*Premissas!$C$8/100,0)+ROUND(Premissas!$C$35+(B118+C118)*Premissas!$C$36,0)</f>
        <v/>
      </c>
      <c r="S118">
        <f>O118-R118</f>
        <v/>
      </c>
      <c r="T118">
        <f>ROUND(O118*Premissas!$C$9/100,0)</f>
        <v/>
      </c>
      <c r="U118">
        <f>ROUND(AB118*Premissas!$C$33,0)</f>
        <v/>
      </c>
      <c r="V118">
        <f>Premissas!$C$37+ROUND(Premissas!$C$12*Premissas!$C$38+D118*Premissas!$C$27,0)</f>
        <v/>
      </c>
      <c r="W118">
        <f>Premissas!$C$39</f>
        <v/>
      </c>
      <c r="X118">
        <f>S118-T118-ROUND(Premissas!$C$12*Premissas!$C$38+D118*Premissas!$C$27,0)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Premissas!$C$32+(B118+C118)/Premissas!$C$34</f>
        <v/>
      </c>
      <c r="AC118">
        <f>D118+AC106*(1-Premissas!$C$26/12)^12</f>
        <v/>
      </c>
    </row>
    <row r="119">
      <c r="A119" t="n">
        <v>116</v>
      </c>
      <c r="B119">
        <f>B118*(1-Premissas!$C$18/12)+Premissas!$C$12</f>
        <v/>
      </c>
      <c r="C119">
        <f>IF($B$2=1,C118*(1-Premissas!$C$26/12)+D119,0)</f>
        <v/>
      </c>
      <c r="D119">
        <f>IF(AND($B$2=1,A119&gt;=Premissas!$C$23),Premissas!$C$22,0)</f>
        <v/>
      </c>
      <c r="E119">
        <f>B119*Premissas!$C$28</f>
        <v/>
      </c>
      <c r="F119">
        <f>B119*Premissas!$C$13/12*MIN(1,A119/Premissas!$C$17)</f>
        <v/>
      </c>
      <c r="G119">
        <f>F119*Premissas!$C$14</f>
        <v/>
      </c>
      <c r="H119">
        <f>IF(IF(A119-1-Premissas!$C$16&gt;=0,OFFSET($J$4,A119-1-Premissas!$C$16,0),0)&gt;0,ROUND(IF(A119-1-Premissas!$C$16&gt;=0,OFFSET($J$4,A119-1-Premissas!$C$16,0),0)*10000/Premissas!$C$5*Premissas!$C$15,0),0)</f>
        <v/>
      </c>
      <c r="I119">
        <f>ROUND(G119*Premissas!$C$6/10000,0)</f>
        <v/>
      </c>
      <c r="J119">
        <f>ROUND(G119*Premissas!$C$5/10000,0)</f>
        <v/>
      </c>
      <c r="K119">
        <f>IF(IF(A119-1-Premissas!$C$16&gt;=0,OFFSET($A$4,A119-1-Premissas!$C$16,0)&gt;=Premissas!$C$19,FALSE),ROUND(IF(A119-1-Premissas!$C$16&gt;=0,OFFSET($J$4,A119-1-Premissas!$C$16,0),0)*Premissas!$C$15,0),0)</f>
        <v/>
      </c>
      <c r="L119">
        <f>ROUND(C119*Premissas!$C$24/12,0)</f>
        <v/>
      </c>
      <c r="M119">
        <f>ROUND(D119*Premissas!$C$25,0)</f>
        <v/>
      </c>
      <c r="N119">
        <f>ROUND(E119*Premissas!$C$29+B119*Premissas!$C$30,0)</f>
        <v/>
      </c>
      <c r="O119">
        <f>K119+L119+M119+N119</f>
        <v/>
      </c>
      <c r="P119">
        <f>K119+ROUND(AC119*Premissas!$C$24,0)+M119+N119</f>
        <v/>
      </c>
      <c r="Q119">
        <f>ROUND(IF(A119-1-Premissas!$C$21&gt;=0,OFFSET($P$4,A119-1-Premissas!$C$21,0),0)*(1-Premissas!$C$20/100),0)</f>
        <v/>
      </c>
      <c r="R119">
        <f>ROUND(F119*Premissas!$C$11+N119*Premissas!$C$31/100,0)+ROUND((E119+B119)*Premissas!$C$10,0)+ROUND(Q119*Premissas!$C$8/100,0)+ROUND(Premissas!$C$35+(B119+C119)*Premissas!$C$36,0)</f>
        <v/>
      </c>
      <c r="S119">
        <f>O119-R119</f>
        <v/>
      </c>
      <c r="T119">
        <f>ROUND(O119*Premissas!$C$9/100,0)</f>
        <v/>
      </c>
      <c r="U119">
        <f>ROUND(AB119*Premissas!$C$33,0)</f>
        <v/>
      </c>
      <c r="V119">
        <f>Premissas!$C$37+ROUND(Premissas!$C$12*Premissas!$C$38+D119*Premissas!$C$27,0)</f>
        <v/>
      </c>
      <c r="W119">
        <f>Premissas!$C$39</f>
        <v/>
      </c>
      <c r="X119">
        <f>S119-T119-ROUND(Premissas!$C$12*Premissas!$C$38+D119*Premissas!$C$27,0)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Premissas!$C$32+(B119+C119)/Premissas!$C$34</f>
        <v/>
      </c>
      <c r="AC119">
        <f>D119+AC107*(1-Premissas!$C$26/12)^12</f>
        <v/>
      </c>
    </row>
    <row r="120">
      <c r="A120" t="n">
        <v>117</v>
      </c>
      <c r="B120">
        <f>B119*(1-Premissas!$C$18/12)+Premissas!$C$12</f>
        <v/>
      </c>
      <c r="C120">
        <f>IF($B$2=1,C119*(1-Premissas!$C$26/12)+D120,0)</f>
        <v/>
      </c>
      <c r="D120">
        <f>IF(AND($B$2=1,A120&gt;=Premissas!$C$23),Premissas!$C$22,0)</f>
        <v/>
      </c>
      <c r="E120">
        <f>B120*Premissas!$C$28</f>
        <v/>
      </c>
      <c r="F120">
        <f>B120*Premissas!$C$13/12*MIN(1,A120/Premissas!$C$17)</f>
        <v/>
      </c>
      <c r="G120">
        <f>F120*Premissas!$C$14</f>
        <v/>
      </c>
      <c r="H120">
        <f>IF(IF(A120-1-Premissas!$C$16&gt;=0,OFFSET($J$4,A120-1-Premissas!$C$16,0),0)&gt;0,ROUND(IF(A120-1-Premissas!$C$16&gt;=0,OFFSET($J$4,A120-1-Premissas!$C$16,0),0)*10000/Premissas!$C$5*Premissas!$C$15,0),0)</f>
        <v/>
      </c>
      <c r="I120">
        <f>ROUND(G120*Premissas!$C$6/10000,0)</f>
        <v/>
      </c>
      <c r="J120">
        <f>ROUND(G120*Premissas!$C$5/10000,0)</f>
        <v/>
      </c>
      <c r="K120">
        <f>IF(IF(A120-1-Premissas!$C$16&gt;=0,OFFSET($A$4,A120-1-Premissas!$C$16,0)&gt;=Premissas!$C$19,FALSE),ROUND(IF(A120-1-Premissas!$C$16&gt;=0,OFFSET($J$4,A120-1-Premissas!$C$16,0),0)*Premissas!$C$15,0),0)</f>
        <v/>
      </c>
      <c r="L120">
        <f>ROUND(C120*Premissas!$C$24/12,0)</f>
        <v/>
      </c>
      <c r="M120">
        <f>ROUND(D120*Premissas!$C$25,0)</f>
        <v/>
      </c>
      <c r="N120">
        <f>ROUND(E120*Premissas!$C$29+B120*Premissas!$C$30,0)</f>
        <v/>
      </c>
      <c r="O120">
        <f>K120+L120+M120+N120</f>
        <v/>
      </c>
      <c r="P120">
        <f>K120+ROUND(AC120*Premissas!$C$24,0)+M120+N120</f>
        <v/>
      </c>
      <c r="Q120">
        <f>ROUND(IF(A120-1-Premissas!$C$21&gt;=0,OFFSET($P$4,A120-1-Premissas!$C$21,0),0)*(1-Premissas!$C$20/100),0)</f>
        <v/>
      </c>
      <c r="R120">
        <f>ROUND(F120*Premissas!$C$11+N120*Premissas!$C$31/100,0)+ROUND((E120+B120)*Premissas!$C$10,0)+ROUND(Q120*Premissas!$C$8/100,0)+ROUND(Premissas!$C$35+(B120+C120)*Premissas!$C$36,0)</f>
        <v/>
      </c>
      <c r="S120">
        <f>O120-R120</f>
        <v/>
      </c>
      <c r="T120">
        <f>ROUND(O120*Premissas!$C$9/100,0)</f>
        <v/>
      </c>
      <c r="U120">
        <f>ROUND(AB120*Premissas!$C$33,0)</f>
        <v/>
      </c>
      <c r="V120">
        <f>Premissas!$C$37+ROUND(Premissas!$C$12*Premissas!$C$38+D120*Premissas!$C$27,0)</f>
        <v/>
      </c>
      <c r="W120">
        <f>Premissas!$C$39</f>
        <v/>
      </c>
      <c r="X120">
        <f>S120-T120-ROUND(Premissas!$C$12*Premissas!$C$38+D120*Premissas!$C$27,0)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Premissas!$C$32+(B120+C120)/Premissas!$C$34</f>
        <v/>
      </c>
      <c r="AC120">
        <f>D120+AC108*(1-Premissas!$C$26/12)^12</f>
        <v/>
      </c>
    </row>
    <row r="121">
      <c r="A121" t="n">
        <v>118</v>
      </c>
      <c r="B121">
        <f>B120*(1-Premissas!$C$18/12)+Premissas!$C$12</f>
        <v/>
      </c>
      <c r="C121">
        <f>IF($B$2=1,C120*(1-Premissas!$C$26/12)+D121,0)</f>
        <v/>
      </c>
      <c r="D121">
        <f>IF(AND($B$2=1,A121&gt;=Premissas!$C$23),Premissas!$C$22,0)</f>
        <v/>
      </c>
      <c r="E121">
        <f>B121*Premissas!$C$28</f>
        <v/>
      </c>
      <c r="F121">
        <f>B121*Premissas!$C$13/12*MIN(1,A121/Premissas!$C$17)</f>
        <v/>
      </c>
      <c r="G121">
        <f>F121*Premissas!$C$14</f>
        <v/>
      </c>
      <c r="H121">
        <f>IF(IF(A121-1-Premissas!$C$16&gt;=0,OFFSET($J$4,A121-1-Premissas!$C$16,0),0)&gt;0,ROUND(IF(A121-1-Premissas!$C$16&gt;=0,OFFSET($J$4,A121-1-Premissas!$C$16,0),0)*10000/Premissas!$C$5*Premissas!$C$15,0),0)</f>
        <v/>
      </c>
      <c r="I121">
        <f>ROUND(G121*Premissas!$C$6/10000,0)</f>
        <v/>
      </c>
      <c r="J121">
        <f>ROUND(G121*Premissas!$C$5/10000,0)</f>
        <v/>
      </c>
      <c r="K121">
        <f>IF(IF(A121-1-Premissas!$C$16&gt;=0,OFFSET($A$4,A121-1-Premissas!$C$16,0)&gt;=Premissas!$C$19,FALSE),ROUND(IF(A121-1-Premissas!$C$16&gt;=0,OFFSET($J$4,A121-1-Premissas!$C$16,0),0)*Premissas!$C$15,0),0)</f>
        <v/>
      </c>
      <c r="L121">
        <f>ROUND(C121*Premissas!$C$24/12,0)</f>
        <v/>
      </c>
      <c r="M121">
        <f>ROUND(D121*Premissas!$C$25,0)</f>
        <v/>
      </c>
      <c r="N121">
        <f>ROUND(E121*Premissas!$C$29+B121*Premissas!$C$30,0)</f>
        <v/>
      </c>
      <c r="O121">
        <f>K121+L121+M121+N121</f>
        <v/>
      </c>
      <c r="P121">
        <f>K121+ROUND(AC121*Premissas!$C$24,0)+M121+N121</f>
        <v/>
      </c>
      <c r="Q121">
        <f>ROUND(IF(A121-1-Premissas!$C$21&gt;=0,OFFSET($P$4,A121-1-Premissas!$C$21,0),0)*(1-Premissas!$C$20/100),0)</f>
        <v/>
      </c>
      <c r="R121">
        <f>ROUND(F121*Premissas!$C$11+N121*Premissas!$C$31/100,0)+ROUND((E121+B121)*Premissas!$C$10,0)+ROUND(Q121*Premissas!$C$8/100,0)+ROUND(Premissas!$C$35+(B121+C121)*Premissas!$C$36,0)</f>
        <v/>
      </c>
      <c r="S121">
        <f>O121-R121</f>
        <v/>
      </c>
      <c r="T121">
        <f>ROUND(O121*Premissas!$C$9/100,0)</f>
        <v/>
      </c>
      <c r="U121">
        <f>ROUND(AB121*Premissas!$C$33,0)</f>
        <v/>
      </c>
      <c r="V121">
        <f>Premissas!$C$37+ROUND(Premissas!$C$12*Premissas!$C$38+D121*Premissas!$C$27,0)</f>
        <v/>
      </c>
      <c r="W121">
        <f>Premissas!$C$39</f>
        <v/>
      </c>
      <c r="X121">
        <f>S121-T121-ROUND(Premissas!$C$12*Premissas!$C$38+D121*Premissas!$C$27,0)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Premissas!$C$32+(B121+C121)/Premissas!$C$34</f>
        <v/>
      </c>
      <c r="AC121">
        <f>D121+AC109*(1-Premissas!$C$26/12)^12</f>
        <v/>
      </c>
    </row>
    <row r="122">
      <c r="A122" t="n">
        <v>119</v>
      </c>
      <c r="B122">
        <f>B121*(1-Premissas!$C$18/12)+Premissas!$C$12</f>
        <v/>
      </c>
      <c r="C122">
        <f>IF($B$2=1,C121*(1-Premissas!$C$26/12)+D122,0)</f>
        <v/>
      </c>
      <c r="D122">
        <f>IF(AND($B$2=1,A122&gt;=Premissas!$C$23),Premissas!$C$22,0)</f>
        <v/>
      </c>
      <c r="E122">
        <f>B122*Premissas!$C$28</f>
        <v/>
      </c>
      <c r="F122">
        <f>B122*Premissas!$C$13/12*MIN(1,A122/Premissas!$C$17)</f>
        <v/>
      </c>
      <c r="G122">
        <f>F122*Premissas!$C$14</f>
        <v/>
      </c>
      <c r="H122">
        <f>IF(IF(A122-1-Premissas!$C$16&gt;=0,OFFSET($J$4,A122-1-Premissas!$C$16,0),0)&gt;0,ROUND(IF(A122-1-Premissas!$C$16&gt;=0,OFFSET($J$4,A122-1-Premissas!$C$16,0),0)*10000/Premissas!$C$5*Premissas!$C$15,0),0)</f>
        <v/>
      </c>
      <c r="I122">
        <f>ROUND(G122*Premissas!$C$6/10000,0)</f>
        <v/>
      </c>
      <c r="J122">
        <f>ROUND(G122*Premissas!$C$5/10000,0)</f>
        <v/>
      </c>
      <c r="K122">
        <f>IF(IF(A122-1-Premissas!$C$16&gt;=0,OFFSET($A$4,A122-1-Premissas!$C$16,0)&gt;=Premissas!$C$19,FALSE),ROUND(IF(A122-1-Premissas!$C$16&gt;=0,OFFSET($J$4,A122-1-Premissas!$C$16,0),0)*Premissas!$C$15,0),0)</f>
        <v/>
      </c>
      <c r="L122">
        <f>ROUND(C122*Premissas!$C$24/12,0)</f>
        <v/>
      </c>
      <c r="M122">
        <f>ROUND(D122*Premissas!$C$25,0)</f>
        <v/>
      </c>
      <c r="N122">
        <f>ROUND(E122*Premissas!$C$29+B122*Premissas!$C$30,0)</f>
        <v/>
      </c>
      <c r="O122">
        <f>K122+L122+M122+N122</f>
        <v/>
      </c>
      <c r="P122">
        <f>K122+ROUND(AC122*Premissas!$C$24,0)+M122+N122</f>
        <v/>
      </c>
      <c r="Q122">
        <f>ROUND(IF(A122-1-Premissas!$C$21&gt;=0,OFFSET($P$4,A122-1-Premissas!$C$21,0),0)*(1-Premissas!$C$20/100),0)</f>
        <v/>
      </c>
      <c r="R122">
        <f>ROUND(F122*Premissas!$C$11+N122*Premissas!$C$31/100,0)+ROUND((E122+B122)*Premissas!$C$10,0)+ROUND(Q122*Premissas!$C$8/100,0)+ROUND(Premissas!$C$35+(B122+C122)*Premissas!$C$36,0)</f>
        <v/>
      </c>
      <c r="S122">
        <f>O122-R122</f>
        <v/>
      </c>
      <c r="T122">
        <f>ROUND(O122*Premissas!$C$9/100,0)</f>
        <v/>
      </c>
      <c r="U122">
        <f>ROUND(AB122*Premissas!$C$33,0)</f>
        <v/>
      </c>
      <c r="V122">
        <f>Premissas!$C$37+ROUND(Premissas!$C$12*Premissas!$C$38+D122*Premissas!$C$27,0)</f>
        <v/>
      </c>
      <c r="W122">
        <f>Premissas!$C$39</f>
        <v/>
      </c>
      <c r="X122">
        <f>S122-T122-ROUND(Premissas!$C$12*Premissas!$C$38+D122*Premissas!$C$27,0)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Premissas!$C$32+(B122+C122)/Premissas!$C$34</f>
        <v/>
      </c>
      <c r="AC122">
        <f>D122+AC110*(1-Premissas!$C$26/12)^12</f>
        <v/>
      </c>
    </row>
    <row r="123">
      <c r="A123" t="n">
        <v>120</v>
      </c>
      <c r="B123">
        <f>B122*(1-Premissas!$C$18/12)+Premissas!$C$12</f>
        <v/>
      </c>
      <c r="C123">
        <f>IF($B$2=1,C122*(1-Premissas!$C$26/12)+D123,0)</f>
        <v/>
      </c>
      <c r="D123">
        <f>IF(AND($B$2=1,A123&gt;=Premissas!$C$23),Premissas!$C$22,0)</f>
        <v/>
      </c>
      <c r="E123">
        <f>B123*Premissas!$C$28</f>
        <v/>
      </c>
      <c r="F123">
        <f>B123*Premissas!$C$13/12*MIN(1,A123/Premissas!$C$17)</f>
        <v/>
      </c>
      <c r="G123">
        <f>F123*Premissas!$C$14</f>
        <v/>
      </c>
      <c r="H123">
        <f>IF(IF(A123-1-Premissas!$C$16&gt;=0,OFFSET($J$4,A123-1-Premissas!$C$16,0),0)&gt;0,ROUND(IF(A123-1-Premissas!$C$16&gt;=0,OFFSET($J$4,A123-1-Premissas!$C$16,0),0)*10000/Premissas!$C$5*Premissas!$C$15,0),0)</f>
        <v/>
      </c>
      <c r="I123">
        <f>ROUND(G123*Premissas!$C$6/10000,0)</f>
        <v/>
      </c>
      <c r="J123">
        <f>ROUND(G123*Premissas!$C$5/10000,0)</f>
        <v/>
      </c>
      <c r="K123">
        <f>IF(IF(A123-1-Premissas!$C$16&gt;=0,OFFSET($A$4,A123-1-Premissas!$C$16,0)&gt;=Premissas!$C$19,FALSE),ROUND(IF(A123-1-Premissas!$C$16&gt;=0,OFFSET($J$4,A123-1-Premissas!$C$16,0),0)*Premissas!$C$15,0),0)</f>
        <v/>
      </c>
      <c r="L123">
        <f>ROUND(C123*Premissas!$C$24/12,0)</f>
        <v/>
      </c>
      <c r="M123">
        <f>ROUND(D123*Premissas!$C$25,0)</f>
        <v/>
      </c>
      <c r="N123">
        <f>ROUND(E123*Premissas!$C$29+B123*Premissas!$C$30,0)</f>
        <v/>
      </c>
      <c r="O123">
        <f>K123+L123+M123+N123</f>
        <v/>
      </c>
      <c r="P123">
        <f>K123+ROUND(AC123*Premissas!$C$24,0)+M123+N123</f>
        <v/>
      </c>
      <c r="Q123">
        <f>ROUND(IF(A123-1-Premissas!$C$21&gt;=0,OFFSET($P$4,A123-1-Premissas!$C$21,0),0)*(1-Premissas!$C$20/100),0)</f>
        <v/>
      </c>
      <c r="R123">
        <f>ROUND(F123*Premissas!$C$11+N123*Premissas!$C$31/100,0)+ROUND((E123+B123)*Premissas!$C$10,0)+ROUND(Q123*Premissas!$C$8/100,0)+ROUND(Premissas!$C$35+(B123+C123)*Premissas!$C$36,0)</f>
        <v/>
      </c>
      <c r="S123">
        <f>O123-R123</f>
        <v/>
      </c>
      <c r="T123">
        <f>ROUND(O123*Premissas!$C$9/100,0)</f>
        <v/>
      </c>
      <c r="U123">
        <f>ROUND(AB123*Premissas!$C$33,0)</f>
        <v/>
      </c>
      <c r="V123">
        <f>Premissas!$C$37+ROUND(Premissas!$C$12*Premissas!$C$38+D123*Premissas!$C$27,0)</f>
        <v/>
      </c>
      <c r="W123">
        <f>Premissas!$C$39</f>
        <v/>
      </c>
      <c r="X123">
        <f>S123-T123-ROUND(Premissas!$C$12*Premissas!$C$38+D123*Premissas!$C$27,0)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Premissas!$C$32+(B123+C123)/Premissas!$C$34</f>
        <v/>
      </c>
      <c r="AC123">
        <f>D123+AC111*(1-Premissas!$C$26/12)^12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conservador · desenho Híbrido (0 = sem contratos institucionais; 1 = com) · valores em CENTAVOS · fórmulas abertas</t>
        </is>
      </c>
    </row>
    <row r="2">
      <c r="A2" t="inlineStr">
        <is>
          <t>hybrid</t>
        </is>
      </c>
      <c r="B2" t="n">
        <v>1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0*(1-Premissas!$C$18/12)+Premissas!$C$12</f>
        <v/>
      </c>
      <c r="C4">
        <f>IF($B$2=1,0*(1-Premissas!$C$26/12)+D4,0)</f>
        <v/>
      </c>
      <c r="D4">
        <f>IF(AND($B$2=1,A4&gt;=Premissas!$C$23),Premissas!$C$22,0)</f>
        <v/>
      </c>
      <c r="E4">
        <f>B4*Premissas!$C$28</f>
        <v/>
      </c>
      <c r="F4">
        <f>B4*Premissas!$C$13/12*MIN(1,A4/Premissas!$C$17)</f>
        <v/>
      </c>
      <c r="G4">
        <f>F4*Premissas!$C$14</f>
        <v/>
      </c>
      <c r="H4">
        <f>IF(IF(A4-1-Premissas!$C$16&gt;=0,OFFSET($J$4,A4-1-Premissas!$C$16,0),0)&gt;0,ROUND(IF(A4-1-Premissas!$C$16&gt;=0,OFFSET($J$4,A4-1-Premissas!$C$16,0),0)*10000/Premissas!$C$5*Premissas!$C$15,0),0)</f>
        <v/>
      </c>
      <c r="I4">
        <f>ROUND(G4*Premissas!$C$6/10000,0)</f>
        <v/>
      </c>
      <c r="J4">
        <f>ROUND(G4*Premissas!$C$5/10000,0)</f>
        <v/>
      </c>
      <c r="K4">
        <f>IF(IF(A4-1-Premissas!$C$16&gt;=0,OFFSET($A$4,A4-1-Premissas!$C$16,0)&gt;=Premissas!$C$19,FALSE),ROUND(IF(A4-1-Premissas!$C$16&gt;=0,OFFSET($J$4,A4-1-Premissas!$C$16,0),0)*Premissas!$C$15,0),0)</f>
        <v/>
      </c>
      <c r="L4">
        <f>ROUND(C4*Premissas!$C$24/12,0)</f>
        <v/>
      </c>
      <c r="M4">
        <f>ROUND(D4*Premissas!$C$25,0)</f>
        <v/>
      </c>
      <c r="N4">
        <f>ROUND(E4*Premissas!$C$29+B4*Premissas!$C$30,0)</f>
        <v/>
      </c>
      <c r="O4">
        <f>K4+L4+M4+N4</f>
        <v/>
      </c>
      <c r="P4">
        <f>K4+ROUND(AC4*Premissas!$C$24,0)+M4+N4</f>
        <v/>
      </c>
      <c r="Q4">
        <f>ROUND(IF(A4-1-Premissas!$C$21&gt;=0,OFFSET($P$4,A4-1-Premissas!$C$21,0),0)*(1-Premissas!$C$20/100),0)</f>
        <v/>
      </c>
      <c r="R4">
        <f>ROUND(F4*Premissas!$C$11+N4*Premissas!$C$31/100,0)+ROUND((E4+B4)*Premissas!$C$10,0)+ROUND(Q4*Premissas!$C$8/100,0)+ROUND(Premissas!$C$35+(B4+C4)*Premissas!$C$36,0)</f>
        <v/>
      </c>
      <c r="S4">
        <f>O4-R4</f>
        <v/>
      </c>
      <c r="T4">
        <f>ROUND(O4*Premissas!$C$9/100,0)</f>
        <v/>
      </c>
      <c r="U4">
        <f>ROUND(AB4*Premissas!$C$33,0)</f>
        <v/>
      </c>
      <c r="V4">
        <f>Premissas!$C$37+ROUND(Premissas!$C$12*Premissas!$C$38+D4*Premissas!$C$27,0)</f>
        <v/>
      </c>
      <c r="W4">
        <f>Premissas!$C$39</f>
        <v/>
      </c>
      <c r="X4">
        <f>S4-T4-ROUND(Premissas!$C$12*Premissas!$C$38+D4*Premissas!$C$27,0)</f>
        <v/>
      </c>
      <c r="Y4">
        <f>O4-R4-T4-U4-V4-W4</f>
        <v/>
      </c>
      <c r="Z4">
        <f>Q4-R4-T4-U4-V4-W4</f>
        <v/>
      </c>
      <c r="AA4">
        <f>Premissas!$C$40+Z4</f>
        <v/>
      </c>
      <c r="AB4">
        <f>Premissas!$C$32+(B4+C4)/Premissas!$C$34</f>
        <v/>
      </c>
      <c r="AC4">
        <f>D4</f>
        <v/>
      </c>
    </row>
    <row r="5">
      <c r="A5" t="n">
        <v>2</v>
      </c>
      <c r="B5">
        <f>B4*(1-Premissas!$C$18/12)+Premissas!$C$12</f>
        <v/>
      </c>
      <c r="C5">
        <f>IF($B$2=1,C4*(1-Premissas!$C$26/12)+D5,0)</f>
        <v/>
      </c>
      <c r="D5">
        <f>IF(AND($B$2=1,A5&gt;=Premissas!$C$23),Premissas!$C$22,0)</f>
        <v/>
      </c>
      <c r="E5">
        <f>B5*Premissas!$C$28</f>
        <v/>
      </c>
      <c r="F5">
        <f>B5*Premissas!$C$13/12*MIN(1,A5/Premissas!$C$17)</f>
        <v/>
      </c>
      <c r="G5">
        <f>F5*Premissas!$C$14</f>
        <v/>
      </c>
      <c r="H5">
        <f>IF(IF(A5-1-Premissas!$C$16&gt;=0,OFFSET($J$4,A5-1-Premissas!$C$16,0),0)&gt;0,ROUND(IF(A5-1-Premissas!$C$16&gt;=0,OFFSET($J$4,A5-1-Premissas!$C$16,0),0)*10000/Premissas!$C$5*Premissas!$C$15,0),0)</f>
        <v/>
      </c>
      <c r="I5">
        <f>ROUND(G5*Premissas!$C$6/10000,0)</f>
        <v/>
      </c>
      <c r="J5">
        <f>ROUND(G5*Premissas!$C$5/10000,0)</f>
        <v/>
      </c>
      <c r="K5">
        <f>IF(IF(A5-1-Premissas!$C$16&gt;=0,OFFSET($A$4,A5-1-Premissas!$C$16,0)&gt;=Premissas!$C$19,FALSE),ROUND(IF(A5-1-Premissas!$C$16&gt;=0,OFFSET($J$4,A5-1-Premissas!$C$16,0),0)*Premissas!$C$15,0),0)</f>
        <v/>
      </c>
      <c r="L5">
        <f>ROUND(C5*Premissas!$C$24/12,0)</f>
        <v/>
      </c>
      <c r="M5">
        <f>ROUND(D5*Premissas!$C$25,0)</f>
        <v/>
      </c>
      <c r="N5">
        <f>ROUND(E5*Premissas!$C$29+B5*Premissas!$C$30,0)</f>
        <v/>
      </c>
      <c r="O5">
        <f>K5+L5+M5+N5</f>
        <v/>
      </c>
      <c r="P5">
        <f>K5+ROUND(AC5*Premissas!$C$24,0)+M5+N5</f>
        <v/>
      </c>
      <c r="Q5">
        <f>ROUND(IF(A5-1-Premissas!$C$21&gt;=0,OFFSET($P$4,A5-1-Premissas!$C$21,0),0)*(1-Premissas!$C$20/100),0)</f>
        <v/>
      </c>
      <c r="R5">
        <f>ROUND(F5*Premissas!$C$11+N5*Premissas!$C$31/100,0)+ROUND((E5+B5)*Premissas!$C$10,0)+ROUND(Q5*Premissas!$C$8/100,0)+ROUND(Premissas!$C$35+(B5+C5)*Premissas!$C$36,0)</f>
        <v/>
      </c>
      <c r="S5">
        <f>O5-R5</f>
        <v/>
      </c>
      <c r="T5">
        <f>ROUND(O5*Premissas!$C$9/100,0)</f>
        <v/>
      </c>
      <c r="U5">
        <f>ROUND(AB5*Premissas!$C$33,0)</f>
        <v/>
      </c>
      <c r="V5">
        <f>Premissas!$C$37+ROUND(Premissas!$C$12*Premissas!$C$38+D5*Premissas!$C$27,0)</f>
        <v/>
      </c>
      <c r="W5">
        <f>Premissas!$C$39</f>
        <v/>
      </c>
      <c r="X5">
        <f>S5-T5-ROUND(Premissas!$C$12*Premissas!$C$38+D5*Premissas!$C$27,0)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Premissas!$C$32+(B5+C5)/Premissas!$C$34</f>
        <v/>
      </c>
      <c r="AC5">
        <f>D5</f>
        <v/>
      </c>
    </row>
    <row r="6">
      <c r="A6" t="n">
        <v>3</v>
      </c>
      <c r="B6">
        <f>B5*(1-Premissas!$C$18/12)+Premissas!$C$12</f>
        <v/>
      </c>
      <c r="C6">
        <f>IF($B$2=1,C5*(1-Premissas!$C$26/12)+D6,0)</f>
        <v/>
      </c>
      <c r="D6">
        <f>IF(AND($B$2=1,A6&gt;=Premissas!$C$23),Premissas!$C$22,0)</f>
        <v/>
      </c>
      <c r="E6">
        <f>B6*Premissas!$C$28</f>
        <v/>
      </c>
      <c r="F6">
        <f>B6*Premissas!$C$13/12*MIN(1,A6/Premissas!$C$17)</f>
        <v/>
      </c>
      <c r="G6">
        <f>F6*Premissas!$C$14</f>
        <v/>
      </c>
      <c r="H6">
        <f>IF(IF(A6-1-Premissas!$C$16&gt;=0,OFFSET($J$4,A6-1-Premissas!$C$16,0),0)&gt;0,ROUND(IF(A6-1-Premissas!$C$16&gt;=0,OFFSET($J$4,A6-1-Premissas!$C$16,0),0)*10000/Premissas!$C$5*Premissas!$C$15,0),0)</f>
        <v/>
      </c>
      <c r="I6">
        <f>ROUND(G6*Premissas!$C$6/10000,0)</f>
        <v/>
      </c>
      <c r="J6">
        <f>ROUND(G6*Premissas!$C$5/10000,0)</f>
        <v/>
      </c>
      <c r="K6">
        <f>IF(IF(A6-1-Premissas!$C$16&gt;=0,OFFSET($A$4,A6-1-Premissas!$C$16,0)&gt;=Premissas!$C$19,FALSE),ROUND(IF(A6-1-Premissas!$C$16&gt;=0,OFFSET($J$4,A6-1-Premissas!$C$16,0),0)*Premissas!$C$15,0),0)</f>
        <v/>
      </c>
      <c r="L6">
        <f>ROUND(C6*Premissas!$C$24/12,0)</f>
        <v/>
      </c>
      <c r="M6">
        <f>ROUND(D6*Premissas!$C$25,0)</f>
        <v/>
      </c>
      <c r="N6">
        <f>ROUND(E6*Premissas!$C$29+B6*Premissas!$C$30,0)</f>
        <v/>
      </c>
      <c r="O6">
        <f>K6+L6+M6+N6</f>
        <v/>
      </c>
      <c r="P6">
        <f>K6+ROUND(AC6*Premissas!$C$24,0)+M6+N6</f>
        <v/>
      </c>
      <c r="Q6">
        <f>ROUND(IF(A6-1-Premissas!$C$21&gt;=0,OFFSET($P$4,A6-1-Premissas!$C$21,0),0)*(1-Premissas!$C$20/100),0)</f>
        <v/>
      </c>
      <c r="R6">
        <f>ROUND(F6*Premissas!$C$11+N6*Premissas!$C$31/100,0)+ROUND((E6+B6)*Premissas!$C$10,0)+ROUND(Q6*Premissas!$C$8/100,0)+ROUND(Premissas!$C$35+(B6+C6)*Premissas!$C$36,0)</f>
        <v/>
      </c>
      <c r="S6">
        <f>O6-R6</f>
        <v/>
      </c>
      <c r="T6">
        <f>ROUND(O6*Premissas!$C$9/100,0)</f>
        <v/>
      </c>
      <c r="U6">
        <f>ROUND(AB6*Premissas!$C$33,0)</f>
        <v/>
      </c>
      <c r="V6">
        <f>Premissas!$C$37+ROUND(Premissas!$C$12*Premissas!$C$38+D6*Premissas!$C$27,0)</f>
        <v/>
      </c>
      <c r="W6">
        <f>Premissas!$C$39</f>
        <v/>
      </c>
      <c r="X6">
        <f>S6-T6-ROUND(Premissas!$C$12*Premissas!$C$38+D6*Premissas!$C$27,0)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Premissas!$C$32+(B6+C6)/Premissas!$C$34</f>
        <v/>
      </c>
      <c r="AC6">
        <f>D6</f>
        <v/>
      </c>
    </row>
    <row r="7">
      <c r="A7" t="n">
        <v>4</v>
      </c>
      <c r="B7">
        <f>B6*(1-Premissas!$C$18/12)+Premissas!$C$12</f>
        <v/>
      </c>
      <c r="C7">
        <f>IF($B$2=1,C6*(1-Premissas!$C$26/12)+D7,0)</f>
        <v/>
      </c>
      <c r="D7">
        <f>IF(AND($B$2=1,A7&gt;=Premissas!$C$23),Premissas!$C$22,0)</f>
        <v/>
      </c>
      <c r="E7">
        <f>B7*Premissas!$C$28</f>
        <v/>
      </c>
      <c r="F7">
        <f>B7*Premissas!$C$13/12*MIN(1,A7/Premissas!$C$17)</f>
        <v/>
      </c>
      <c r="G7">
        <f>F7*Premissas!$C$14</f>
        <v/>
      </c>
      <c r="H7">
        <f>IF(IF(A7-1-Premissas!$C$16&gt;=0,OFFSET($J$4,A7-1-Premissas!$C$16,0),0)&gt;0,ROUND(IF(A7-1-Premissas!$C$16&gt;=0,OFFSET($J$4,A7-1-Premissas!$C$16,0),0)*10000/Premissas!$C$5*Premissas!$C$15,0),0)</f>
        <v/>
      </c>
      <c r="I7">
        <f>ROUND(G7*Premissas!$C$6/10000,0)</f>
        <v/>
      </c>
      <c r="J7">
        <f>ROUND(G7*Premissas!$C$5/10000,0)</f>
        <v/>
      </c>
      <c r="K7">
        <f>IF(IF(A7-1-Premissas!$C$16&gt;=0,OFFSET($A$4,A7-1-Premissas!$C$16,0)&gt;=Premissas!$C$19,FALSE),ROUND(IF(A7-1-Premissas!$C$16&gt;=0,OFFSET($J$4,A7-1-Premissas!$C$16,0),0)*Premissas!$C$15,0),0)</f>
        <v/>
      </c>
      <c r="L7">
        <f>ROUND(C7*Premissas!$C$24/12,0)</f>
        <v/>
      </c>
      <c r="M7">
        <f>ROUND(D7*Premissas!$C$25,0)</f>
        <v/>
      </c>
      <c r="N7">
        <f>ROUND(E7*Premissas!$C$29+B7*Premissas!$C$30,0)</f>
        <v/>
      </c>
      <c r="O7">
        <f>K7+L7+M7+N7</f>
        <v/>
      </c>
      <c r="P7">
        <f>K7+ROUND(AC7*Premissas!$C$24,0)+M7+N7</f>
        <v/>
      </c>
      <c r="Q7">
        <f>ROUND(IF(A7-1-Premissas!$C$21&gt;=0,OFFSET($P$4,A7-1-Premissas!$C$21,0),0)*(1-Premissas!$C$20/100),0)</f>
        <v/>
      </c>
      <c r="R7">
        <f>ROUND(F7*Premissas!$C$11+N7*Premissas!$C$31/100,0)+ROUND((E7+B7)*Premissas!$C$10,0)+ROUND(Q7*Premissas!$C$8/100,0)+ROUND(Premissas!$C$35+(B7+C7)*Premissas!$C$36,0)</f>
        <v/>
      </c>
      <c r="S7">
        <f>O7-R7</f>
        <v/>
      </c>
      <c r="T7">
        <f>ROUND(O7*Premissas!$C$9/100,0)</f>
        <v/>
      </c>
      <c r="U7">
        <f>ROUND(AB7*Premissas!$C$33,0)</f>
        <v/>
      </c>
      <c r="V7">
        <f>Premissas!$C$37+ROUND(Premissas!$C$12*Premissas!$C$38+D7*Premissas!$C$27,0)</f>
        <v/>
      </c>
      <c r="W7">
        <f>Premissas!$C$39</f>
        <v/>
      </c>
      <c r="X7">
        <f>S7-T7-ROUND(Premissas!$C$12*Premissas!$C$38+D7*Premissas!$C$27,0)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Premissas!$C$32+(B7+C7)/Premissas!$C$34</f>
        <v/>
      </c>
      <c r="AC7">
        <f>D7</f>
        <v/>
      </c>
    </row>
    <row r="8">
      <c r="A8" t="n">
        <v>5</v>
      </c>
      <c r="B8">
        <f>B7*(1-Premissas!$C$18/12)+Premissas!$C$12</f>
        <v/>
      </c>
      <c r="C8">
        <f>IF($B$2=1,C7*(1-Premissas!$C$26/12)+D8,0)</f>
        <v/>
      </c>
      <c r="D8">
        <f>IF(AND($B$2=1,A8&gt;=Premissas!$C$23),Premissas!$C$22,0)</f>
        <v/>
      </c>
      <c r="E8">
        <f>B8*Premissas!$C$28</f>
        <v/>
      </c>
      <c r="F8">
        <f>B8*Premissas!$C$13/12*MIN(1,A8/Premissas!$C$17)</f>
        <v/>
      </c>
      <c r="G8">
        <f>F8*Premissas!$C$14</f>
        <v/>
      </c>
      <c r="H8">
        <f>IF(IF(A8-1-Premissas!$C$16&gt;=0,OFFSET($J$4,A8-1-Premissas!$C$16,0),0)&gt;0,ROUND(IF(A8-1-Premissas!$C$16&gt;=0,OFFSET($J$4,A8-1-Premissas!$C$16,0),0)*10000/Premissas!$C$5*Premissas!$C$15,0),0)</f>
        <v/>
      </c>
      <c r="I8">
        <f>ROUND(G8*Premissas!$C$6/10000,0)</f>
        <v/>
      </c>
      <c r="J8">
        <f>ROUND(G8*Premissas!$C$5/10000,0)</f>
        <v/>
      </c>
      <c r="K8">
        <f>IF(IF(A8-1-Premissas!$C$16&gt;=0,OFFSET($A$4,A8-1-Premissas!$C$16,0)&gt;=Premissas!$C$19,FALSE),ROUND(IF(A8-1-Premissas!$C$16&gt;=0,OFFSET($J$4,A8-1-Premissas!$C$16,0),0)*Premissas!$C$15,0),0)</f>
        <v/>
      </c>
      <c r="L8">
        <f>ROUND(C8*Premissas!$C$24/12,0)</f>
        <v/>
      </c>
      <c r="M8">
        <f>ROUND(D8*Premissas!$C$25,0)</f>
        <v/>
      </c>
      <c r="N8">
        <f>ROUND(E8*Premissas!$C$29+B8*Premissas!$C$30,0)</f>
        <v/>
      </c>
      <c r="O8">
        <f>K8+L8+M8+N8</f>
        <v/>
      </c>
      <c r="P8">
        <f>K8+ROUND(AC8*Premissas!$C$24,0)+M8+N8</f>
        <v/>
      </c>
      <c r="Q8">
        <f>ROUND(IF(A8-1-Premissas!$C$21&gt;=0,OFFSET($P$4,A8-1-Premissas!$C$21,0),0)*(1-Premissas!$C$20/100),0)</f>
        <v/>
      </c>
      <c r="R8">
        <f>ROUND(F8*Premissas!$C$11+N8*Premissas!$C$31/100,0)+ROUND((E8+B8)*Premissas!$C$10,0)+ROUND(Q8*Premissas!$C$8/100,0)+ROUND(Premissas!$C$35+(B8+C8)*Premissas!$C$36,0)</f>
        <v/>
      </c>
      <c r="S8">
        <f>O8-R8</f>
        <v/>
      </c>
      <c r="T8">
        <f>ROUND(O8*Premissas!$C$9/100,0)</f>
        <v/>
      </c>
      <c r="U8">
        <f>ROUND(AB8*Premissas!$C$33,0)</f>
        <v/>
      </c>
      <c r="V8">
        <f>Premissas!$C$37+ROUND(Premissas!$C$12*Premissas!$C$38+D8*Premissas!$C$27,0)</f>
        <v/>
      </c>
      <c r="W8">
        <f>Premissas!$C$39</f>
        <v/>
      </c>
      <c r="X8">
        <f>S8-T8-ROUND(Premissas!$C$12*Premissas!$C$38+D8*Premissas!$C$27,0)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Premissas!$C$32+(B8+C8)/Premissas!$C$34</f>
        <v/>
      </c>
      <c r="AC8">
        <f>D8</f>
        <v/>
      </c>
    </row>
    <row r="9">
      <c r="A9" t="n">
        <v>6</v>
      </c>
      <c r="B9">
        <f>B8*(1-Premissas!$C$18/12)+Premissas!$C$12</f>
        <v/>
      </c>
      <c r="C9">
        <f>IF($B$2=1,C8*(1-Premissas!$C$26/12)+D9,0)</f>
        <v/>
      </c>
      <c r="D9">
        <f>IF(AND($B$2=1,A9&gt;=Premissas!$C$23),Premissas!$C$22,0)</f>
        <v/>
      </c>
      <c r="E9">
        <f>B9*Premissas!$C$28</f>
        <v/>
      </c>
      <c r="F9">
        <f>B9*Premissas!$C$13/12*MIN(1,A9/Premissas!$C$17)</f>
        <v/>
      </c>
      <c r="G9">
        <f>F9*Premissas!$C$14</f>
        <v/>
      </c>
      <c r="H9">
        <f>IF(IF(A9-1-Premissas!$C$16&gt;=0,OFFSET($J$4,A9-1-Premissas!$C$16,0),0)&gt;0,ROUND(IF(A9-1-Premissas!$C$16&gt;=0,OFFSET($J$4,A9-1-Premissas!$C$16,0),0)*10000/Premissas!$C$5*Premissas!$C$15,0),0)</f>
        <v/>
      </c>
      <c r="I9">
        <f>ROUND(G9*Premissas!$C$6/10000,0)</f>
        <v/>
      </c>
      <c r="J9">
        <f>ROUND(G9*Premissas!$C$5/10000,0)</f>
        <v/>
      </c>
      <c r="K9">
        <f>IF(IF(A9-1-Premissas!$C$16&gt;=0,OFFSET($A$4,A9-1-Premissas!$C$16,0)&gt;=Premissas!$C$19,FALSE),ROUND(IF(A9-1-Premissas!$C$16&gt;=0,OFFSET($J$4,A9-1-Premissas!$C$16,0),0)*Premissas!$C$15,0),0)</f>
        <v/>
      </c>
      <c r="L9">
        <f>ROUND(C9*Premissas!$C$24/12,0)</f>
        <v/>
      </c>
      <c r="M9">
        <f>ROUND(D9*Premissas!$C$25,0)</f>
        <v/>
      </c>
      <c r="N9">
        <f>ROUND(E9*Premissas!$C$29+B9*Premissas!$C$30,0)</f>
        <v/>
      </c>
      <c r="O9">
        <f>K9+L9+M9+N9</f>
        <v/>
      </c>
      <c r="P9">
        <f>K9+ROUND(AC9*Premissas!$C$24,0)+M9+N9</f>
        <v/>
      </c>
      <c r="Q9">
        <f>ROUND(IF(A9-1-Premissas!$C$21&gt;=0,OFFSET($P$4,A9-1-Premissas!$C$21,0),0)*(1-Premissas!$C$20/100),0)</f>
        <v/>
      </c>
      <c r="R9">
        <f>ROUND(F9*Premissas!$C$11+N9*Premissas!$C$31/100,0)+ROUND((E9+B9)*Premissas!$C$10,0)+ROUND(Q9*Premissas!$C$8/100,0)+ROUND(Premissas!$C$35+(B9+C9)*Premissas!$C$36,0)</f>
        <v/>
      </c>
      <c r="S9">
        <f>O9-R9</f>
        <v/>
      </c>
      <c r="T9">
        <f>ROUND(O9*Premissas!$C$9/100,0)</f>
        <v/>
      </c>
      <c r="U9">
        <f>ROUND(AB9*Premissas!$C$33,0)</f>
        <v/>
      </c>
      <c r="V9">
        <f>Premissas!$C$37+ROUND(Premissas!$C$12*Premissas!$C$38+D9*Premissas!$C$27,0)</f>
        <v/>
      </c>
      <c r="W9">
        <f>Premissas!$C$39</f>
        <v/>
      </c>
      <c r="X9">
        <f>S9-T9-ROUND(Premissas!$C$12*Premissas!$C$38+D9*Premissas!$C$27,0)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Premissas!$C$32+(B9+C9)/Premissas!$C$34</f>
        <v/>
      </c>
      <c r="AC9">
        <f>D9</f>
        <v/>
      </c>
    </row>
    <row r="10">
      <c r="A10" t="n">
        <v>7</v>
      </c>
      <c r="B10">
        <f>B9*(1-Premissas!$C$18/12)+Premissas!$C$12</f>
        <v/>
      </c>
      <c r="C10">
        <f>IF($B$2=1,C9*(1-Premissas!$C$26/12)+D10,0)</f>
        <v/>
      </c>
      <c r="D10">
        <f>IF(AND($B$2=1,A10&gt;=Premissas!$C$23),Premissas!$C$22,0)</f>
        <v/>
      </c>
      <c r="E10">
        <f>B10*Premissas!$C$28</f>
        <v/>
      </c>
      <c r="F10">
        <f>B10*Premissas!$C$13/12*MIN(1,A10/Premissas!$C$17)</f>
        <v/>
      </c>
      <c r="G10">
        <f>F10*Premissas!$C$14</f>
        <v/>
      </c>
      <c r="H10">
        <f>IF(IF(A10-1-Premissas!$C$16&gt;=0,OFFSET($J$4,A10-1-Premissas!$C$16,0),0)&gt;0,ROUND(IF(A10-1-Premissas!$C$16&gt;=0,OFFSET($J$4,A10-1-Premissas!$C$16,0),0)*10000/Premissas!$C$5*Premissas!$C$15,0),0)</f>
        <v/>
      </c>
      <c r="I10">
        <f>ROUND(G10*Premissas!$C$6/10000,0)</f>
        <v/>
      </c>
      <c r="J10">
        <f>ROUND(G10*Premissas!$C$5/10000,0)</f>
        <v/>
      </c>
      <c r="K10">
        <f>IF(IF(A10-1-Premissas!$C$16&gt;=0,OFFSET($A$4,A10-1-Premissas!$C$16,0)&gt;=Premissas!$C$19,FALSE),ROUND(IF(A10-1-Premissas!$C$16&gt;=0,OFFSET($J$4,A10-1-Premissas!$C$16,0),0)*Premissas!$C$15,0),0)</f>
        <v/>
      </c>
      <c r="L10">
        <f>ROUND(C10*Premissas!$C$24/12,0)</f>
        <v/>
      </c>
      <c r="M10">
        <f>ROUND(D10*Premissas!$C$25,0)</f>
        <v/>
      </c>
      <c r="N10">
        <f>ROUND(E10*Premissas!$C$29+B10*Premissas!$C$30,0)</f>
        <v/>
      </c>
      <c r="O10">
        <f>K10+L10+M10+N10</f>
        <v/>
      </c>
      <c r="P10">
        <f>K10+ROUND(AC10*Premissas!$C$24,0)+M10+N10</f>
        <v/>
      </c>
      <c r="Q10">
        <f>ROUND(IF(A10-1-Premissas!$C$21&gt;=0,OFFSET($P$4,A10-1-Premissas!$C$21,0),0)*(1-Premissas!$C$20/100),0)</f>
        <v/>
      </c>
      <c r="R10">
        <f>ROUND(F10*Premissas!$C$11+N10*Premissas!$C$31/100,0)+ROUND((E10+B10)*Premissas!$C$10,0)+ROUND(Q10*Premissas!$C$8/100,0)+ROUND(Premissas!$C$35+(B10+C10)*Premissas!$C$36,0)</f>
        <v/>
      </c>
      <c r="S10">
        <f>O10-R10</f>
        <v/>
      </c>
      <c r="T10">
        <f>ROUND(O10*Premissas!$C$9/100,0)</f>
        <v/>
      </c>
      <c r="U10">
        <f>ROUND(AB10*Premissas!$C$33,0)</f>
        <v/>
      </c>
      <c r="V10">
        <f>Premissas!$C$37+ROUND(Premissas!$C$12*Premissas!$C$38+D10*Premissas!$C$27,0)</f>
        <v/>
      </c>
      <c r="W10">
        <f>Premissas!$C$39</f>
        <v/>
      </c>
      <c r="X10">
        <f>S10-T10-ROUND(Premissas!$C$12*Premissas!$C$38+D10*Premissas!$C$27,0)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Premissas!$C$32+(B10+C10)/Premissas!$C$34</f>
        <v/>
      </c>
      <c r="AC10">
        <f>D10</f>
        <v/>
      </c>
    </row>
    <row r="11">
      <c r="A11" t="n">
        <v>8</v>
      </c>
      <c r="B11">
        <f>B10*(1-Premissas!$C$18/12)+Premissas!$C$12</f>
        <v/>
      </c>
      <c r="C11">
        <f>IF($B$2=1,C10*(1-Premissas!$C$26/12)+D11,0)</f>
        <v/>
      </c>
      <c r="D11">
        <f>IF(AND($B$2=1,A11&gt;=Premissas!$C$23),Premissas!$C$22,0)</f>
        <v/>
      </c>
      <c r="E11">
        <f>B11*Premissas!$C$28</f>
        <v/>
      </c>
      <c r="F11">
        <f>B11*Premissas!$C$13/12*MIN(1,A11/Premissas!$C$17)</f>
        <v/>
      </c>
      <c r="G11">
        <f>F11*Premissas!$C$14</f>
        <v/>
      </c>
      <c r="H11">
        <f>IF(IF(A11-1-Premissas!$C$16&gt;=0,OFFSET($J$4,A11-1-Premissas!$C$16,0),0)&gt;0,ROUND(IF(A11-1-Premissas!$C$16&gt;=0,OFFSET($J$4,A11-1-Premissas!$C$16,0),0)*10000/Premissas!$C$5*Premissas!$C$15,0),0)</f>
        <v/>
      </c>
      <c r="I11">
        <f>ROUND(G11*Premissas!$C$6/10000,0)</f>
        <v/>
      </c>
      <c r="J11">
        <f>ROUND(G11*Premissas!$C$5/10000,0)</f>
        <v/>
      </c>
      <c r="K11">
        <f>IF(IF(A11-1-Premissas!$C$16&gt;=0,OFFSET($A$4,A11-1-Premissas!$C$16,0)&gt;=Premissas!$C$19,FALSE),ROUND(IF(A11-1-Premissas!$C$16&gt;=0,OFFSET($J$4,A11-1-Premissas!$C$16,0),0)*Premissas!$C$15,0),0)</f>
        <v/>
      </c>
      <c r="L11">
        <f>ROUND(C11*Premissas!$C$24/12,0)</f>
        <v/>
      </c>
      <c r="M11">
        <f>ROUND(D11*Premissas!$C$25,0)</f>
        <v/>
      </c>
      <c r="N11">
        <f>ROUND(E11*Premissas!$C$29+B11*Premissas!$C$30,0)</f>
        <v/>
      </c>
      <c r="O11">
        <f>K11+L11+M11+N11</f>
        <v/>
      </c>
      <c r="P11">
        <f>K11+ROUND(AC11*Premissas!$C$24,0)+M11+N11</f>
        <v/>
      </c>
      <c r="Q11">
        <f>ROUND(IF(A11-1-Premissas!$C$21&gt;=0,OFFSET($P$4,A11-1-Premissas!$C$21,0),0)*(1-Premissas!$C$20/100),0)</f>
        <v/>
      </c>
      <c r="R11">
        <f>ROUND(F11*Premissas!$C$11+N11*Premissas!$C$31/100,0)+ROUND((E11+B11)*Premissas!$C$10,0)+ROUND(Q11*Premissas!$C$8/100,0)+ROUND(Premissas!$C$35+(B11+C11)*Premissas!$C$36,0)</f>
        <v/>
      </c>
      <c r="S11">
        <f>O11-R11</f>
        <v/>
      </c>
      <c r="T11">
        <f>ROUND(O11*Premissas!$C$9/100,0)</f>
        <v/>
      </c>
      <c r="U11">
        <f>ROUND(AB11*Premissas!$C$33,0)</f>
        <v/>
      </c>
      <c r="V11">
        <f>Premissas!$C$37+ROUND(Premissas!$C$12*Premissas!$C$38+D11*Premissas!$C$27,0)</f>
        <v/>
      </c>
      <c r="W11">
        <f>Premissas!$C$39</f>
        <v/>
      </c>
      <c r="X11">
        <f>S11-T11-ROUND(Premissas!$C$12*Premissas!$C$38+D11*Premissas!$C$27,0)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Premissas!$C$32+(B11+C11)/Premissas!$C$34</f>
        <v/>
      </c>
      <c r="AC11">
        <f>D11</f>
        <v/>
      </c>
    </row>
    <row r="12">
      <c r="A12" t="n">
        <v>9</v>
      </c>
      <c r="B12">
        <f>B11*(1-Premissas!$C$18/12)+Premissas!$C$12</f>
        <v/>
      </c>
      <c r="C12">
        <f>IF($B$2=1,C11*(1-Premissas!$C$26/12)+D12,0)</f>
        <v/>
      </c>
      <c r="D12">
        <f>IF(AND($B$2=1,A12&gt;=Premissas!$C$23),Premissas!$C$22,0)</f>
        <v/>
      </c>
      <c r="E12">
        <f>B12*Premissas!$C$28</f>
        <v/>
      </c>
      <c r="F12">
        <f>B12*Premissas!$C$13/12*MIN(1,A12/Premissas!$C$17)</f>
        <v/>
      </c>
      <c r="G12">
        <f>F12*Premissas!$C$14</f>
        <v/>
      </c>
      <c r="H12">
        <f>IF(IF(A12-1-Premissas!$C$16&gt;=0,OFFSET($J$4,A12-1-Premissas!$C$16,0),0)&gt;0,ROUND(IF(A12-1-Premissas!$C$16&gt;=0,OFFSET($J$4,A12-1-Premissas!$C$16,0),0)*10000/Premissas!$C$5*Premissas!$C$15,0),0)</f>
        <v/>
      </c>
      <c r="I12">
        <f>ROUND(G12*Premissas!$C$6/10000,0)</f>
        <v/>
      </c>
      <c r="J12">
        <f>ROUND(G12*Premissas!$C$5/10000,0)</f>
        <v/>
      </c>
      <c r="K12">
        <f>IF(IF(A12-1-Premissas!$C$16&gt;=0,OFFSET($A$4,A12-1-Premissas!$C$16,0)&gt;=Premissas!$C$19,FALSE),ROUND(IF(A12-1-Premissas!$C$16&gt;=0,OFFSET($J$4,A12-1-Premissas!$C$16,0),0)*Premissas!$C$15,0),0)</f>
        <v/>
      </c>
      <c r="L12">
        <f>ROUND(C12*Premissas!$C$24/12,0)</f>
        <v/>
      </c>
      <c r="M12">
        <f>ROUND(D12*Premissas!$C$25,0)</f>
        <v/>
      </c>
      <c r="N12">
        <f>ROUND(E12*Premissas!$C$29+B12*Premissas!$C$30,0)</f>
        <v/>
      </c>
      <c r="O12">
        <f>K12+L12+M12+N12</f>
        <v/>
      </c>
      <c r="P12">
        <f>K12+ROUND(AC12*Premissas!$C$24,0)+M12+N12</f>
        <v/>
      </c>
      <c r="Q12">
        <f>ROUND(IF(A12-1-Premissas!$C$21&gt;=0,OFFSET($P$4,A12-1-Premissas!$C$21,0),0)*(1-Premissas!$C$20/100),0)</f>
        <v/>
      </c>
      <c r="R12">
        <f>ROUND(F12*Premissas!$C$11+N12*Premissas!$C$31/100,0)+ROUND((E12+B12)*Premissas!$C$10,0)+ROUND(Q12*Premissas!$C$8/100,0)+ROUND(Premissas!$C$35+(B12+C12)*Premissas!$C$36,0)</f>
        <v/>
      </c>
      <c r="S12">
        <f>O12-R12</f>
        <v/>
      </c>
      <c r="T12">
        <f>ROUND(O12*Premissas!$C$9/100,0)</f>
        <v/>
      </c>
      <c r="U12">
        <f>ROUND(AB12*Premissas!$C$33,0)</f>
        <v/>
      </c>
      <c r="V12">
        <f>Premissas!$C$37+ROUND(Premissas!$C$12*Premissas!$C$38+D12*Premissas!$C$27,0)</f>
        <v/>
      </c>
      <c r="W12">
        <f>Premissas!$C$39</f>
        <v/>
      </c>
      <c r="X12">
        <f>S12-T12-ROUND(Premissas!$C$12*Premissas!$C$38+D12*Premissas!$C$27,0)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Premissas!$C$32+(B12+C12)/Premissas!$C$34</f>
        <v/>
      </c>
      <c r="AC12">
        <f>D12</f>
        <v/>
      </c>
    </row>
    <row r="13">
      <c r="A13" t="n">
        <v>10</v>
      </c>
      <c r="B13">
        <f>B12*(1-Premissas!$C$18/12)+Premissas!$C$12</f>
        <v/>
      </c>
      <c r="C13">
        <f>IF($B$2=1,C12*(1-Premissas!$C$26/12)+D13,0)</f>
        <v/>
      </c>
      <c r="D13">
        <f>IF(AND($B$2=1,A13&gt;=Premissas!$C$23),Premissas!$C$22,0)</f>
        <v/>
      </c>
      <c r="E13">
        <f>B13*Premissas!$C$28</f>
        <v/>
      </c>
      <c r="F13">
        <f>B13*Premissas!$C$13/12*MIN(1,A13/Premissas!$C$17)</f>
        <v/>
      </c>
      <c r="G13">
        <f>F13*Premissas!$C$14</f>
        <v/>
      </c>
      <c r="H13">
        <f>IF(IF(A13-1-Premissas!$C$16&gt;=0,OFFSET($J$4,A13-1-Premissas!$C$16,0),0)&gt;0,ROUND(IF(A13-1-Premissas!$C$16&gt;=0,OFFSET($J$4,A13-1-Premissas!$C$16,0),0)*10000/Premissas!$C$5*Premissas!$C$15,0),0)</f>
        <v/>
      </c>
      <c r="I13">
        <f>ROUND(G13*Premissas!$C$6/10000,0)</f>
        <v/>
      </c>
      <c r="J13">
        <f>ROUND(G13*Premissas!$C$5/10000,0)</f>
        <v/>
      </c>
      <c r="K13">
        <f>IF(IF(A13-1-Premissas!$C$16&gt;=0,OFFSET($A$4,A13-1-Premissas!$C$16,0)&gt;=Premissas!$C$19,FALSE),ROUND(IF(A13-1-Premissas!$C$16&gt;=0,OFFSET($J$4,A13-1-Premissas!$C$16,0),0)*Premissas!$C$15,0),0)</f>
        <v/>
      </c>
      <c r="L13">
        <f>ROUND(C13*Premissas!$C$24/12,0)</f>
        <v/>
      </c>
      <c r="M13">
        <f>ROUND(D13*Premissas!$C$25,0)</f>
        <v/>
      </c>
      <c r="N13">
        <f>ROUND(E13*Premissas!$C$29+B13*Premissas!$C$30,0)</f>
        <v/>
      </c>
      <c r="O13">
        <f>K13+L13+M13+N13</f>
        <v/>
      </c>
      <c r="P13">
        <f>K13+ROUND(AC13*Premissas!$C$24,0)+M13+N13</f>
        <v/>
      </c>
      <c r="Q13">
        <f>ROUND(IF(A13-1-Premissas!$C$21&gt;=0,OFFSET($P$4,A13-1-Premissas!$C$21,0),0)*(1-Premissas!$C$20/100),0)</f>
        <v/>
      </c>
      <c r="R13">
        <f>ROUND(F13*Premissas!$C$11+N13*Premissas!$C$31/100,0)+ROUND((E13+B13)*Premissas!$C$10,0)+ROUND(Q13*Premissas!$C$8/100,0)+ROUND(Premissas!$C$35+(B13+C13)*Premissas!$C$36,0)</f>
        <v/>
      </c>
      <c r="S13">
        <f>O13-R13</f>
        <v/>
      </c>
      <c r="T13">
        <f>ROUND(O13*Premissas!$C$9/100,0)</f>
        <v/>
      </c>
      <c r="U13">
        <f>ROUND(AB13*Premissas!$C$33,0)</f>
        <v/>
      </c>
      <c r="V13">
        <f>Premissas!$C$37+ROUND(Premissas!$C$12*Premissas!$C$38+D13*Premissas!$C$27,0)</f>
        <v/>
      </c>
      <c r="W13">
        <f>Premissas!$C$39</f>
        <v/>
      </c>
      <c r="X13">
        <f>S13-T13-ROUND(Premissas!$C$12*Premissas!$C$38+D13*Premissas!$C$27,0)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Premissas!$C$32+(B13+C13)/Premissas!$C$34</f>
        <v/>
      </c>
      <c r="AC13">
        <f>D13</f>
        <v/>
      </c>
    </row>
    <row r="14">
      <c r="A14" t="n">
        <v>11</v>
      </c>
      <c r="B14">
        <f>B13*(1-Premissas!$C$18/12)+Premissas!$C$12</f>
        <v/>
      </c>
      <c r="C14">
        <f>IF($B$2=1,C13*(1-Premissas!$C$26/12)+D14,0)</f>
        <v/>
      </c>
      <c r="D14">
        <f>IF(AND($B$2=1,A14&gt;=Premissas!$C$23),Premissas!$C$22,0)</f>
        <v/>
      </c>
      <c r="E14">
        <f>B14*Premissas!$C$28</f>
        <v/>
      </c>
      <c r="F14">
        <f>B14*Premissas!$C$13/12*MIN(1,A14/Premissas!$C$17)</f>
        <v/>
      </c>
      <c r="G14">
        <f>F14*Premissas!$C$14</f>
        <v/>
      </c>
      <c r="H14">
        <f>IF(IF(A14-1-Premissas!$C$16&gt;=0,OFFSET($J$4,A14-1-Premissas!$C$16,0),0)&gt;0,ROUND(IF(A14-1-Premissas!$C$16&gt;=0,OFFSET($J$4,A14-1-Premissas!$C$16,0),0)*10000/Premissas!$C$5*Premissas!$C$15,0),0)</f>
        <v/>
      </c>
      <c r="I14">
        <f>ROUND(G14*Premissas!$C$6/10000,0)</f>
        <v/>
      </c>
      <c r="J14">
        <f>ROUND(G14*Premissas!$C$5/10000,0)</f>
        <v/>
      </c>
      <c r="K14">
        <f>IF(IF(A14-1-Premissas!$C$16&gt;=0,OFFSET($A$4,A14-1-Premissas!$C$16,0)&gt;=Premissas!$C$19,FALSE),ROUND(IF(A14-1-Premissas!$C$16&gt;=0,OFFSET($J$4,A14-1-Premissas!$C$16,0),0)*Premissas!$C$15,0),0)</f>
        <v/>
      </c>
      <c r="L14">
        <f>ROUND(C14*Premissas!$C$24/12,0)</f>
        <v/>
      </c>
      <c r="M14">
        <f>ROUND(D14*Premissas!$C$25,0)</f>
        <v/>
      </c>
      <c r="N14">
        <f>ROUND(E14*Premissas!$C$29+B14*Premissas!$C$30,0)</f>
        <v/>
      </c>
      <c r="O14">
        <f>K14+L14+M14+N14</f>
        <v/>
      </c>
      <c r="P14">
        <f>K14+ROUND(AC14*Premissas!$C$24,0)+M14+N14</f>
        <v/>
      </c>
      <c r="Q14">
        <f>ROUND(IF(A14-1-Premissas!$C$21&gt;=0,OFFSET($P$4,A14-1-Premissas!$C$21,0),0)*(1-Premissas!$C$20/100),0)</f>
        <v/>
      </c>
      <c r="R14">
        <f>ROUND(F14*Premissas!$C$11+N14*Premissas!$C$31/100,0)+ROUND((E14+B14)*Premissas!$C$10,0)+ROUND(Q14*Premissas!$C$8/100,0)+ROUND(Premissas!$C$35+(B14+C14)*Premissas!$C$36,0)</f>
        <v/>
      </c>
      <c r="S14">
        <f>O14-R14</f>
        <v/>
      </c>
      <c r="T14">
        <f>ROUND(O14*Premissas!$C$9/100,0)</f>
        <v/>
      </c>
      <c r="U14">
        <f>ROUND(AB14*Premissas!$C$33,0)</f>
        <v/>
      </c>
      <c r="V14">
        <f>Premissas!$C$37+ROUND(Premissas!$C$12*Premissas!$C$38+D14*Premissas!$C$27,0)</f>
        <v/>
      </c>
      <c r="W14">
        <f>Premissas!$C$39</f>
        <v/>
      </c>
      <c r="X14">
        <f>S14-T14-ROUND(Premissas!$C$12*Premissas!$C$38+D14*Premissas!$C$27,0)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Premissas!$C$32+(B14+C14)/Premissas!$C$34</f>
        <v/>
      </c>
      <c r="AC14">
        <f>D14</f>
        <v/>
      </c>
    </row>
    <row r="15">
      <c r="A15" t="n">
        <v>12</v>
      </c>
      <c r="B15">
        <f>B14*(1-Premissas!$C$18/12)+Premissas!$C$12</f>
        <v/>
      </c>
      <c r="C15">
        <f>IF($B$2=1,C14*(1-Premissas!$C$26/12)+D15,0)</f>
        <v/>
      </c>
      <c r="D15">
        <f>IF(AND($B$2=1,A15&gt;=Premissas!$C$23),Premissas!$C$22,0)</f>
        <v/>
      </c>
      <c r="E15">
        <f>B15*Premissas!$C$28</f>
        <v/>
      </c>
      <c r="F15">
        <f>B15*Premissas!$C$13/12*MIN(1,A15/Premissas!$C$17)</f>
        <v/>
      </c>
      <c r="G15">
        <f>F15*Premissas!$C$14</f>
        <v/>
      </c>
      <c r="H15">
        <f>IF(IF(A15-1-Premissas!$C$16&gt;=0,OFFSET($J$4,A15-1-Premissas!$C$16,0),0)&gt;0,ROUND(IF(A15-1-Premissas!$C$16&gt;=0,OFFSET($J$4,A15-1-Premissas!$C$16,0),0)*10000/Premissas!$C$5*Premissas!$C$15,0),0)</f>
        <v/>
      </c>
      <c r="I15">
        <f>ROUND(G15*Premissas!$C$6/10000,0)</f>
        <v/>
      </c>
      <c r="J15">
        <f>ROUND(G15*Premissas!$C$5/10000,0)</f>
        <v/>
      </c>
      <c r="K15">
        <f>IF(IF(A15-1-Premissas!$C$16&gt;=0,OFFSET($A$4,A15-1-Premissas!$C$16,0)&gt;=Premissas!$C$19,FALSE),ROUND(IF(A15-1-Premissas!$C$16&gt;=0,OFFSET($J$4,A15-1-Premissas!$C$16,0),0)*Premissas!$C$15,0),0)</f>
        <v/>
      </c>
      <c r="L15">
        <f>ROUND(C15*Premissas!$C$24/12,0)</f>
        <v/>
      </c>
      <c r="M15">
        <f>ROUND(D15*Premissas!$C$25,0)</f>
        <v/>
      </c>
      <c r="N15">
        <f>ROUND(E15*Premissas!$C$29+B15*Premissas!$C$30,0)</f>
        <v/>
      </c>
      <c r="O15">
        <f>K15+L15+M15+N15</f>
        <v/>
      </c>
      <c r="P15">
        <f>K15+ROUND(AC15*Premissas!$C$24,0)+M15+N15</f>
        <v/>
      </c>
      <c r="Q15">
        <f>ROUND(IF(A15-1-Premissas!$C$21&gt;=0,OFFSET($P$4,A15-1-Premissas!$C$21,0),0)*(1-Premissas!$C$20/100),0)</f>
        <v/>
      </c>
      <c r="R15">
        <f>ROUND(F15*Premissas!$C$11+N15*Premissas!$C$31/100,0)+ROUND((E15+B15)*Premissas!$C$10,0)+ROUND(Q15*Premissas!$C$8/100,0)+ROUND(Premissas!$C$35+(B15+C15)*Premissas!$C$36,0)</f>
        <v/>
      </c>
      <c r="S15">
        <f>O15-R15</f>
        <v/>
      </c>
      <c r="T15">
        <f>ROUND(O15*Premissas!$C$9/100,0)</f>
        <v/>
      </c>
      <c r="U15">
        <f>ROUND(AB15*Premissas!$C$33,0)</f>
        <v/>
      </c>
      <c r="V15">
        <f>Premissas!$C$37+ROUND(Premissas!$C$12*Premissas!$C$38+D15*Premissas!$C$27,0)</f>
        <v/>
      </c>
      <c r="W15">
        <f>Premissas!$C$39</f>
        <v/>
      </c>
      <c r="X15">
        <f>S15-T15-ROUND(Premissas!$C$12*Premissas!$C$38+D15*Premissas!$C$27,0)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Premissas!$C$32+(B15+C15)/Premissas!$C$34</f>
        <v/>
      </c>
      <c r="AC15">
        <f>D15</f>
        <v/>
      </c>
    </row>
    <row r="16">
      <c r="A16" t="n">
        <v>13</v>
      </c>
      <c r="B16">
        <f>B15*(1-Premissas!$C$18/12)+Premissas!$C$12</f>
        <v/>
      </c>
      <c r="C16">
        <f>IF($B$2=1,C15*(1-Premissas!$C$26/12)+D16,0)</f>
        <v/>
      </c>
      <c r="D16">
        <f>IF(AND($B$2=1,A16&gt;=Premissas!$C$23),Premissas!$C$22,0)</f>
        <v/>
      </c>
      <c r="E16">
        <f>B16*Premissas!$C$28</f>
        <v/>
      </c>
      <c r="F16">
        <f>B16*Premissas!$C$13/12*MIN(1,A16/Premissas!$C$17)</f>
        <v/>
      </c>
      <c r="G16">
        <f>F16*Premissas!$C$14</f>
        <v/>
      </c>
      <c r="H16">
        <f>IF(IF(A16-1-Premissas!$C$16&gt;=0,OFFSET($J$4,A16-1-Premissas!$C$16,0),0)&gt;0,ROUND(IF(A16-1-Premissas!$C$16&gt;=0,OFFSET($J$4,A16-1-Premissas!$C$16,0),0)*10000/Premissas!$C$5*Premissas!$C$15,0),0)</f>
        <v/>
      </c>
      <c r="I16">
        <f>ROUND(G16*Premissas!$C$6/10000,0)</f>
        <v/>
      </c>
      <c r="J16">
        <f>ROUND(G16*Premissas!$C$5/10000,0)</f>
        <v/>
      </c>
      <c r="K16">
        <f>IF(IF(A16-1-Premissas!$C$16&gt;=0,OFFSET($A$4,A16-1-Premissas!$C$16,0)&gt;=Premissas!$C$19,FALSE),ROUND(IF(A16-1-Premissas!$C$16&gt;=0,OFFSET($J$4,A16-1-Premissas!$C$16,0),0)*Premissas!$C$15,0),0)</f>
        <v/>
      </c>
      <c r="L16">
        <f>ROUND(C16*Premissas!$C$24/12,0)</f>
        <v/>
      </c>
      <c r="M16">
        <f>ROUND(D16*Premissas!$C$25,0)</f>
        <v/>
      </c>
      <c r="N16">
        <f>ROUND(E16*Premissas!$C$29+B16*Premissas!$C$30,0)</f>
        <v/>
      </c>
      <c r="O16">
        <f>K16+L16+M16+N16</f>
        <v/>
      </c>
      <c r="P16">
        <f>K16+ROUND(AC16*Premissas!$C$24,0)+M16+N16</f>
        <v/>
      </c>
      <c r="Q16">
        <f>ROUND(IF(A16-1-Premissas!$C$21&gt;=0,OFFSET($P$4,A16-1-Premissas!$C$21,0),0)*(1-Premissas!$C$20/100),0)</f>
        <v/>
      </c>
      <c r="R16">
        <f>ROUND(F16*Premissas!$C$11+N16*Premissas!$C$31/100,0)+ROUND((E16+B16)*Premissas!$C$10,0)+ROUND(Q16*Premissas!$C$8/100,0)+ROUND(Premissas!$C$35+(B16+C16)*Premissas!$C$36,0)</f>
        <v/>
      </c>
      <c r="S16">
        <f>O16-R16</f>
        <v/>
      </c>
      <c r="T16">
        <f>ROUND(O16*Premissas!$C$9/100,0)</f>
        <v/>
      </c>
      <c r="U16">
        <f>ROUND(AB16*Premissas!$C$33,0)</f>
        <v/>
      </c>
      <c r="V16">
        <f>Premissas!$C$37+ROUND(Premissas!$C$12*Premissas!$C$38+D16*Premissas!$C$27,0)</f>
        <v/>
      </c>
      <c r="W16">
        <f>Premissas!$C$39</f>
        <v/>
      </c>
      <c r="X16">
        <f>S16-T16-ROUND(Premissas!$C$12*Premissas!$C$38+D16*Premissas!$C$27,0)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Premissas!$C$32+(B16+C16)/Premissas!$C$34</f>
        <v/>
      </c>
      <c r="AC16">
        <f>D16+AC4*(1-Premissas!$C$26/12)^12</f>
        <v/>
      </c>
    </row>
    <row r="17">
      <c r="A17" t="n">
        <v>14</v>
      </c>
      <c r="B17">
        <f>B16*(1-Premissas!$C$18/12)+Premissas!$C$12</f>
        <v/>
      </c>
      <c r="C17">
        <f>IF($B$2=1,C16*(1-Premissas!$C$26/12)+D17,0)</f>
        <v/>
      </c>
      <c r="D17">
        <f>IF(AND($B$2=1,A17&gt;=Premissas!$C$23),Premissas!$C$22,0)</f>
        <v/>
      </c>
      <c r="E17">
        <f>B17*Premissas!$C$28</f>
        <v/>
      </c>
      <c r="F17">
        <f>B17*Premissas!$C$13/12*MIN(1,A17/Premissas!$C$17)</f>
        <v/>
      </c>
      <c r="G17">
        <f>F17*Premissas!$C$14</f>
        <v/>
      </c>
      <c r="H17">
        <f>IF(IF(A17-1-Premissas!$C$16&gt;=0,OFFSET($J$4,A17-1-Premissas!$C$16,0),0)&gt;0,ROUND(IF(A17-1-Premissas!$C$16&gt;=0,OFFSET($J$4,A17-1-Premissas!$C$16,0),0)*10000/Premissas!$C$5*Premissas!$C$15,0),0)</f>
        <v/>
      </c>
      <c r="I17">
        <f>ROUND(G17*Premissas!$C$6/10000,0)</f>
        <v/>
      </c>
      <c r="J17">
        <f>ROUND(G17*Premissas!$C$5/10000,0)</f>
        <v/>
      </c>
      <c r="K17">
        <f>IF(IF(A17-1-Premissas!$C$16&gt;=0,OFFSET($A$4,A17-1-Premissas!$C$16,0)&gt;=Premissas!$C$19,FALSE),ROUND(IF(A17-1-Premissas!$C$16&gt;=0,OFFSET($J$4,A17-1-Premissas!$C$16,0),0)*Premissas!$C$15,0),0)</f>
        <v/>
      </c>
      <c r="L17">
        <f>ROUND(C17*Premissas!$C$24/12,0)</f>
        <v/>
      </c>
      <c r="M17">
        <f>ROUND(D17*Premissas!$C$25,0)</f>
        <v/>
      </c>
      <c r="N17">
        <f>ROUND(E17*Premissas!$C$29+B17*Premissas!$C$30,0)</f>
        <v/>
      </c>
      <c r="O17">
        <f>K17+L17+M17+N17</f>
        <v/>
      </c>
      <c r="P17">
        <f>K17+ROUND(AC17*Premissas!$C$24,0)+M17+N17</f>
        <v/>
      </c>
      <c r="Q17">
        <f>ROUND(IF(A17-1-Premissas!$C$21&gt;=0,OFFSET($P$4,A17-1-Premissas!$C$21,0),0)*(1-Premissas!$C$20/100),0)</f>
        <v/>
      </c>
      <c r="R17">
        <f>ROUND(F17*Premissas!$C$11+N17*Premissas!$C$31/100,0)+ROUND((E17+B17)*Premissas!$C$10,0)+ROUND(Q17*Premissas!$C$8/100,0)+ROUND(Premissas!$C$35+(B17+C17)*Premissas!$C$36,0)</f>
        <v/>
      </c>
      <c r="S17">
        <f>O17-R17</f>
        <v/>
      </c>
      <c r="T17">
        <f>ROUND(O17*Premissas!$C$9/100,0)</f>
        <v/>
      </c>
      <c r="U17">
        <f>ROUND(AB17*Premissas!$C$33,0)</f>
        <v/>
      </c>
      <c r="V17">
        <f>Premissas!$C$37+ROUND(Premissas!$C$12*Premissas!$C$38+D17*Premissas!$C$27,0)</f>
        <v/>
      </c>
      <c r="W17">
        <f>Premissas!$C$39</f>
        <v/>
      </c>
      <c r="X17">
        <f>S17-T17-ROUND(Premissas!$C$12*Premissas!$C$38+D17*Premissas!$C$27,0)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Premissas!$C$32+(B17+C17)/Premissas!$C$34</f>
        <v/>
      </c>
      <c r="AC17">
        <f>D17+AC5*(1-Premissas!$C$26/12)^12</f>
        <v/>
      </c>
    </row>
    <row r="18">
      <c r="A18" t="n">
        <v>15</v>
      </c>
      <c r="B18">
        <f>B17*(1-Premissas!$C$18/12)+Premissas!$C$12</f>
        <v/>
      </c>
      <c r="C18">
        <f>IF($B$2=1,C17*(1-Premissas!$C$26/12)+D18,0)</f>
        <v/>
      </c>
      <c r="D18">
        <f>IF(AND($B$2=1,A18&gt;=Premissas!$C$23),Premissas!$C$22,0)</f>
        <v/>
      </c>
      <c r="E18">
        <f>B18*Premissas!$C$28</f>
        <v/>
      </c>
      <c r="F18">
        <f>B18*Premissas!$C$13/12*MIN(1,A18/Premissas!$C$17)</f>
        <v/>
      </c>
      <c r="G18">
        <f>F18*Premissas!$C$14</f>
        <v/>
      </c>
      <c r="H18">
        <f>IF(IF(A18-1-Premissas!$C$16&gt;=0,OFFSET($J$4,A18-1-Premissas!$C$16,0),0)&gt;0,ROUND(IF(A18-1-Premissas!$C$16&gt;=0,OFFSET($J$4,A18-1-Premissas!$C$16,0),0)*10000/Premissas!$C$5*Premissas!$C$15,0),0)</f>
        <v/>
      </c>
      <c r="I18">
        <f>ROUND(G18*Premissas!$C$6/10000,0)</f>
        <v/>
      </c>
      <c r="J18">
        <f>ROUND(G18*Premissas!$C$5/10000,0)</f>
        <v/>
      </c>
      <c r="K18">
        <f>IF(IF(A18-1-Premissas!$C$16&gt;=0,OFFSET($A$4,A18-1-Premissas!$C$16,0)&gt;=Premissas!$C$19,FALSE),ROUND(IF(A18-1-Premissas!$C$16&gt;=0,OFFSET($J$4,A18-1-Premissas!$C$16,0),0)*Premissas!$C$15,0),0)</f>
        <v/>
      </c>
      <c r="L18">
        <f>ROUND(C18*Premissas!$C$24/12,0)</f>
        <v/>
      </c>
      <c r="M18">
        <f>ROUND(D18*Premissas!$C$25,0)</f>
        <v/>
      </c>
      <c r="N18">
        <f>ROUND(E18*Premissas!$C$29+B18*Premissas!$C$30,0)</f>
        <v/>
      </c>
      <c r="O18">
        <f>K18+L18+M18+N18</f>
        <v/>
      </c>
      <c r="P18">
        <f>K18+ROUND(AC18*Premissas!$C$24,0)+M18+N18</f>
        <v/>
      </c>
      <c r="Q18">
        <f>ROUND(IF(A18-1-Premissas!$C$21&gt;=0,OFFSET($P$4,A18-1-Premissas!$C$21,0),0)*(1-Premissas!$C$20/100),0)</f>
        <v/>
      </c>
      <c r="R18">
        <f>ROUND(F18*Premissas!$C$11+N18*Premissas!$C$31/100,0)+ROUND((E18+B18)*Premissas!$C$10,0)+ROUND(Q18*Premissas!$C$8/100,0)+ROUND(Premissas!$C$35+(B18+C18)*Premissas!$C$36,0)</f>
        <v/>
      </c>
      <c r="S18">
        <f>O18-R18</f>
        <v/>
      </c>
      <c r="T18">
        <f>ROUND(O18*Premissas!$C$9/100,0)</f>
        <v/>
      </c>
      <c r="U18">
        <f>ROUND(AB18*Premissas!$C$33,0)</f>
        <v/>
      </c>
      <c r="V18">
        <f>Premissas!$C$37+ROUND(Premissas!$C$12*Premissas!$C$38+D18*Premissas!$C$27,0)</f>
        <v/>
      </c>
      <c r="W18">
        <f>Premissas!$C$39</f>
        <v/>
      </c>
      <c r="X18">
        <f>S18-T18-ROUND(Premissas!$C$12*Premissas!$C$38+D18*Premissas!$C$27,0)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Premissas!$C$32+(B18+C18)/Premissas!$C$34</f>
        <v/>
      </c>
      <c r="AC18">
        <f>D18+AC6*(1-Premissas!$C$26/12)^12</f>
        <v/>
      </c>
    </row>
    <row r="19">
      <c r="A19" t="n">
        <v>16</v>
      </c>
      <c r="B19">
        <f>B18*(1-Premissas!$C$18/12)+Premissas!$C$12</f>
        <v/>
      </c>
      <c r="C19">
        <f>IF($B$2=1,C18*(1-Premissas!$C$26/12)+D19,0)</f>
        <v/>
      </c>
      <c r="D19">
        <f>IF(AND($B$2=1,A19&gt;=Premissas!$C$23),Premissas!$C$22,0)</f>
        <v/>
      </c>
      <c r="E19">
        <f>B19*Premissas!$C$28</f>
        <v/>
      </c>
      <c r="F19">
        <f>B19*Premissas!$C$13/12*MIN(1,A19/Premissas!$C$17)</f>
        <v/>
      </c>
      <c r="G19">
        <f>F19*Premissas!$C$14</f>
        <v/>
      </c>
      <c r="H19">
        <f>IF(IF(A19-1-Premissas!$C$16&gt;=0,OFFSET($J$4,A19-1-Premissas!$C$16,0),0)&gt;0,ROUND(IF(A19-1-Premissas!$C$16&gt;=0,OFFSET($J$4,A19-1-Premissas!$C$16,0),0)*10000/Premissas!$C$5*Premissas!$C$15,0),0)</f>
        <v/>
      </c>
      <c r="I19">
        <f>ROUND(G19*Premissas!$C$6/10000,0)</f>
        <v/>
      </c>
      <c r="J19">
        <f>ROUND(G19*Premissas!$C$5/10000,0)</f>
        <v/>
      </c>
      <c r="K19">
        <f>IF(IF(A19-1-Premissas!$C$16&gt;=0,OFFSET($A$4,A19-1-Premissas!$C$16,0)&gt;=Premissas!$C$19,FALSE),ROUND(IF(A19-1-Premissas!$C$16&gt;=0,OFFSET($J$4,A19-1-Premissas!$C$16,0),0)*Premissas!$C$15,0),0)</f>
        <v/>
      </c>
      <c r="L19">
        <f>ROUND(C19*Premissas!$C$24/12,0)</f>
        <v/>
      </c>
      <c r="M19">
        <f>ROUND(D19*Premissas!$C$25,0)</f>
        <v/>
      </c>
      <c r="N19">
        <f>ROUND(E19*Premissas!$C$29+B19*Premissas!$C$30,0)</f>
        <v/>
      </c>
      <c r="O19">
        <f>K19+L19+M19+N19</f>
        <v/>
      </c>
      <c r="P19">
        <f>K19+ROUND(AC19*Premissas!$C$24,0)+M19+N19</f>
        <v/>
      </c>
      <c r="Q19">
        <f>ROUND(IF(A19-1-Premissas!$C$21&gt;=0,OFFSET($P$4,A19-1-Premissas!$C$21,0),0)*(1-Premissas!$C$20/100),0)</f>
        <v/>
      </c>
      <c r="R19">
        <f>ROUND(F19*Premissas!$C$11+N19*Premissas!$C$31/100,0)+ROUND((E19+B19)*Premissas!$C$10,0)+ROUND(Q19*Premissas!$C$8/100,0)+ROUND(Premissas!$C$35+(B19+C19)*Premissas!$C$36,0)</f>
        <v/>
      </c>
      <c r="S19">
        <f>O19-R19</f>
        <v/>
      </c>
      <c r="T19">
        <f>ROUND(O19*Premissas!$C$9/100,0)</f>
        <v/>
      </c>
      <c r="U19">
        <f>ROUND(AB19*Premissas!$C$33,0)</f>
        <v/>
      </c>
      <c r="V19">
        <f>Premissas!$C$37+ROUND(Premissas!$C$12*Premissas!$C$38+D19*Premissas!$C$27,0)</f>
        <v/>
      </c>
      <c r="W19">
        <f>Premissas!$C$39</f>
        <v/>
      </c>
      <c r="X19">
        <f>S19-T19-ROUND(Premissas!$C$12*Premissas!$C$38+D19*Premissas!$C$27,0)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Premissas!$C$32+(B19+C19)/Premissas!$C$34</f>
        <v/>
      </c>
      <c r="AC19">
        <f>D19+AC7*(1-Premissas!$C$26/12)^12</f>
        <v/>
      </c>
    </row>
    <row r="20">
      <c r="A20" t="n">
        <v>17</v>
      </c>
      <c r="B20">
        <f>B19*(1-Premissas!$C$18/12)+Premissas!$C$12</f>
        <v/>
      </c>
      <c r="C20">
        <f>IF($B$2=1,C19*(1-Premissas!$C$26/12)+D20,0)</f>
        <v/>
      </c>
      <c r="D20">
        <f>IF(AND($B$2=1,A20&gt;=Premissas!$C$23),Premissas!$C$22,0)</f>
        <v/>
      </c>
      <c r="E20">
        <f>B20*Premissas!$C$28</f>
        <v/>
      </c>
      <c r="F20">
        <f>B20*Premissas!$C$13/12*MIN(1,A20/Premissas!$C$17)</f>
        <v/>
      </c>
      <c r="G20">
        <f>F20*Premissas!$C$14</f>
        <v/>
      </c>
      <c r="H20">
        <f>IF(IF(A20-1-Premissas!$C$16&gt;=0,OFFSET($J$4,A20-1-Premissas!$C$16,0),0)&gt;0,ROUND(IF(A20-1-Premissas!$C$16&gt;=0,OFFSET($J$4,A20-1-Premissas!$C$16,0),0)*10000/Premissas!$C$5*Premissas!$C$15,0),0)</f>
        <v/>
      </c>
      <c r="I20">
        <f>ROUND(G20*Premissas!$C$6/10000,0)</f>
        <v/>
      </c>
      <c r="J20">
        <f>ROUND(G20*Premissas!$C$5/10000,0)</f>
        <v/>
      </c>
      <c r="K20">
        <f>IF(IF(A20-1-Premissas!$C$16&gt;=0,OFFSET($A$4,A20-1-Premissas!$C$16,0)&gt;=Premissas!$C$19,FALSE),ROUND(IF(A20-1-Premissas!$C$16&gt;=0,OFFSET($J$4,A20-1-Premissas!$C$16,0),0)*Premissas!$C$15,0),0)</f>
        <v/>
      </c>
      <c r="L20">
        <f>ROUND(C20*Premissas!$C$24/12,0)</f>
        <v/>
      </c>
      <c r="M20">
        <f>ROUND(D20*Premissas!$C$25,0)</f>
        <v/>
      </c>
      <c r="N20">
        <f>ROUND(E20*Premissas!$C$29+B20*Premissas!$C$30,0)</f>
        <v/>
      </c>
      <c r="O20">
        <f>K20+L20+M20+N20</f>
        <v/>
      </c>
      <c r="P20">
        <f>K20+ROUND(AC20*Premissas!$C$24,0)+M20+N20</f>
        <v/>
      </c>
      <c r="Q20">
        <f>ROUND(IF(A20-1-Premissas!$C$21&gt;=0,OFFSET($P$4,A20-1-Premissas!$C$21,0),0)*(1-Premissas!$C$20/100),0)</f>
        <v/>
      </c>
      <c r="R20">
        <f>ROUND(F20*Premissas!$C$11+N20*Premissas!$C$31/100,0)+ROUND((E20+B20)*Premissas!$C$10,0)+ROUND(Q20*Premissas!$C$8/100,0)+ROUND(Premissas!$C$35+(B20+C20)*Premissas!$C$36,0)</f>
        <v/>
      </c>
      <c r="S20">
        <f>O20-R20</f>
        <v/>
      </c>
      <c r="T20">
        <f>ROUND(O20*Premissas!$C$9/100,0)</f>
        <v/>
      </c>
      <c r="U20">
        <f>ROUND(AB20*Premissas!$C$33,0)</f>
        <v/>
      </c>
      <c r="V20">
        <f>Premissas!$C$37+ROUND(Premissas!$C$12*Premissas!$C$38+D20*Premissas!$C$27,0)</f>
        <v/>
      </c>
      <c r="W20">
        <f>Premissas!$C$39</f>
        <v/>
      </c>
      <c r="X20">
        <f>S20-T20-ROUND(Premissas!$C$12*Premissas!$C$38+D20*Premissas!$C$27,0)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Premissas!$C$32+(B20+C20)/Premissas!$C$34</f>
        <v/>
      </c>
      <c r="AC20">
        <f>D20+AC8*(1-Premissas!$C$26/12)^12</f>
        <v/>
      </c>
    </row>
    <row r="21">
      <c r="A21" t="n">
        <v>18</v>
      </c>
      <c r="B21">
        <f>B20*(1-Premissas!$C$18/12)+Premissas!$C$12</f>
        <v/>
      </c>
      <c r="C21">
        <f>IF($B$2=1,C20*(1-Premissas!$C$26/12)+D21,0)</f>
        <v/>
      </c>
      <c r="D21">
        <f>IF(AND($B$2=1,A21&gt;=Premissas!$C$23),Premissas!$C$22,0)</f>
        <v/>
      </c>
      <c r="E21">
        <f>B21*Premissas!$C$28</f>
        <v/>
      </c>
      <c r="F21">
        <f>B21*Premissas!$C$13/12*MIN(1,A21/Premissas!$C$17)</f>
        <v/>
      </c>
      <c r="G21">
        <f>F21*Premissas!$C$14</f>
        <v/>
      </c>
      <c r="H21">
        <f>IF(IF(A21-1-Premissas!$C$16&gt;=0,OFFSET($J$4,A21-1-Premissas!$C$16,0),0)&gt;0,ROUND(IF(A21-1-Premissas!$C$16&gt;=0,OFFSET($J$4,A21-1-Premissas!$C$16,0),0)*10000/Premissas!$C$5*Premissas!$C$15,0),0)</f>
        <v/>
      </c>
      <c r="I21">
        <f>ROUND(G21*Premissas!$C$6/10000,0)</f>
        <v/>
      </c>
      <c r="J21">
        <f>ROUND(G21*Premissas!$C$5/10000,0)</f>
        <v/>
      </c>
      <c r="K21">
        <f>IF(IF(A21-1-Premissas!$C$16&gt;=0,OFFSET($A$4,A21-1-Premissas!$C$16,0)&gt;=Premissas!$C$19,FALSE),ROUND(IF(A21-1-Premissas!$C$16&gt;=0,OFFSET($J$4,A21-1-Premissas!$C$16,0),0)*Premissas!$C$15,0),0)</f>
        <v/>
      </c>
      <c r="L21">
        <f>ROUND(C21*Premissas!$C$24/12,0)</f>
        <v/>
      </c>
      <c r="M21">
        <f>ROUND(D21*Premissas!$C$25,0)</f>
        <v/>
      </c>
      <c r="N21">
        <f>ROUND(E21*Premissas!$C$29+B21*Premissas!$C$30,0)</f>
        <v/>
      </c>
      <c r="O21">
        <f>K21+L21+M21+N21</f>
        <v/>
      </c>
      <c r="P21">
        <f>K21+ROUND(AC21*Premissas!$C$24,0)+M21+N21</f>
        <v/>
      </c>
      <c r="Q21">
        <f>ROUND(IF(A21-1-Premissas!$C$21&gt;=0,OFFSET($P$4,A21-1-Premissas!$C$21,0),0)*(1-Premissas!$C$20/100),0)</f>
        <v/>
      </c>
      <c r="R21">
        <f>ROUND(F21*Premissas!$C$11+N21*Premissas!$C$31/100,0)+ROUND((E21+B21)*Premissas!$C$10,0)+ROUND(Q21*Premissas!$C$8/100,0)+ROUND(Premissas!$C$35+(B21+C21)*Premissas!$C$36,0)</f>
        <v/>
      </c>
      <c r="S21">
        <f>O21-R21</f>
        <v/>
      </c>
      <c r="T21">
        <f>ROUND(O21*Premissas!$C$9/100,0)</f>
        <v/>
      </c>
      <c r="U21">
        <f>ROUND(AB21*Premissas!$C$33,0)</f>
        <v/>
      </c>
      <c r="V21">
        <f>Premissas!$C$37+ROUND(Premissas!$C$12*Premissas!$C$38+D21*Premissas!$C$27,0)</f>
        <v/>
      </c>
      <c r="W21">
        <f>Premissas!$C$39</f>
        <v/>
      </c>
      <c r="X21">
        <f>S21-T21-ROUND(Premissas!$C$12*Premissas!$C$38+D21*Premissas!$C$27,0)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Premissas!$C$32+(B21+C21)/Premissas!$C$34</f>
        <v/>
      </c>
      <c r="AC21">
        <f>D21+AC9*(1-Premissas!$C$26/12)^12</f>
        <v/>
      </c>
    </row>
    <row r="22">
      <c r="A22" t="n">
        <v>19</v>
      </c>
      <c r="B22">
        <f>B21*(1-Premissas!$C$18/12)+Premissas!$C$12</f>
        <v/>
      </c>
      <c r="C22">
        <f>IF($B$2=1,C21*(1-Premissas!$C$26/12)+D22,0)</f>
        <v/>
      </c>
      <c r="D22">
        <f>IF(AND($B$2=1,A22&gt;=Premissas!$C$23),Premissas!$C$22,0)</f>
        <v/>
      </c>
      <c r="E22">
        <f>B22*Premissas!$C$28</f>
        <v/>
      </c>
      <c r="F22">
        <f>B22*Premissas!$C$13/12*MIN(1,A22/Premissas!$C$17)</f>
        <v/>
      </c>
      <c r="G22">
        <f>F22*Premissas!$C$14</f>
        <v/>
      </c>
      <c r="H22">
        <f>IF(IF(A22-1-Premissas!$C$16&gt;=0,OFFSET($J$4,A22-1-Premissas!$C$16,0),0)&gt;0,ROUND(IF(A22-1-Premissas!$C$16&gt;=0,OFFSET($J$4,A22-1-Premissas!$C$16,0),0)*10000/Premissas!$C$5*Premissas!$C$15,0),0)</f>
        <v/>
      </c>
      <c r="I22">
        <f>ROUND(G22*Premissas!$C$6/10000,0)</f>
        <v/>
      </c>
      <c r="J22">
        <f>ROUND(G22*Premissas!$C$5/10000,0)</f>
        <v/>
      </c>
      <c r="K22">
        <f>IF(IF(A22-1-Premissas!$C$16&gt;=0,OFFSET($A$4,A22-1-Premissas!$C$16,0)&gt;=Premissas!$C$19,FALSE),ROUND(IF(A22-1-Premissas!$C$16&gt;=0,OFFSET($J$4,A22-1-Premissas!$C$16,0),0)*Premissas!$C$15,0),0)</f>
        <v/>
      </c>
      <c r="L22">
        <f>ROUND(C22*Premissas!$C$24/12,0)</f>
        <v/>
      </c>
      <c r="M22">
        <f>ROUND(D22*Premissas!$C$25,0)</f>
        <v/>
      </c>
      <c r="N22">
        <f>ROUND(E22*Premissas!$C$29+B22*Premissas!$C$30,0)</f>
        <v/>
      </c>
      <c r="O22">
        <f>K22+L22+M22+N22</f>
        <v/>
      </c>
      <c r="P22">
        <f>K22+ROUND(AC22*Premissas!$C$24,0)+M22+N22</f>
        <v/>
      </c>
      <c r="Q22">
        <f>ROUND(IF(A22-1-Premissas!$C$21&gt;=0,OFFSET($P$4,A22-1-Premissas!$C$21,0),0)*(1-Premissas!$C$20/100),0)</f>
        <v/>
      </c>
      <c r="R22">
        <f>ROUND(F22*Premissas!$C$11+N22*Premissas!$C$31/100,0)+ROUND((E22+B22)*Premissas!$C$10,0)+ROUND(Q22*Premissas!$C$8/100,0)+ROUND(Premissas!$C$35+(B22+C22)*Premissas!$C$36,0)</f>
        <v/>
      </c>
      <c r="S22">
        <f>O22-R22</f>
        <v/>
      </c>
      <c r="T22">
        <f>ROUND(O22*Premissas!$C$9/100,0)</f>
        <v/>
      </c>
      <c r="U22">
        <f>ROUND(AB22*Premissas!$C$33,0)</f>
        <v/>
      </c>
      <c r="V22">
        <f>Premissas!$C$37+ROUND(Premissas!$C$12*Premissas!$C$38+D22*Premissas!$C$27,0)</f>
        <v/>
      </c>
      <c r="W22">
        <f>Premissas!$C$39</f>
        <v/>
      </c>
      <c r="X22">
        <f>S22-T22-ROUND(Premissas!$C$12*Premissas!$C$38+D22*Premissas!$C$27,0)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Premissas!$C$32+(B22+C22)/Premissas!$C$34</f>
        <v/>
      </c>
      <c r="AC22">
        <f>D22+AC10*(1-Premissas!$C$26/12)^12</f>
        <v/>
      </c>
    </row>
    <row r="23">
      <c r="A23" t="n">
        <v>20</v>
      </c>
      <c r="B23">
        <f>B22*(1-Premissas!$C$18/12)+Premissas!$C$12</f>
        <v/>
      </c>
      <c r="C23">
        <f>IF($B$2=1,C22*(1-Premissas!$C$26/12)+D23,0)</f>
        <v/>
      </c>
      <c r="D23">
        <f>IF(AND($B$2=1,A23&gt;=Premissas!$C$23),Premissas!$C$22,0)</f>
        <v/>
      </c>
      <c r="E23">
        <f>B23*Premissas!$C$28</f>
        <v/>
      </c>
      <c r="F23">
        <f>B23*Premissas!$C$13/12*MIN(1,A23/Premissas!$C$17)</f>
        <v/>
      </c>
      <c r="G23">
        <f>F23*Premissas!$C$14</f>
        <v/>
      </c>
      <c r="H23">
        <f>IF(IF(A23-1-Premissas!$C$16&gt;=0,OFFSET($J$4,A23-1-Premissas!$C$16,0),0)&gt;0,ROUND(IF(A23-1-Premissas!$C$16&gt;=0,OFFSET($J$4,A23-1-Premissas!$C$16,0),0)*10000/Premissas!$C$5*Premissas!$C$15,0),0)</f>
        <v/>
      </c>
      <c r="I23">
        <f>ROUND(G23*Premissas!$C$6/10000,0)</f>
        <v/>
      </c>
      <c r="J23">
        <f>ROUND(G23*Premissas!$C$5/10000,0)</f>
        <v/>
      </c>
      <c r="K23">
        <f>IF(IF(A23-1-Premissas!$C$16&gt;=0,OFFSET($A$4,A23-1-Premissas!$C$16,0)&gt;=Premissas!$C$19,FALSE),ROUND(IF(A23-1-Premissas!$C$16&gt;=0,OFFSET($J$4,A23-1-Premissas!$C$16,0),0)*Premissas!$C$15,0),0)</f>
        <v/>
      </c>
      <c r="L23">
        <f>ROUND(C23*Premissas!$C$24/12,0)</f>
        <v/>
      </c>
      <c r="M23">
        <f>ROUND(D23*Premissas!$C$25,0)</f>
        <v/>
      </c>
      <c r="N23">
        <f>ROUND(E23*Premissas!$C$29+B23*Premissas!$C$30,0)</f>
        <v/>
      </c>
      <c r="O23">
        <f>K23+L23+M23+N23</f>
        <v/>
      </c>
      <c r="P23">
        <f>K23+ROUND(AC23*Premissas!$C$24,0)+M23+N23</f>
        <v/>
      </c>
      <c r="Q23">
        <f>ROUND(IF(A23-1-Premissas!$C$21&gt;=0,OFFSET($P$4,A23-1-Premissas!$C$21,0),0)*(1-Premissas!$C$20/100),0)</f>
        <v/>
      </c>
      <c r="R23">
        <f>ROUND(F23*Premissas!$C$11+N23*Premissas!$C$31/100,0)+ROUND((E23+B23)*Premissas!$C$10,0)+ROUND(Q23*Premissas!$C$8/100,0)+ROUND(Premissas!$C$35+(B23+C23)*Premissas!$C$36,0)</f>
        <v/>
      </c>
      <c r="S23">
        <f>O23-R23</f>
        <v/>
      </c>
      <c r="T23">
        <f>ROUND(O23*Premissas!$C$9/100,0)</f>
        <v/>
      </c>
      <c r="U23">
        <f>ROUND(AB23*Premissas!$C$33,0)</f>
        <v/>
      </c>
      <c r="V23">
        <f>Premissas!$C$37+ROUND(Premissas!$C$12*Premissas!$C$38+D23*Premissas!$C$27,0)</f>
        <v/>
      </c>
      <c r="W23">
        <f>Premissas!$C$39</f>
        <v/>
      </c>
      <c r="X23">
        <f>S23-T23-ROUND(Premissas!$C$12*Premissas!$C$38+D23*Premissas!$C$27,0)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Premissas!$C$32+(B23+C23)/Premissas!$C$34</f>
        <v/>
      </c>
      <c r="AC23">
        <f>D23+AC11*(1-Premissas!$C$26/12)^12</f>
        <v/>
      </c>
    </row>
    <row r="24">
      <c r="A24" t="n">
        <v>21</v>
      </c>
      <c r="B24">
        <f>B23*(1-Premissas!$C$18/12)+Premissas!$C$12</f>
        <v/>
      </c>
      <c r="C24">
        <f>IF($B$2=1,C23*(1-Premissas!$C$26/12)+D24,0)</f>
        <v/>
      </c>
      <c r="D24">
        <f>IF(AND($B$2=1,A24&gt;=Premissas!$C$23),Premissas!$C$22,0)</f>
        <v/>
      </c>
      <c r="E24">
        <f>B24*Premissas!$C$28</f>
        <v/>
      </c>
      <c r="F24">
        <f>B24*Premissas!$C$13/12*MIN(1,A24/Premissas!$C$17)</f>
        <v/>
      </c>
      <c r="G24">
        <f>F24*Premissas!$C$14</f>
        <v/>
      </c>
      <c r="H24">
        <f>IF(IF(A24-1-Premissas!$C$16&gt;=0,OFFSET($J$4,A24-1-Premissas!$C$16,0),0)&gt;0,ROUND(IF(A24-1-Premissas!$C$16&gt;=0,OFFSET($J$4,A24-1-Premissas!$C$16,0),0)*10000/Premissas!$C$5*Premissas!$C$15,0),0)</f>
        <v/>
      </c>
      <c r="I24">
        <f>ROUND(G24*Premissas!$C$6/10000,0)</f>
        <v/>
      </c>
      <c r="J24">
        <f>ROUND(G24*Premissas!$C$5/10000,0)</f>
        <v/>
      </c>
      <c r="K24">
        <f>IF(IF(A24-1-Premissas!$C$16&gt;=0,OFFSET($A$4,A24-1-Premissas!$C$16,0)&gt;=Premissas!$C$19,FALSE),ROUND(IF(A24-1-Premissas!$C$16&gt;=0,OFFSET($J$4,A24-1-Premissas!$C$16,0),0)*Premissas!$C$15,0),0)</f>
        <v/>
      </c>
      <c r="L24">
        <f>ROUND(C24*Premissas!$C$24/12,0)</f>
        <v/>
      </c>
      <c r="M24">
        <f>ROUND(D24*Premissas!$C$25,0)</f>
        <v/>
      </c>
      <c r="N24">
        <f>ROUND(E24*Premissas!$C$29+B24*Premissas!$C$30,0)</f>
        <v/>
      </c>
      <c r="O24">
        <f>K24+L24+M24+N24</f>
        <v/>
      </c>
      <c r="P24">
        <f>K24+ROUND(AC24*Premissas!$C$24,0)+M24+N24</f>
        <v/>
      </c>
      <c r="Q24">
        <f>ROUND(IF(A24-1-Premissas!$C$21&gt;=0,OFFSET($P$4,A24-1-Premissas!$C$21,0),0)*(1-Premissas!$C$20/100),0)</f>
        <v/>
      </c>
      <c r="R24">
        <f>ROUND(F24*Premissas!$C$11+N24*Premissas!$C$31/100,0)+ROUND((E24+B24)*Premissas!$C$10,0)+ROUND(Q24*Premissas!$C$8/100,0)+ROUND(Premissas!$C$35+(B24+C24)*Premissas!$C$36,0)</f>
        <v/>
      </c>
      <c r="S24">
        <f>O24-R24</f>
        <v/>
      </c>
      <c r="T24">
        <f>ROUND(O24*Premissas!$C$9/100,0)</f>
        <v/>
      </c>
      <c r="U24">
        <f>ROUND(AB24*Premissas!$C$33,0)</f>
        <v/>
      </c>
      <c r="V24">
        <f>Premissas!$C$37+ROUND(Premissas!$C$12*Premissas!$C$38+D24*Premissas!$C$27,0)</f>
        <v/>
      </c>
      <c r="W24">
        <f>Premissas!$C$39</f>
        <v/>
      </c>
      <c r="X24">
        <f>S24-T24-ROUND(Premissas!$C$12*Premissas!$C$38+D24*Premissas!$C$27,0)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Premissas!$C$32+(B24+C24)/Premissas!$C$34</f>
        <v/>
      </c>
      <c r="AC24">
        <f>D24+AC12*(1-Premissas!$C$26/12)^12</f>
        <v/>
      </c>
    </row>
    <row r="25">
      <c r="A25" t="n">
        <v>22</v>
      </c>
      <c r="B25">
        <f>B24*(1-Premissas!$C$18/12)+Premissas!$C$12</f>
        <v/>
      </c>
      <c r="C25">
        <f>IF($B$2=1,C24*(1-Premissas!$C$26/12)+D25,0)</f>
        <v/>
      </c>
      <c r="D25">
        <f>IF(AND($B$2=1,A25&gt;=Premissas!$C$23),Premissas!$C$22,0)</f>
        <v/>
      </c>
      <c r="E25">
        <f>B25*Premissas!$C$28</f>
        <v/>
      </c>
      <c r="F25">
        <f>B25*Premissas!$C$13/12*MIN(1,A25/Premissas!$C$17)</f>
        <v/>
      </c>
      <c r="G25">
        <f>F25*Premissas!$C$14</f>
        <v/>
      </c>
      <c r="H25">
        <f>IF(IF(A25-1-Premissas!$C$16&gt;=0,OFFSET($J$4,A25-1-Premissas!$C$16,0),0)&gt;0,ROUND(IF(A25-1-Premissas!$C$16&gt;=0,OFFSET($J$4,A25-1-Premissas!$C$16,0),0)*10000/Premissas!$C$5*Premissas!$C$15,0),0)</f>
        <v/>
      </c>
      <c r="I25">
        <f>ROUND(G25*Premissas!$C$6/10000,0)</f>
        <v/>
      </c>
      <c r="J25">
        <f>ROUND(G25*Premissas!$C$5/10000,0)</f>
        <v/>
      </c>
      <c r="K25">
        <f>IF(IF(A25-1-Premissas!$C$16&gt;=0,OFFSET($A$4,A25-1-Premissas!$C$16,0)&gt;=Premissas!$C$19,FALSE),ROUND(IF(A25-1-Premissas!$C$16&gt;=0,OFFSET($J$4,A25-1-Premissas!$C$16,0),0)*Premissas!$C$15,0),0)</f>
        <v/>
      </c>
      <c r="L25">
        <f>ROUND(C25*Premissas!$C$24/12,0)</f>
        <v/>
      </c>
      <c r="M25">
        <f>ROUND(D25*Premissas!$C$25,0)</f>
        <v/>
      </c>
      <c r="N25">
        <f>ROUND(E25*Premissas!$C$29+B25*Premissas!$C$30,0)</f>
        <v/>
      </c>
      <c r="O25">
        <f>K25+L25+M25+N25</f>
        <v/>
      </c>
      <c r="P25">
        <f>K25+ROUND(AC25*Premissas!$C$24,0)+M25+N25</f>
        <v/>
      </c>
      <c r="Q25">
        <f>ROUND(IF(A25-1-Premissas!$C$21&gt;=0,OFFSET($P$4,A25-1-Premissas!$C$21,0),0)*(1-Premissas!$C$20/100),0)</f>
        <v/>
      </c>
      <c r="R25">
        <f>ROUND(F25*Premissas!$C$11+N25*Premissas!$C$31/100,0)+ROUND((E25+B25)*Premissas!$C$10,0)+ROUND(Q25*Premissas!$C$8/100,0)+ROUND(Premissas!$C$35+(B25+C25)*Premissas!$C$36,0)</f>
        <v/>
      </c>
      <c r="S25">
        <f>O25-R25</f>
        <v/>
      </c>
      <c r="T25">
        <f>ROUND(O25*Premissas!$C$9/100,0)</f>
        <v/>
      </c>
      <c r="U25">
        <f>ROUND(AB25*Premissas!$C$33,0)</f>
        <v/>
      </c>
      <c r="V25">
        <f>Premissas!$C$37+ROUND(Premissas!$C$12*Premissas!$C$38+D25*Premissas!$C$27,0)</f>
        <v/>
      </c>
      <c r="W25">
        <f>Premissas!$C$39</f>
        <v/>
      </c>
      <c r="X25">
        <f>S25-T25-ROUND(Premissas!$C$12*Premissas!$C$38+D25*Premissas!$C$27,0)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Premissas!$C$32+(B25+C25)/Premissas!$C$34</f>
        <v/>
      </c>
      <c r="AC25">
        <f>D25+AC13*(1-Premissas!$C$26/12)^12</f>
        <v/>
      </c>
    </row>
    <row r="26">
      <c r="A26" t="n">
        <v>23</v>
      </c>
      <c r="B26">
        <f>B25*(1-Premissas!$C$18/12)+Premissas!$C$12</f>
        <v/>
      </c>
      <c r="C26">
        <f>IF($B$2=1,C25*(1-Premissas!$C$26/12)+D26,0)</f>
        <v/>
      </c>
      <c r="D26">
        <f>IF(AND($B$2=1,A26&gt;=Premissas!$C$23),Premissas!$C$22,0)</f>
        <v/>
      </c>
      <c r="E26">
        <f>B26*Premissas!$C$28</f>
        <v/>
      </c>
      <c r="F26">
        <f>B26*Premissas!$C$13/12*MIN(1,A26/Premissas!$C$17)</f>
        <v/>
      </c>
      <c r="G26">
        <f>F26*Premissas!$C$14</f>
        <v/>
      </c>
      <c r="H26">
        <f>IF(IF(A26-1-Premissas!$C$16&gt;=0,OFFSET($J$4,A26-1-Premissas!$C$16,0),0)&gt;0,ROUND(IF(A26-1-Premissas!$C$16&gt;=0,OFFSET($J$4,A26-1-Premissas!$C$16,0),0)*10000/Premissas!$C$5*Premissas!$C$15,0),0)</f>
        <v/>
      </c>
      <c r="I26">
        <f>ROUND(G26*Premissas!$C$6/10000,0)</f>
        <v/>
      </c>
      <c r="J26">
        <f>ROUND(G26*Premissas!$C$5/10000,0)</f>
        <v/>
      </c>
      <c r="K26">
        <f>IF(IF(A26-1-Premissas!$C$16&gt;=0,OFFSET($A$4,A26-1-Premissas!$C$16,0)&gt;=Premissas!$C$19,FALSE),ROUND(IF(A26-1-Premissas!$C$16&gt;=0,OFFSET($J$4,A26-1-Premissas!$C$16,0),0)*Premissas!$C$15,0),0)</f>
        <v/>
      </c>
      <c r="L26">
        <f>ROUND(C26*Premissas!$C$24/12,0)</f>
        <v/>
      </c>
      <c r="M26">
        <f>ROUND(D26*Premissas!$C$25,0)</f>
        <v/>
      </c>
      <c r="N26">
        <f>ROUND(E26*Premissas!$C$29+B26*Premissas!$C$30,0)</f>
        <v/>
      </c>
      <c r="O26">
        <f>K26+L26+M26+N26</f>
        <v/>
      </c>
      <c r="P26">
        <f>K26+ROUND(AC26*Premissas!$C$24,0)+M26+N26</f>
        <v/>
      </c>
      <c r="Q26">
        <f>ROUND(IF(A26-1-Premissas!$C$21&gt;=0,OFFSET($P$4,A26-1-Premissas!$C$21,0),0)*(1-Premissas!$C$20/100),0)</f>
        <v/>
      </c>
      <c r="R26">
        <f>ROUND(F26*Premissas!$C$11+N26*Premissas!$C$31/100,0)+ROUND((E26+B26)*Premissas!$C$10,0)+ROUND(Q26*Premissas!$C$8/100,0)+ROUND(Premissas!$C$35+(B26+C26)*Premissas!$C$36,0)</f>
        <v/>
      </c>
      <c r="S26">
        <f>O26-R26</f>
        <v/>
      </c>
      <c r="T26">
        <f>ROUND(O26*Premissas!$C$9/100,0)</f>
        <v/>
      </c>
      <c r="U26">
        <f>ROUND(AB26*Premissas!$C$33,0)</f>
        <v/>
      </c>
      <c r="V26">
        <f>Premissas!$C$37+ROUND(Premissas!$C$12*Premissas!$C$38+D26*Premissas!$C$27,0)</f>
        <v/>
      </c>
      <c r="W26">
        <f>Premissas!$C$39</f>
        <v/>
      </c>
      <c r="X26">
        <f>S26-T26-ROUND(Premissas!$C$12*Premissas!$C$38+D26*Premissas!$C$27,0)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Premissas!$C$32+(B26+C26)/Premissas!$C$34</f>
        <v/>
      </c>
      <c r="AC26">
        <f>D26+AC14*(1-Premissas!$C$26/12)^12</f>
        <v/>
      </c>
    </row>
    <row r="27">
      <c r="A27" t="n">
        <v>24</v>
      </c>
      <c r="B27">
        <f>B26*(1-Premissas!$C$18/12)+Premissas!$C$12</f>
        <v/>
      </c>
      <c r="C27">
        <f>IF($B$2=1,C26*(1-Premissas!$C$26/12)+D27,0)</f>
        <v/>
      </c>
      <c r="D27">
        <f>IF(AND($B$2=1,A27&gt;=Premissas!$C$23),Premissas!$C$22,0)</f>
        <v/>
      </c>
      <c r="E27">
        <f>B27*Premissas!$C$28</f>
        <v/>
      </c>
      <c r="F27">
        <f>B27*Premissas!$C$13/12*MIN(1,A27/Premissas!$C$17)</f>
        <v/>
      </c>
      <c r="G27">
        <f>F27*Premissas!$C$14</f>
        <v/>
      </c>
      <c r="H27">
        <f>IF(IF(A27-1-Premissas!$C$16&gt;=0,OFFSET($J$4,A27-1-Premissas!$C$16,0),0)&gt;0,ROUND(IF(A27-1-Premissas!$C$16&gt;=0,OFFSET($J$4,A27-1-Premissas!$C$16,0),0)*10000/Premissas!$C$5*Premissas!$C$15,0),0)</f>
        <v/>
      </c>
      <c r="I27">
        <f>ROUND(G27*Premissas!$C$6/10000,0)</f>
        <v/>
      </c>
      <c r="J27">
        <f>ROUND(G27*Premissas!$C$5/10000,0)</f>
        <v/>
      </c>
      <c r="K27">
        <f>IF(IF(A27-1-Premissas!$C$16&gt;=0,OFFSET($A$4,A27-1-Premissas!$C$16,0)&gt;=Premissas!$C$19,FALSE),ROUND(IF(A27-1-Premissas!$C$16&gt;=0,OFFSET($J$4,A27-1-Premissas!$C$16,0),0)*Premissas!$C$15,0),0)</f>
        <v/>
      </c>
      <c r="L27">
        <f>ROUND(C27*Premissas!$C$24/12,0)</f>
        <v/>
      </c>
      <c r="M27">
        <f>ROUND(D27*Premissas!$C$25,0)</f>
        <v/>
      </c>
      <c r="N27">
        <f>ROUND(E27*Premissas!$C$29+B27*Premissas!$C$30,0)</f>
        <v/>
      </c>
      <c r="O27">
        <f>K27+L27+M27+N27</f>
        <v/>
      </c>
      <c r="P27">
        <f>K27+ROUND(AC27*Premissas!$C$24,0)+M27+N27</f>
        <v/>
      </c>
      <c r="Q27">
        <f>ROUND(IF(A27-1-Premissas!$C$21&gt;=0,OFFSET($P$4,A27-1-Premissas!$C$21,0),0)*(1-Premissas!$C$20/100),0)</f>
        <v/>
      </c>
      <c r="R27">
        <f>ROUND(F27*Premissas!$C$11+N27*Premissas!$C$31/100,0)+ROUND((E27+B27)*Premissas!$C$10,0)+ROUND(Q27*Premissas!$C$8/100,0)+ROUND(Premissas!$C$35+(B27+C27)*Premissas!$C$36,0)</f>
        <v/>
      </c>
      <c r="S27">
        <f>O27-R27</f>
        <v/>
      </c>
      <c r="T27">
        <f>ROUND(O27*Premissas!$C$9/100,0)</f>
        <v/>
      </c>
      <c r="U27">
        <f>ROUND(AB27*Premissas!$C$33,0)</f>
        <v/>
      </c>
      <c r="V27">
        <f>Premissas!$C$37+ROUND(Premissas!$C$12*Premissas!$C$38+D27*Premissas!$C$27,0)</f>
        <v/>
      </c>
      <c r="W27">
        <f>Premissas!$C$39</f>
        <v/>
      </c>
      <c r="X27">
        <f>S27-T27-ROUND(Premissas!$C$12*Premissas!$C$38+D27*Premissas!$C$27,0)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Premissas!$C$32+(B27+C27)/Premissas!$C$34</f>
        <v/>
      </c>
      <c r="AC27">
        <f>D27+AC15*(1-Premissas!$C$26/12)^12</f>
        <v/>
      </c>
    </row>
    <row r="28">
      <c r="A28" t="n">
        <v>25</v>
      </c>
      <c r="B28">
        <f>B27*(1-Premissas!$C$18/12)+Premissas!$C$12</f>
        <v/>
      </c>
      <c r="C28">
        <f>IF($B$2=1,C27*(1-Premissas!$C$26/12)+D28,0)</f>
        <v/>
      </c>
      <c r="D28">
        <f>IF(AND($B$2=1,A28&gt;=Premissas!$C$23),Premissas!$C$22,0)</f>
        <v/>
      </c>
      <c r="E28">
        <f>B28*Premissas!$C$28</f>
        <v/>
      </c>
      <c r="F28">
        <f>B28*Premissas!$C$13/12*MIN(1,A28/Premissas!$C$17)</f>
        <v/>
      </c>
      <c r="G28">
        <f>F28*Premissas!$C$14</f>
        <v/>
      </c>
      <c r="H28">
        <f>IF(IF(A28-1-Premissas!$C$16&gt;=0,OFFSET($J$4,A28-1-Premissas!$C$16,0),0)&gt;0,ROUND(IF(A28-1-Premissas!$C$16&gt;=0,OFFSET($J$4,A28-1-Premissas!$C$16,0),0)*10000/Premissas!$C$5*Premissas!$C$15,0),0)</f>
        <v/>
      </c>
      <c r="I28">
        <f>ROUND(G28*Premissas!$C$6/10000,0)</f>
        <v/>
      </c>
      <c r="J28">
        <f>ROUND(G28*Premissas!$C$5/10000,0)</f>
        <v/>
      </c>
      <c r="K28">
        <f>IF(IF(A28-1-Premissas!$C$16&gt;=0,OFFSET($A$4,A28-1-Premissas!$C$16,0)&gt;=Premissas!$C$19,FALSE),ROUND(IF(A28-1-Premissas!$C$16&gt;=0,OFFSET($J$4,A28-1-Premissas!$C$16,0),0)*Premissas!$C$15,0),0)</f>
        <v/>
      </c>
      <c r="L28">
        <f>ROUND(C28*Premissas!$C$24/12,0)</f>
        <v/>
      </c>
      <c r="M28">
        <f>ROUND(D28*Premissas!$C$25,0)</f>
        <v/>
      </c>
      <c r="N28">
        <f>ROUND(E28*Premissas!$C$29+B28*Premissas!$C$30,0)</f>
        <v/>
      </c>
      <c r="O28">
        <f>K28+L28+M28+N28</f>
        <v/>
      </c>
      <c r="P28">
        <f>K28+ROUND(AC28*Premissas!$C$24,0)+M28+N28</f>
        <v/>
      </c>
      <c r="Q28">
        <f>ROUND(IF(A28-1-Premissas!$C$21&gt;=0,OFFSET($P$4,A28-1-Premissas!$C$21,0),0)*(1-Premissas!$C$20/100),0)</f>
        <v/>
      </c>
      <c r="R28">
        <f>ROUND(F28*Premissas!$C$11+N28*Premissas!$C$31/100,0)+ROUND((E28+B28)*Premissas!$C$10,0)+ROUND(Q28*Premissas!$C$8/100,0)+ROUND(Premissas!$C$35+(B28+C28)*Premissas!$C$36,0)</f>
        <v/>
      </c>
      <c r="S28">
        <f>O28-R28</f>
        <v/>
      </c>
      <c r="T28">
        <f>ROUND(O28*Premissas!$C$9/100,0)</f>
        <v/>
      </c>
      <c r="U28">
        <f>ROUND(AB28*Premissas!$C$33,0)</f>
        <v/>
      </c>
      <c r="V28">
        <f>Premissas!$C$37+ROUND(Premissas!$C$12*Premissas!$C$38+D28*Premissas!$C$27,0)</f>
        <v/>
      </c>
      <c r="W28">
        <f>Premissas!$C$39</f>
        <v/>
      </c>
      <c r="X28">
        <f>S28-T28-ROUND(Premissas!$C$12*Premissas!$C$38+D28*Premissas!$C$27,0)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Premissas!$C$32+(B28+C28)/Premissas!$C$34</f>
        <v/>
      </c>
      <c r="AC28">
        <f>D28+AC16*(1-Premissas!$C$26/12)^12</f>
        <v/>
      </c>
    </row>
    <row r="29">
      <c r="A29" t="n">
        <v>26</v>
      </c>
      <c r="B29">
        <f>B28*(1-Premissas!$C$18/12)+Premissas!$C$12</f>
        <v/>
      </c>
      <c r="C29">
        <f>IF($B$2=1,C28*(1-Premissas!$C$26/12)+D29,0)</f>
        <v/>
      </c>
      <c r="D29">
        <f>IF(AND($B$2=1,A29&gt;=Premissas!$C$23),Premissas!$C$22,0)</f>
        <v/>
      </c>
      <c r="E29">
        <f>B29*Premissas!$C$28</f>
        <v/>
      </c>
      <c r="F29">
        <f>B29*Premissas!$C$13/12*MIN(1,A29/Premissas!$C$17)</f>
        <v/>
      </c>
      <c r="G29">
        <f>F29*Premissas!$C$14</f>
        <v/>
      </c>
      <c r="H29">
        <f>IF(IF(A29-1-Premissas!$C$16&gt;=0,OFFSET($J$4,A29-1-Premissas!$C$16,0),0)&gt;0,ROUND(IF(A29-1-Premissas!$C$16&gt;=0,OFFSET($J$4,A29-1-Premissas!$C$16,0),0)*10000/Premissas!$C$5*Premissas!$C$15,0),0)</f>
        <v/>
      </c>
      <c r="I29">
        <f>ROUND(G29*Premissas!$C$6/10000,0)</f>
        <v/>
      </c>
      <c r="J29">
        <f>ROUND(G29*Premissas!$C$5/10000,0)</f>
        <v/>
      </c>
      <c r="K29">
        <f>IF(IF(A29-1-Premissas!$C$16&gt;=0,OFFSET($A$4,A29-1-Premissas!$C$16,0)&gt;=Premissas!$C$19,FALSE),ROUND(IF(A29-1-Premissas!$C$16&gt;=0,OFFSET($J$4,A29-1-Premissas!$C$16,0),0)*Premissas!$C$15,0),0)</f>
        <v/>
      </c>
      <c r="L29">
        <f>ROUND(C29*Premissas!$C$24/12,0)</f>
        <v/>
      </c>
      <c r="M29">
        <f>ROUND(D29*Premissas!$C$25,0)</f>
        <v/>
      </c>
      <c r="N29">
        <f>ROUND(E29*Premissas!$C$29+B29*Premissas!$C$30,0)</f>
        <v/>
      </c>
      <c r="O29">
        <f>K29+L29+M29+N29</f>
        <v/>
      </c>
      <c r="P29">
        <f>K29+ROUND(AC29*Premissas!$C$24,0)+M29+N29</f>
        <v/>
      </c>
      <c r="Q29">
        <f>ROUND(IF(A29-1-Premissas!$C$21&gt;=0,OFFSET($P$4,A29-1-Premissas!$C$21,0),0)*(1-Premissas!$C$20/100),0)</f>
        <v/>
      </c>
      <c r="R29">
        <f>ROUND(F29*Premissas!$C$11+N29*Premissas!$C$31/100,0)+ROUND((E29+B29)*Premissas!$C$10,0)+ROUND(Q29*Premissas!$C$8/100,0)+ROUND(Premissas!$C$35+(B29+C29)*Premissas!$C$36,0)</f>
        <v/>
      </c>
      <c r="S29">
        <f>O29-R29</f>
        <v/>
      </c>
      <c r="T29">
        <f>ROUND(O29*Premissas!$C$9/100,0)</f>
        <v/>
      </c>
      <c r="U29">
        <f>ROUND(AB29*Premissas!$C$33,0)</f>
        <v/>
      </c>
      <c r="V29">
        <f>Premissas!$C$37+ROUND(Premissas!$C$12*Premissas!$C$38+D29*Premissas!$C$27,0)</f>
        <v/>
      </c>
      <c r="W29">
        <f>Premissas!$C$39</f>
        <v/>
      </c>
      <c r="X29">
        <f>S29-T29-ROUND(Premissas!$C$12*Premissas!$C$38+D29*Premissas!$C$27,0)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Premissas!$C$32+(B29+C29)/Premissas!$C$34</f>
        <v/>
      </c>
      <c r="AC29">
        <f>D29+AC17*(1-Premissas!$C$26/12)^12</f>
        <v/>
      </c>
    </row>
    <row r="30">
      <c r="A30" t="n">
        <v>27</v>
      </c>
      <c r="B30">
        <f>B29*(1-Premissas!$C$18/12)+Premissas!$C$12</f>
        <v/>
      </c>
      <c r="C30">
        <f>IF($B$2=1,C29*(1-Premissas!$C$26/12)+D30,0)</f>
        <v/>
      </c>
      <c r="D30">
        <f>IF(AND($B$2=1,A30&gt;=Premissas!$C$23),Premissas!$C$22,0)</f>
        <v/>
      </c>
      <c r="E30">
        <f>B30*Premissas!$C$28</f>
        <v/>
      </c>
      <c r="F30">
        <f>B30*Premissas!$C$13/12*MIN(1,A30/Premissas!$C$17)</f>
        <v/>
      </c>
      <c r="G30">
        <f>F30*Premissas!$C$14</f>
        <v/>
      </c>
      <c r="H30">
        <f>IF(IF(A30-1-Premissas!$C$16&gt;=0,OFFSET($J$4,A30-1-Premissas!$C$16,0),0)&gt;0,ROUND(IF(A30-1-Premissas!$C$16&gt;=0,OFFSET($J$4,A30-1-Premissas!$C$16,0),0)*10000/Premissas!$C$5*Premissas!$C$15,0),0)</f>
        <v/>
      </c>
      <c r="I30">
        <f>ROUND(G30*Premissas!$C$6/10000,0)</f>
        <v/>
      </c>
      <c r="J30">
        <f>ROUND(G30*Premissas!$C$5/10000,0)</f>
        <v/>
      </c>
      <c r="K30">
        <f>IF(IF(A30-1-Premissas!$C$16&gt;=0,OFFSET($A$4,A30-1-Premissas!$C$16,0)&gt;=Premissas!$C$19,FALSE),ROUND(IF(A30-1-Premissas!$C$16&gt;=0,OFFSET($J$4,A30-1-Premissas!$C$16,0),0)*Premissas!$C$15,0),0)</f>
        <v/>
      </c>
      <c r="L30">
        <f>ROUND(C30*Premissas!$C$24/12,0)</f>
        <v/>
      </c>
      <c r="M30">
        <f>ROUND(D30*Premissas!$C$25,0)</f>
        <v/>
      </c>
      <c r="N30">
        <f>ROUND(E30*Premissas!$C$29+B30*Premissas!$C$30,0)</f>
        <v/>
      </c>
      <c r="O30">
        <f>K30+L30+M30+N30</f>
        <v/>
      </c>
      <c r="P30">
        <f>K30+ROUND(AC30*Premissas!$C$24,0)+M30+N30</f>
        <v/>
      </c>
      <c r="Q30">
        <f>ROUND(IF(A30-1-Premissas!$C$21&gt;=0,OFFSET($P$4,A30-1-Premissas!$C$21,0),0)*(1-Premissas!$C$20/100),0)</f>
        <v/>
      </c>
      <c r="R30">
        <f>ROUND(F30*Premissas!$C$11+N30*Premissas!$C$31/100,0)+ROUND((E30+B30)*Premissas!$C$10,0)+ROUND(Q30*Premissas!$C$8/100,0)+ROUND(Premissas!$C$35+(B30+C30)*Premissas!$C$36,0)</f>
        <v/>
      </c>
      <c r="S30">
        <f>O30-R30</f>
        <v/>
      </c>
      <c r="T30">
        <f>ROUND(O30*Premissas!$C$9/100,0)</f>
        <v/>
      </c>
      <c r="U30">
        <f>ROUND(AB30*Premissas!$C$33,0)</f>
        <v/>
      </c>
      <c r="V30">
        <f>Premissas!$C$37+ROUND(Premissas!$C$12*Premissas!$C$38+D30*Premissas!$C$27,0)</f>
        <v/>
      </c>
      <c r="W30">
        <f>Premissas!$C$39</f>
        <v/>
      </c>
      <c r="X30">
        <f>S30-T30-ROUND(Premissas!$C$12*Premissas!$C$38+D30*Premissas!$C$27,0)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Premissas!$C$32+(B30+C30)/Premissas!$C$34</f>
        <v/>
      </c>
      <c r="AC30">
        <f>D30+AC18*(1-Premissas!$C$26/12)^12</f>
        <v/>
      </c>
    </row>
    <row r="31">
      <c r="A31" t="n">
        <v>28</v>
      </c>
      <c r="B31">
        <f>B30*(1-Premissas!$C$18/12)+Premissas!$C$12</f>
        <v/>
      </c>
      <c r="C31">
        <f>IF($B$2=1,C30*(1-Premissas!$C$26/12)+D31,0)</f>
        <v/>
      </c>
      <c r="D31">
        <f>IF(AND($B$2=1,A31&gt;=Premissas!$C$23),Premissas!$C$22,0)</f>
        <v/>
      </c>
      <c r="E31">
        <f>B31*Premissas!$C$28</f>
        <v/>
      </c>
      <c r="F31">
        <f>B31*Premissas!$C$13/12*MIN(1,A31/Premissas!$C$17)</f>
        <v/>
      </c>
      <c r="G31">
        <f>F31*Premissas!$C$14</f>
        <v/>
      </c>
      <c r="H31">
        <f>IF(IF(A31-1-Premissas!$C$16&gt;=0,OFFSET($J$4,A31-1-Premissas!$C$16,0),0)&gt;0,ROUND(IF(A31-1-Premissas!$C$16&gt;=0,OFFSET($J$4,A31-1-Premissas!$C$16,0),0)*10000/Premissas!$C$5*Premissas!$C$15,0),0)</f>
        <v/>
      </c>
      <c r="I31">
        <f>ROUND(G31*Premissas!$C$6/10000,0)</f>
        <v/>
      </c>
      <c r="J31">
        <f>ROUND(G31*Premissas!$C$5/10000,0)</f>
        <v/>
      </c>
      <c r="K31">
        <f>IF(IF(A31-1-Premissas!$C$16&gt;=0,OFFSET($A$4,A31-1-Premissas!$C$16,0)&gt;=Premissas!$C$19,FALSE),ROUND(IF(A31-1-Premissas!$C$16&gt;=0,OFFSET($J$4,A31-1-Premissas!$C$16,0),0)*Premissas!$C$15,0),0)</f>
        <v/>
      </c>
      <c r="L31">
        <f>ROUND(C31*Premissas!$C$24/12,0)</f>
        <v/>
      </c>
      <c r="M31">
        <f>ROUND(D31*Premissas!$C$25,0)</f>
        <v/>
      </c>
      <c r="N31">
        <f>ROUND(E31*Premissas!$C$29+B31*Premissas!$C$30,0)</f>
        <v/>
      </c>
      <c r="O31">
        <f>K31+L31+M31+N31</f>
        <v/>
      </c>
      <c r="P31">
        <f>K31+ROUND(AC31*Premissas!$C$24,0)+M31+N31</f>
        <v/>
      </c>
      <c r="Q31">
        <f>ROUND(IF(A31-1-Premissas!$C$21&gt;=0,OFFSET($P$4,A31-1-Premissas!$C$21,0),0)*(1-Premissas!$C$20/100),0)</f>
        <v/>
      </c>
      <c r="R31">
        <f>ROUND(F31*Premissas!$C$11+N31*Premissas!$C$31/100,0)+ROUND((E31+B31)*Premissas!$C$10,0)+ROUND(Q31*Premissas!$C$8/100,0)+ROUND(Premissas!$C$35+(B31+C31)*Premissas!$C$36,0)</f>
        <v/>
      </c>
      <c r="S31">
        <f>O31-R31</f>
        <v/>
      </c>
      <c r="T31">
        <f>ROUND(O31*Premissas!$C$9/100,0)</f>
        <v/>
      </c>
      <c r="U31">
        <f>ROUND(AB31*Premissas!$C$33,0)</f>
        <v/>
      </c>
      <c r="V31">
        <f>Premissas!$C$37+ROUND(Premissas!$C$12*Premissas!$C$38+D31*Premissas!$C$27,0)</f>
        <v/>
      </c>
      <c r="W31">
        <f>Premissas!$C$39</f>
        <v/>
      </c>
      <c r="X31">
        <f>S31-T31-ROUND(Premissas!$C$12*Premissas!$C$38+D31*Premissas!$C$27,0)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Premissas!$C$32+(B31+C31)/Premissas!$C$34</f>
        <v/>
      </c>
      <c r="AC31">
        <f>D31+AC19*(1-Premissas!$C$26/12)^12</f>
        <v/>
      </c>
    </row>
    <row r="32">
      <c r="A32" t="n">
        <v>29</v>
      </c>
      <c r="B32">
        <f>B31*(1-Premissas!$C$18/12)+Premissas!$C$12</f>
        <v/>
      </c>
      <c r="C32">
        <f>IF($B$2=1,C31*(1-Premissas!$C$26/12)+D32,0)</f>
        <v/>
      </c>
      <c r="D32">
        <f>IF(AND($B$2=1,A32&gt;=Premissas!$C$23),Premissas!$C$22,0)</f>
        <v/>
      </c>
      <c r="E32">
        <f>B32*Premissas!$C$28</f>
        <v/>
      </c>
      <c r="F32">
        <f>B32*Premissas!$C$13/12*MIN(1,A32/Premissas!$C$17)</f>
        <v/>
      </c>
      <c r="G32">
        <f>F32*Premissas!$C$14</f>
        <v/>
      </c>
      <c r="H32">
        <f>IF(IF(A32-1-Premissas!$C$16&gt;=0,OFFSET($J$4,A32-1-Premissas!$C$16,0),0)&gt;0,ROUND(IF(A32-1-Premissas!$C$16&gt;=0,OFFSET($J$4,A32-1-Premissas!$C$16,0),0)*10000/Premissas!$C$5*Premissas!$C$15,0),0)</f>
        <v/>
      </c>
      <c r="I32">
        <f>ROUND(G32*Premissas!$C$6/10000,0)</f>
        <v/>
      </c>
      <c r="J32">
        <f>ROUND(G32*Premissas!$C$5/10000,0)</f>
        <v/>
      </c>
      <c r="K32">
        <f>IF(IF(A32-1-Premissas!$C$16&gt;=0,OFFSET($A$4,A32-1-Premissas!$C$16,0)&gt;=Premissas!$C$19,FALSE),ROUND(IF(A32-1-Premissas!$C$16&gt;=0,OFFSET($J$4,A32-1-Premissas!$C$16,0),0)*Premissas!$C$15,0),0)</f>
        <v/>
      </c>
      <c r="L32">
        <f>ROUND(C32*Premissas!$C$24/12,0)</f>
        <v/>
      </c>
      <c r="M32">
        <f>ROUND(D32*Premissas!$C$25,0)</f>
        <v/>
      </c>
      <c r="N32">
        <f>ROUND(E32*Premissas!$C$29+B32*Premissas!$C$30,0)</f>
        <v/>
      </c>
      <c r="O32">
        <f>K32+L32+M32+N32</f>
        <v/>
      </c>
      <c r="P32">
        <f>K32+ROUND(AC32*Premissas!$C$24,0)+M32+N32</f>
        <v/>
      </c>
      <c r="Q32">
        <f>ROUND(IF(A32-1-Premissas!$C$21&gt;=0,OFFSET($P$4,A32-1-Premissas!$C$21,0),0)*(1-Premissas!$C$20/100),0)</f>
        <v/>
      </c>
      <c r="R32">
        <f>ROUND(F32*Premissas!$C$11+N32*Premissas!$C$31/100,0)+ROUND((E32+B32)*Premissas!$C$10,0)+ROUND(Q32*Premissas!$C$8/100,0)+ROUND(Premissas!$C$35+(B32+C32)*Premissas!$C$36,0)</f>
        <v/>
      </c>
      <c r="S32">
        <f>O32-R32</f>
        <v/>
      </c>
      <c r="T32">
        <f>ROUND(O32*Premissas!$C$9/100,0)</f>
        <v/>
      </c>
      <c r="U32">
        <f>ROUND(AB32*Premissas!$C$33,0)</f>
        <v/>
      </c>
      <c r="V32">
        <f>Premissas!$C$37+ROUND(Premissas!$C$12*Premissas!$C$38+D32*Premissas!$C$27,0)</f>
        <v/>
      </c>
      <c r="W32">
        <f>Premissas!$C$39</f>
        <v/>
      </c>
      <c r="X32">
        <f>S32-T32-ROUND(Premissas!$C$12*Premissas!$C$38+D32*Premissas!$C$27,0)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Premissas!$C$32+(B32+C32)/Premissas!$C$34</f>
        <v/>
      </c>
      <c r="AC32">
        <f>D32+AC20*(1-Premissas!$C$26/12)^12</f>
        <v/>
      </c>
    </row>
    <row r="33">
      <c r="A33" t="n">
        <v>30</v>
      </c>
      <c r="B33">
        <f>B32*(1-Premissas!$C$18/12)+Premissas!$C$12</f>
        <v/>
      </c>
      <c r="C33">
        <f>IF($B$2=1,C32*(1-Premissas!$C$26/12)+D33,0)</f>
        <v/>
      </c>
      <c r="D33">
        <f>IF(AND($B$2=1,A33&gt;=Premissas!$C$23),Premissas!$C$22,0)</f>
        <v/>
      </c>
      <c r="E33">
        <f>B33*Premissas!$C$28</f>
        <v/>
      </c>
      <c r="F33">
        <f>B33*Premissas!$C$13/12*MIN(1,A33/Premissas!$C$17)</f>
        <v/>
      </c>
      <c r="G33">
        <f>F33*Premissas!$C$14</f>
        <v/>
      </c>
      <c r="H33">
        <f>IF(IF(A33-1-Premissas!$C$16&gt;=0,OFFSET($J$4,A33-1-Premissas!$C$16,0),0)&gt;0,ROUND(IF(A33-1-Premissas!$C$16&gt;=0,OFFSET($J$4,A33-1-Premissas!$C$16,0),0)*10000/Premissas!$C$5*Premissas!$C$15,0),0)</f>
        <v/>
      </c>
      <c r="I33">
        <f>ROUND(G33*Premissas!$C$6/10000,0)</f>
        <v/>
      </c>
      <c r="J33">
        <f>ROUND(G33*Premissas!$C$5/10000,0)</f>
        <v/>
      </c>
      <c r="K33">
        <f>IF(IF(A33-1-Premissas!$C$16&gt;=0,OFFSET($A$4,A33-1-Premissas!$C$16,0)&gt;=Premissas!$C$19,FALSE),ROUND(IF(A33-1-Premissas!$C$16&gt;=0,OFFSET($J$4,A33-1-Premissas!$C$16,0),0)*Premissas!$C$15,0),0)</f>
        <v/>
      </c>
      <c r="L33">
        <f>ROUND(C33*Premissas!$C$24/12,0)</f>
        <v/>
      </c>
      <c r="M33">
        <f>ROUND(D33*Premissas!$C$25,0)</f>
        <v/>
      </c>
      <c r="N33">
        <f>ROUND(E33*Premissas!$C$29+B33*Premissas!$C$30,0)</f>
        <v/>
      </c>
      <c r="O33">
        <f>K33+L33+M33+N33</f>
        <v/>
      </c>
      <c r="P33">
        <f>K33+ROUND(AC33*Premissas!$C$24,0)+M33+N33</f>
        <v/>
      </c>
      <c r="Q33">
        <f>ROUND(IF(A33-1-Premissas!$C$21&gt;=0,OFFSET($P$4,A33-1-Premissas!$C$21,0),0)*(1-Premissas!$C$20/100),0)</f>
        <v/>
      </c>
      <c r="R33">
        <f>ROUND(F33*Premissas!$C$11+N33*Premissas!$C$31/100,0)+ROUND((E33+B33)*Premissas!$C$10,0)+ROUND(Q33*Premissas!$C$8/100,0)+ROUND(Premissas!$C$35+(B33+C33)*Premissas!$C$36,0)</f>
        <v/>
      </c>
      <c r="S33">
        <f>O33-R33</f>
        <v/>
      </c>
      <c r="T33">
        <f>ROUND(O33*Premissas!$C$9/100,0)</f>
        <v/>
      </c>
      <c r="U33">
        <f>ROUND(AB33*Premissas!$C$33,0)</f>
        <v/>
      </c>
      <c r="V33">
        <f>Premissas!$C$37+ROUND(Premissas!$C$12*Premissas!$C$38+D33*Premissas!$C$27,0)</f>
        <v/>
      </c>
      <c r="W33">
        <f>Premissas!$C$39</f>
        <v/>
      </c>
      <c r="X33">
        <f>S33-T33-ROUND(Premissas!$C$12*Premissas!$C$38+D33*Premissas!$C$27,0)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Premissas!$C$32+(B33+C33)/Premissas!$C$34</f>
        <v/>
      </c>
      <c r="AC33">
        <f>D33+AC21*(1-Premissas!$C$26/12)^12</f>
        <v/>
      </c>
    </row>
    <row r="34">
      <c r="A34" t="n">
        <v>31</v>
      </c>
      <c r="B34">
        <f>B33*(1-Premissas!$C$18/12)+Premissas!$C$12</f>
        <v/>
      </c>
      <c r="C34">
        <f>IF($B$2=1,C33*(1-Premissas!$C$26/12)+D34,0)</f>
        <v/>
      </c>
      <c r="D34">
        <f>IF(AND($B$2=1,A34&gt;=Premissas!$C$23),Premissas!$C$22,0)</f>
        <v/>
      </c>
      <c r="E34">
        <f>B34*Premissas!$C$28</f>
        <v/>
      </c>
      <c r="F34">
        <f>B34*Premissas!$C$13/12*MIN(1,A34/Premissas!$C$17)</f>
        <v/>
      </c>
      <c r="G34">
        <f>F34*Premissas!$C$14</f>
        <v/>
      </c>
      <c r="H34">
        <f>IF(IF(A34-1-Premissas!$C$16&gt;=0,OFFSET($J$4,A34-1-Premissas!$C$16,0),0)&gt;0,ROUND(IF(A34-1-Premissas!$C$16&gt;=0,OFFSET($J$4,A34-1-Premissas!$C$16,0),0)*10000/Premissas!$C$5*Premissas!$C$15,0),0)</f>
        <v/>
      </c>
      <c r="I34">
        <f>ROUND(G34*Premissas!$C$6/10000,0)</f>
        <v/>
      </c>
      <c r="J34">
        <f>ROUND(G34*Premissas!$C$5/10000,0)</f>
        <v/>
      </c>
      <c r="K34">
        <f>IF(IF(A34-1-Premissas!$C$16&gt;=0,OFFSET($A$4,A34-1-Premissas!$C$16,0)&gt;=Premissas!$C$19,FALSE),ROUND(IF(A34-1-Premissas!$C$16&gt;=0,OFFSET($J$4,A34-1-Premissas!$C$16,0),0)*Premissas!$C$15,0),0)</f>
        <v/>
      </c>
      <c r="L34">
        <f>ROUND(C34*Premissas!$C$24/12,0)</f>
        <v/>
      </c>
      <c r="M34">
        <f>ROUND(D34*Premissas!$C$25,0)</f>
        <v/>
      </c>
      <c r="N34">
        <f>ROUND(E34*Premissas!$C$29+B34*Premissas!$C$30,0)</f>
        <v/>
      </c>
      <c r="O34">
        <f>K34+L34+M34+N34</f>
        <v/>
      </c>
      <c r="P34">
        <f>K34+ROUND(AC34*Premissas!$C$24,0)+M34+N34</f>
        <v/>
      </c>
      <c r="Q34">
        <f>ROUND(IF(A34-1-Premissas!$C$21&gt;=0,OFFSET($P$4,A34-1-Premissas!$C$21,0),0)*(1-Premissas!$C$20/100),0)</f>
        <v/>
      </c>
      <c r="R34">
        <f>ROUND(F34*Premissas!$C$11+N34*Premissas!$C$31/100,0)+ROUND((E34+B34)*Premissas!$C$10,0)+ROUND(Q34*Premissas!$C$8/100,0)+ROUND(Premissas!$C$35+(B34+C34)*Premissas!$C$36,0)</f>
        <v/>
      </c>
      <c r="S34">
        <f>O34-R34</f>
        <v/>
      </c>
      <c r="T34">
        <f>ROUND(O34*Premissas!$C$9/100,0)</f>
        <v/>
      </c>
      <c r="U34">
        <f>ROUND(AB34*Premissas!$C$33,0)</f>
        <v/>
      </c>
      <c r="V34">
        <f>Premissas!$C$37+ROUND(Premissas!$C$12*Premissas!$C$38+D34*Premissas!$C$27,0)</f>
        <v/>
      </c>
      <c r="W34">
        <f>Premissas!$C$39</f>
        <v/>
      </c>
      <c r="X34">
        <f>S34-T34-ROUND(Premissas!$C$12*Premissas!$C$38+D34*Premissas!$C$27,0)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Premissas!$C$32+(B34+C34)/Premissas!$C$34</f>
        <v/>
      </c>
      <c r="AC34">
        <f>D34+AC22*(1-Premissas!$C$26/12)^12</f>
        <v/>
      </c>
    </row>
    <row r="35">
      <c r="A35" t="n">
        <v>32</v>
      </c>
      <c r="B35">
        <f>B34*(1-Premissas!$C$18/12)+Premissas!$C$12</f>
        <v/>
      </c>
      <c r="C35">
        <f>IF($B$2=1,C34*(1-Premissas!$C$26/12)+D35,0)</f>
        <v/>
      </c>
      <c r="D35">
        <f>IF(AND($B$2=1,A35&gt;=Premissas!$C$23),Premissas!$C$22,0)</f>
        <v/>
      </c>
      <c r="E35">
        <f>B35*Premissas!$C$28</f>
        <v/>
      </c>
      <c r="F35">
        <f>B35*Premissas!$C$13/12*MIN(1,A35/Premissas!$C$17)</f>
        <v/>
      </c>
      <c r="G35">
        <f>F35*Premissas!$C$14</f>
        <v/>
      </c>
      <c r="H35">
        <f>IF(IF(A35-1-Premissas!$C$16&gt;=0,OFFSET($J$4,A35-1-Premissas!$C$16,0),0)&gt;0,ROUND(IF(A35-1-Premissas!$C$16&gt;=0,OFFSET($J$4,A35-1-Premissas!$C$16,0),0)*10000/Premissas!$C$5*Premissas!$C$15,0),0)</f>
        <v/>
      </c>
      <c r="I35">
        <f>ROUND(G35*Premissas!$C$6/10000,0)</f>
        <v/>
      </c>
      <c r="J35">
        <f>ROUND(G35*Premissas!$C$5/10000,0)</f>
        <v/>
      </c>
      <c r="K35">
        <f>IF(IF(A35-1-Premissas!$C$16&gt;=0,OFFSET($A$4,A35-1-Premissas!$C$16,0)&gt;=Premissas!$C$19,FALSE),ROUND(IF(A35-1-Premissas!$C$16&gt;=0,OFFSET($J$4,A35-1-Premissas!$C$16,0),0)*Premissas!$C$15,0),0)</f>
        <v/>
      </c>
      <c r="L35">
        <f>ROUND(C35*Premissas!$C$24/12,0)</f>
        <v/>
      </c>
      <c r="M35">
        <f>ROUND(D35*Premissas!$C$25,0)</f>
        <v/>
      </c>
      <c r="N35">
        <f>ROUND(E35*Premissas!$C$29+B35*Premissas!$C$30,0)</f>
        <v/>
      </c>
      <c r="O35">
        <f>K35+L35+M35+N35</f>
        <v/>
      </c>
      <c r="P35">
        <f>K35+ROUND(AC35*Premissas!$C$24,0)+M35+N35</f>
        <v/>
      </c>
      <c r="Q35">
        <f>ROUND(IF(A35-1-Premissas!$C$21&gt;=0,OFFSET($P$4,A35-1-Premissas!$C$21,0),0)*(1-Premissas!$C$20/100),0)</f>
        <v/>
      </c>
      <c r="R35">
        <f>ROUND(F35*Premissas!$C$11+N35*Premissas!$C$31/100,0)+ROUND((E35+B35)*Premissas!$C$10,0)+ROUND(Q35*Premissas!$C$8/100,0)+ROUND(Premissas!$C$35+(B35+C35)*Premissas!$C$36,0)</f>
        <v/>
      </c>
      <c r="S35">
        <f>O35-R35</f>
        <v/>
      </c>
      <c r="T35">
        <f>ROUND(O35*Premissas!$C$9/100,0)</f>
        <v/>
      </c>
      <c r="U35">
        <f>ROUND(AB35*Premissas!$C$33,0)</f>
        <v/>
      </c>
      <c r="V35">
        <f>Premissas!$C$37+ROUND(Premissas!$C$12*Premissas!$C$38+D35*Premissas!$C$27,0)</f>
        <v/>
      </c>
      <c r="W35">
        <f>Premissas!$C$39</f>
        <v/>
      </c>
      <c r="X35">
        <f>S35-T35-ROUND(Premissas!$C$12*Premissas!$C$38+D35*Premissas!$C$27,0)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Premissas!$C$32+(B35+C35)/Premissas!$C$34</f>
        <v/>
      </c>
      <c r="AC35">
        <f>D35+AC23*(1-Premissas!$C$26/12)^12</f>
        <v/>
      </c>
    </row>
    <row r="36">
      <c r="A36" t="n">
        <v>33</v>
      </c>
      <c r="B36">
        <f>B35*(1-Premissas!$C$18/12)+Premissas!$C$12</f>
        <v/>
      </c>
      <c r="C36">
        <f>IF($B$2=1,C35*(1-Premissas!$C$26/12)+D36,0)</f>
        <v/>
      </c>
      <c r="D36">
        <f>IF(AND($B$2=1,A36&gt;=Premissas!$C$23),Premissas!$C$22,0)</f>
        <v/>
      </c>
      <c r="E36">
        <f>B36*Premissas!$C$28</f>
        <v/>
      </c>
      <c r="F36">
        <f>B36*Premissas!$C$13/12*MIN(1,A36/Premissas!$C$17)</f>
        <v/>
      </c>
      <c r="G36">
        <f>F36*Premissas!$C$14</f>
        <v/>
      </c>
      <c r="H36">
        <f>IF(IF(A36-1-Premissas!$C$16&gt;=0,OFFSET($J$4,A36-1-Premissas!$C$16,0),0)&gt;0,ROUND(IF(A36-1-Premissas!$C$16&gt;=0,OFFSET($J$4,A36-1-Premissas!$C$16,0),0)*10000/Premissas!$C$5*Premissas!$C$15,0),0)</f>
        <v/>
      </c>
      <c r="I36">
        <f>ROUND(G36*Premissas!$C$6/10000,0)</f>
        <v/>
      </c>
      <c r="J36">
        <f>ROUND(G36*Premissas!$C$5/10000,0)</f>
        <v/>
      </c>
      <c r="K36">
        <f>IF(IF(A36-1-Premissas!$C$16&gt;=0,OFFSET($A$4,A36-1-Premissas!$C$16,0)&gt;=Premissas!$C$19,FALSE),ROUND(IF(A36-1-Premissas!$C$16&gt;=0,OFFSET($J$4,A36-1-Premissas!$C$16,0),0)*Premissas!$C$15,0),0)</f>
        <v/>
      </c>
      <c r="L36">
        <f>ROUND(C36*Premissas!$C$24/12,0)</f>
        <v/>
      </c>
      <c r="M36">
        <f>ROUND(D36*Premissas!$C$25,0)</f>
        <v/>
      </c>
      <c r="N36">
        <f>ROUND(E36*Premissas!$C$29+B36*Premissas!$C$30,0)</f>
        <v/>
      </c>
      <c r="O36">
        <f>K36+L36+M36+N36</f>
        <v/>
      </c>
      <c r="P36">
        <f>K36+ROUND(AC36*Premissas!$C$24,0)+M36+N36</f>
        <v/>
      </c>
      <c r="Q36">
        <f>ROUND(IF(A36-1-Premissas!$C$21&gt;=0,OFFSET($P$4,A36-1-Premissas!$C$21,0),0)*(1-Premissas!$C$20/100),0)</f>
        <v/>
      </c>
      <c r="R36">
        <f>ROUND(F36*Premissas!$C$11+N36*Premissas!$C$31/100,0)+ROUND((E36+B36)*Premissas!$C$10,0)+ROUND(Q36*Premissas!$C$8/100,0)+ROUND(Premissas!$C$35+(B36+C36)*Premissas!$C$36,0)</f>
        <v/>
      </c>
      <c r="S36">
        <f>O36-R36</f>
        <v/>
      </c>
      <c r="T36">
        <f>ROUND(O36*Premissas!$C$9/100,0)</f>
        <v/>
      </c>
      <c r="U36">
        <f>ROUND(AB36*Premissas!$C$33,0)</f>
        <v/>
      </c>
      <c r="V36">
        <f>Premissas!$C$37+ROUND(Premissas!$C$12*Premissas!$C$38+D36*Premissas!$C$27,0)</f>
        <v/>
      </c>
      <c r="W36">
        <f>Premissas!$C$39</f>
        <v/>
      </c>
      <c r="X36">
        <f>S36-T36-ROUND(Premissas!$C$12*Premissas!$C$38+D36*Premissas!$C$27,0)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Premissas!$C$32+(B36+C36)/Premissas!$C$34</f>
        <v/>
      </c>
      <c r="AC36">
        <f>D36+AC24*(1-Premissas!$C$26/12)^12</f>
        <v/>
      </c>
    </row>
    <row r="37">
      <c r="A37" t="n">
        <v>34</v>
      </c>
      <c r="B37">
        <f>B36*(1-Premissas!$C$18/12)+Premissas!$C$12</f>
        <v/>
      </c>
      <c r="C37">
        <f>IF($B$2=1,C36*(1-Premissas!$C$26/12)+D37,0)</f>
        <v/>
      </c>
      <c r="D37">
        <f>IF(AND($B$2=1,A37&gt;=Premissas!$C$23),Premissas!$C$22,0)</f>
        <v/>
      </c>
      <c r="E37">
        <f>B37*Premissas!$C$28</f>
        <v/>
      </c>
      <c r="F37">
        <f>B37*Premissas!$C$13/12*MIN(1,A37/Premissas!$C$17)</f>
        <v/>
      </c>
      <c r="G37">
        <f>F37*Premissas!$C$14</f>
        <v/>
      </c>
      <c r="H37">
        <f>IF(IF(A37-1-Premissas!$C$16&gt;=0,OFFSET($J$4,A37-1-Premissas!$C$16,0),0)&gt;0,ROUND(IF(A37-1-Premissas!$C$16&gt;=0,OFFSET($J$4,A37-1-Premissas!$C$16,0),0)*10000/Premissas!$C$5*Premissas!$C$15,0),0)</f>
        <v/>
      </c>
      <c r="I37">
        <f>ROUND(G37*Premissas!$C$6/10000,0)</f>
        <v/>
      </c>
      <c r="J37">
        <f>ROUND(G37*Premissas!$C$5/10000,0)</f>
        <v/>
      </c>
      <c r="K37">
        <f>IF(IF(A37-1-Premissas!$C$16&gt;=0,OFFSET($A$4,A37-1-Premissas!$C$16,0)&gt;=Premissas!$C$19,FALSE),ROUND(IF(A37-1-Premissas!$C$16&gt;=0,OFFSET($J$4,A37-1-Premissas!$C$16,0),0)*Premissas!$C$15,0),0)</f>
        <v/>
      </c>
      <c r="L37">
        <f>ROUND(C37*Premissas!$C$24/12,0)</f>
        <v/>
      </c>
      <c r="M37">
        <f>ROUND(D37*Premissas!$C$25,0)</f>
        <v/>
      </c>
      <c r="N37">
        <f>ROUND(E37*Premissas!$C$29+B37*Premissas!$C$30,0)</f>
        <v/>
      </c>
      <c r="O37">
        <f>K37+L37+M37+N37</f>
        <v/>
      </c>
      <c r="P37">
        <f>K37+ROUND(AC37*Premissas!$C$24,0)+M37+N37</f>
        <v/>
      </c>
      <c r="Q37">
        <f>ROUND(IF(A37-1-Premissas!$C$21&gt;=0,OFFSET($P$4,A37-1-Premissas!$C$21,0),0)*(1-Premissas!$C$20/100),0)</f>
        <v/>
      </c>
      <c r="R37">
        <f>ROUND(F37*Premissas!$C$11+N37*Premissas!$C$31/100,0)+ROUND((E37+B37)*Premissas!$C$10,0)+ROUND(Q37*Premissas!$C$8/100,0)+ROUND(Premissas!$C$35+(B37+C37)*Premissas!$C$36,0)</f>
        <v/>
      </c>
      <c r="S37">
        <f>O37-R37</f>
        <v/>
      </c>
      <c r="T37">
        <f>ROUND(O37*Premissas!$C$9/100,0)</f>
        <v/>
      </c>
      <c r="U37">
        <f>ROUND(AB37*Premissas!$C$33,0)</f>
        <v/>
      </c>
      <c r="V37">
        <f>Premissas!$C$37+ROUND(Premissas!$C$12*Premissas!$C$38+D37*Premissas!$C$27,0)</f>
        <v/>
      </c>
      <c r="W37">
        <f>Premissas!$C$39</f>
        <v/>
      </c>
      <c r="X37">
        <f>S37-T37-ROUND(Premissas!$C$12*Premissas!$C$38+D37*Premissas!$C$27,0)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Premissas!$C$32+(B37+C37)/Premissas!$C$34</f>
        <v/>
      </c>
      <c r="AC37">
        <f>D37+AC25*(1-Premissas!$C$26/12)^12</f>
        <v/>
      </c>
    </row>
    <row r="38">
      <c r="A38" t="n">
        <v>35</v>
      </c>
      <c r="B38">
        <f>B37*(1-Premissas!$C$18/12)+Premissas!$C$12</f>
        <v/>
      </c>
      <c r="C38">
        <f>IF($B$2=1,C37*(1-Premissas!$C$26/12)+D38,0)</f>
        <v/>
      </c>
      <c r="D38">
        <f>IF(AND($B$2=1,A38&gt;=Premissas!$C$23),Premissas!$C$22,0)</f>
        <v/>
      </c>
      <c r="E38">
        <f>B38*Premissas!$C$28</f>
        <v/>
      </c>
      <c r="F38">
        <f>B38*Premissas!$C$13/12*MIN(1,A38/Premissas!$C$17)</f>
        <v/>
      </c>
      <c r="G38">
        <f>F38*Premissas!$C$14</f>
        <v/>
      </c>
      <c r="H38">
        <f>IF(IF(A38-1-Premissas!$C$16&gt;=0,OFFSET($J$4,A38-1-Premissas!$C$16,0),0)&gt;0,ROUND(IF(A38-1-Premissas!$C$16&gt;=0,OFFSET($J$4,A38-1-Premissas!$C$16,0),0)*10000/Premissas!$C$5*Premissas!$C$15,0),0)</f>
        <v/>
      </c>
      <c r="I38">
        <f>ROUND(G38*Premissas!$C$6/10000,0)</f>
        <v/>
      </c>
      <c r="J38">
        <f>ROUND(G38*Premissas!$C$5/10000,0)</f>
        <v/>
      </c>
      <c r="K38">
        <f>IF(IF(A38-1-Premissas!$C$16&gt;=0,OFFSET($A$4,A38-1-Premissas!$C$16,0)&gt;=Premissas!$C$19,FALSE),ROUND(IF(A38-1-Premissas!$C$16&gt;=0,OFFSET($J$4,A38-1-Premissas!$C$16,0),0)*Premissas!$C$15,0),0)</f>
        <v/>
      </c>
      <c r="L38">
        <f>ROUND(C38*Premissas!$C$24/12,0)</f>
        <v/>
      </c>
      <c r="M38">
        <f>ROUND(D38*Premissas!$C$25,0)</f>
        <v/>
      </c>
      <c r="N38">
        <f>ROUND(E38*Premissas!$C$29+B38*Premissas!$C$30,0)</f>
        <v/>
      </c>
      <c r="O38">
        <f>K38+L38+M38+N38</f>
        <v/>
      </c>
      <c r="P38">
        <f>K38+ROUND(AC38*Premissas!$C$24,0)+M38+N38</f>
        <v/>
      </c>
      <c r="Q38">
        <f>ROUND(IF(A38-1-Premissas!$C$21&gt;=0,OFFSET($P$4,A38-1-Premissas!$C$21,0),0)*(1-Premissas!$C$20/100),0)</f>
        <v/>
      </c>
      <c r="R38">
        <f>ROUND(F38*Premissas!$C$11+N38*Premissas!$C$31/100,0)+ROUND((E38+B38)*Premissas!$C$10,0)+ROUND(Q38*Premissas!$C$8/100,0)+ROUND(Premissas!$C$35+(B38+C38)*Premissas!$C$36,0)</f>
        <v/>
      </c>
      <c r="S38">
        <f>O38-R38</f>
        <v/>
      </c>
      <c r="T38">
        <f>ROUND(O38*Premissas!$C$9/100,0)</f>
        <v/>
      </c>
      <c r="U38">
        <f>ROUND(AB38*Premissas!$C$33,0)</f>
        <v/>
      </c>
      <c r="V38">
        <f>Premissas!$C$37+ROUND(Premissas!$C$12*Premissas!$C$38+D38*Premissas!$C$27,0)</f>
        <v/>
      </c>
      <c r="W38">
        <f>Premissas!$C$39</f>
        <v/>
      </c>
      <c r="X38">
        <f>S38-T38-ROUND(Premissas!$C$12*Premissas!$C$38+D38*Premissas!$C$27,0)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Premissas!$C$32+(B38+C38)/Premissas!$C$34</f>
        <v/>
      </c>
      <c r="AC38">
        <f>D38+AC26*(1-Premissas!$C$26/12)^12</f>
        <v/>
      </c>
    </row>
    <row r="39">
      <c r="A39" t="n">
        <v>36</v>
      </c>
      <c r="B39">
        <f>B38*(1-Premissas!$C$18/12)+Premissas!$C$12</f>
        <v/>
      </c>
      <c r="C39">
        <f>IF($B$2=1,C38*(1-Premissas!$C$26/12)+D39,0)</f>
        <v/>
      </c>
      <c r="D39">
        <f>IF(AND($B$2=1,A39&gt;=Premissas!$C$23),Premissas!$C$22,0)</f>
        <v/>
      </c>
      <c r="E39">
        <f>B39*Premissas!$C$28</f>
        <v/>
      </c>
      <c r="F39">
        <f>B39*Premissas!$C$13/12*MIN(1,A39/Premissas!$C$17)</f>
        <v/>
      </c>
      <c r="G39">
        <f>F39*Premissas!$C$14</f>
        <v/>
      </c>
      <c r="H39">
        <f>IF(IF(A39-1-Premissas!$C$16&gt;=0,OFFSET($J$4,A39-1-Premissas!$C$16,0),0)&gt;0,ROUND(IF(A39-1-Premissas!$C$16&gt;=0,OFFSET($J$4,A39-1-Premissas!$C$16,0),0)*10000/Premissas!$C$5*Premissas!$C$15,0),0)</f>
        <v/>
      </c>
      <c r="I39">
        <f>ROUND(G39*Premissas!$C$6/10000,0)</f>
        <v/>
      </c>
      <c r="J39">
        <f>ROUND(G39*Premissas!$C$5/10000,0)</f>
        <v/>
      </c>
      <c r="K39">
        <f>IF(IF(A39-1-Premissas!$C$16&gt;=0,OFFSET($A$4,A39-1-Premissas!$C$16,0)&gt;=Premissas!$C$19,FALSE),ROUND(IF(A39-1-Premissas!$C$16&gt;=0,OFFSET($J$4,A39-1-Premissas!$C$16,0),0)*Premissas!$C$15,0),0)</f>
        <v/>
      </c>
      <c r="L39">
        <f>ROUND(C39*Premissas!$C$24/12,0)</f>
        <v/>
      </c>
      <c r="M39">
        <f>ROUND(D39*Premissas!$C$25,0)</f>
        <v/>
      </c>
      <c r="N39">
        <f>ROUND(E39*Premissas!$C$29+B39*Premissas!$C$30,0)</f>
        <v/>
      </c>
      <c r="O39">
        <f>K39+L39+M39+N39</f>
        <v/>
      </c>
      <c r="P39">
        <f>K39+ROUND(AC39*Premissas!$C$24,0)+M39+N39</f>
        <v/>
      </c>
      <c r="Q39">
        <f>ROUND(IF(A39-1-Premissas!$C$21&gt;=0,OFFSET($P$4,A39-1-Premissas!$C$21,0),0)*(1-Premissas!$C$20/100),0)</f>
        <v/>
      </c>
      <c r="R39">
        <f>ROUND(F39*Premissas!$C$11+N39*Premissas!$C$31/100,0)+ROUND((E39+B39)*Premissas!$C$10,0)+ROUND(Q39*Premissas!$C$8/100,0)+ROUND(Premissas!$C$35+(B39+C39)*Premissas!$C$36,0)</f>
        <v/>
      </c>
      <c r="S39">
        <f>O39-R39</f>
        <v/>
      </c>
      <c r="T39">
        <f>ROUND(O39*Premissas!$C$9/100,0)</f>
        <v/>
      </c>
      <c r="U39">
        <f>ROUND(AB39*Premissas!$C$33,0)</f>
        <v/>
      </c>
      <c r="V39">
        <f>Premissas!$C$37+ROUND(Premissas!$C$12*Premissas!$C$38+D39*Premissas!$C$27,0)</f>
        <v/>
      </c>
      <c r="W39">
        <f>Premissas!$C$39</f>
        <v/>
      </c>
      <c r="X39">
        <f>S39-T39-ROUND(Premissas!$C$12*Premissas!$C$38+D39*Premissas!$C$27,0)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Premissas!$C$32+(B39+C39)/Premissas!$C$34</f>
        <v/>
      </c>
      <c r="AC39">
        <f>D39+AC27*(1-Premissas!$C$26/12)^12</f>
        <v/>
      </c>
    </row>
    <row r="40">
      <c r="A40" t="n">
        <v>37</v>
      </c>
      <c r="B40">
        <f>B39*(1-Premissas!$C$18/12)+Premissas!$C$12</f>
        <v/>
      </c>
      <c r="C40">
        <f>IF($B$2=1,C39*(1-Premissas!$C$26/12)+D40,0)</f>
        <v/>
      </c>
      <c r="D40">
        <f>IF(AND($B$2=1,A40&gt;=Premissas!$C$23),Premissas!$C$22,0)</f>
        <v/>
      </c>
      <c r="E40">
        <f>B40*Premissas!$C$28</f>
        <v/>
      </c>
      <c r="F40">
        <f>B40*Premissas!$C$13/12*MIN(1,A40/Premissas!$C$17)</f>
        <v/>
      </c>
      <c r="G40">
        <f>F40*Premissas!$C$14</f>
        <v/>
      </c>
      <c r="H40">
        <f>IF(IF(A40-1-Premissas!$C$16&gt;=0,OFFSET($J$4,A40-1-Premissas!$C$16,0),0)&gt;0,ROUND(IF(A40-1-Premissas!$C$16&gt;=0,OFFSET($J$4,A40-1-Premissas!$C$16,0),0)*10000/Premissas!$C$5*Premissas!$C$15,0),0)</f>
        <v/>
      </c>
      <c r="I40">
        <f>ROUND(G40*Premissas!$C$6/10000,0)</f>
        <v/>
      </c>
      <c r="J40">
        <f>ROUND(G40*Premissas!$C$5/10000,0)</f>
        <v/>
      </c>
      <c r="K40">
        <f>IF(IF(A40-1-Premissas!$C$16&gt;=0,OFFSET($A$4,A40-1-Premissas!$C$16,0)&gt;=Premissas!$C$19,FALSE),ROUND(IF(A40-1-Premissas!$C$16&gt;=0,OFFSET($J$4,A40-1-Premissas!$C$16,0),0)*Premissas!$C$15,0),0)</f>
        <v/>
      </c>
      <c r="L40">
        <f>ROUND(C40*Premissas!$C$24/12,0)</f>
        <v/>
      </c>
      <c r="M40">
        <f>ROUND(D40*Premissas!$C$25,0)</f>
        <v/>
      </c>
      <c r="N40">
        <f>ROUND(E40*Premissas!$C$29+B40*Premissas!$C$30,0)</f>
        <v/>
      </c>
      <c r="O40">
        <f>K40+L40+M40+N40</f>
        <v/>
      </c>
      <c r="P40">
        <f>K40+ROUND(AC40*Premissas!$C$24,0)+M40+N40</f>
        <v/>
      </c>
      <c r="Q40">
        <f>ROUND(IF(A40-1-Premissas!$C$21&gt;=0,OFFSET($P$4,A40-1-Premissas!$C$21,0),0)*(1-Premissas!$C$20/100),0)</f>
        <v/>
      </c>
      <c r="R40">
        <f>ROUND(F40*Premissas!$C$11+N40*Premissas!$C$31/100,0)+ROUND((E40+B40)*Premissas!$C$10,0)+ROUND(Q40*Premissas!$C$8/100,0)+ROUND(Premissas!$C$35+(B40+C40)*Premissas!$C$36,0)</f>
        <v/>
      </c>
      <c r="S40">
        <f>O40-R40</f>
        <v/>
      </c>
      <c r="T40">
        <f>ROUND(O40*Premissas!$C$9/100,0)</f>
        <v/>
      </c>
      <c r="U40">
        <f>ROUND(AB40*Premissas!$C$33,0)</f>
        <v/>
      </c>
      <c r="V40">
        <f>Premissas!$C$37+ROUND(Premissas!$C$12*Premissas!$C$38+D40*Premissas!$C$27,0)</f>
        <v/>
      </c>
      <c r="W40">
        <f>Premissas!$C$39</f>
        <v/>
      </c>
      <c r="X40">
        <f>S40-T40-ROUND(Premissas!$C$12*Premissas!$C$38+D40*Premissas!$C$27,0)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Premissas!$C$32+(B40+C40)/Premissas!$C$34</f>
        <v/>
      </c>
      <c r="AC40">
        <f>D40+AC28*(1-Premissas!$C$26/12)^12</f>
        <v/>
      </c>
    </row>
    <row r="41">
      <c r="A41" t="n">
        <v>38</v>
      </c>
      <c r="B41">
        <f>B40*(1-Premissas!$C$18/12)+Premissas!$C$12</f>
        <v/>
      </c>
      <c r="C41">
        <f>IF($B$2=1,C40*(1-Premissas!$C$26/12)+D41,0)</f>
        <v/>
      </c>
      <c r="D41">
        <f>IF(AND($B$2=1,A41&gt;=Premissas!$C$23),Premissas!$C$22,0)</f>
        <v/>
      </c>
      <c r="E41">
        <f>B41*Premissas!$C$28</f>
        <v/>
      </c>
      <c r="F41">
        <f>B41*Premissas!$C$13/12*MIN(1,A41/Premissas!$C$17)</f>
        <v/>
      </c>
      <c r="G41">
        <f>F41*Premissas!$C$14</f>
        <v/>
      </c>
      <c r="H41">
        <f>IF(IF(A41-1-Premissas!$C$16&gt;=0,OFFSET($J$4,A41-1-Premissas!$C$16,0),0)&gt;0,ROUND(IF(A41-1-Premissas!$C$16&gt;=0,OFFSET($J$4,A41-1-Premissas!$C$16,0),0)*10000/Premissas!$C$5*Premissas!$C$15,0),0)</f>
        <v/>
      </c>
      <c r="I41">
        <f>ROUND(G41*Premissas!$C$6/10000,0)</f>
        <v/>
      </c>
      <c r="J41">
        <f>ROUND(G41*Premissas!$C$5/10000,0)</f>
        <v/>
      </c>
      <c r="K41">
        <f>IF(IF(A41-1-Premissas!$C$16&gt;=0,OFFSET($A$4,A41-1-Premissas!$C$16,0)&gt;=Premissas!$C$19,FALSE),ROUND(IF(A41-1-Premissas!$C$16&gt;=0,OFFSET($J$4,A41-1-Premissas!$C$16,0),0)*Premissas!$C$15,0),0)</f>
        <v/>
      </c>
      <c r="L41">
        <f>ROUND(C41*Premissas!$C$24/12,0)</f>
        <v/>
      </c>
      <c r="M41">
        <f>ROUND(D41*Premissas!$C$25,0)</f>
        <v/>
      </c>
      <c r="N41">
        <f>ROUND(E41*Premissas!$C$29+B41*Premissas!$C$30,0)</f>
        <v/>
      </c>
      <c r="O41">
        <f>K41+L41+M41+N41</f>
        <v/>
      </c>
      <c r="P41">
        <f>K41+ROUND(AC41*Premissas!$C$24,0)+M41+N41</f>
        <v/>
      </c>
      <c r="Q41">
        <f>ROUND(IF(A41-1-Premissas!$C$21&gt;=0,OFFSET($P$4,A41-1-Premissas!$C$21,0),0)*(1-Premissas!$C$20/100),0)</f>
        <v/>
      </c>
      <c r="R41">
        <f>ROUND(F41*Premissas!$C$11+N41*Premissas!$C$31/100,0)+ROUND((E41+B41)*Premissas!$C$10,0)+ROUND(Q41*Premissas!$C$8/100,0)+ROUND(Premissas!$C$35+(B41+C41)*Premissas!$C$36,0)</f>
        <v/>
      </c>
      <c r="S41">
        <f>O41-R41</f>
        <v/>
      </c>
      <c r="T41">
        <f>ROUND(O41*Premissas!$C$9/100,0)</f>
        <v/>
      </c>
      <c r="U41">
        <f>ROUND(AB41*Premissas!$C$33,0)</f>
        <v/>
      </c>
      <c r="V41">
        <f>Premissas!$C$37+ROUND(Premissas!$C$12*Premissas!$C$38+D41*Premissas!$C$27,0)</f>
        <v/>
      </c>
      <c r="W41">
        <f>Premissas!$C$39</f>
        <v/>
      </c>
      <c r="X41">
        <f>S41-T41-ROUND(Premissas!$C$12*Premissas!$C$38+D41*Premissas!$C$27,0)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Premissas!$C$32+(B41+C41)/Premissas!$C$34</f>
        <v/>
      </c>
      <c r="AC41">
        <f>D41+AC29*(1-Premissas!$C$26/12)^12</f>
        <v/>
      </c>
    </row>
    <row r="42">
      <c r="A42" t="n">
        <v>39</v>
      </c>
      <c r="B42">
        <f>B41*(1-Premissas!$C$18/12)+Premissas!$C$12</f>
        <v/>
      </c>
      <c r="C42">
        <f>IF($B$2=1,C41*(1-Premissas!$C$26/12)+D42,0)</f>
        <v/>
      </c>
      <c r="D42">
        <f>IF(AND($B$2=1,A42&gt;=Premissas!$C$23),Premissas!$C$22,0)</f>
        <v/>
      </c>
      <c r="E42">
        <f>B42*Premissas!$C$28</f>
        <v/>
      </c>
      <c r="F42">
        <f>B42*Premissas!$C$13/12*MIN(1,A42/Premissas!$C$17)</f>
        <v/>
      </c>
      <c r="G42">
        <f>F42*Premissas!$C$14</f>
        <v/>
      </c>
      <c r="H42">
        <f>IF(IF(A42-1-Premissas!$C$16&gt;=0,OFFSET($J$4,A42-1-Premissas!$C$16,0),0)&gt;0,ROUND(IF(A42-1-Premissas!$C$16&gt;=0,OFFSET($J$4,A42-1-Premissas!$C$16,0),0)*10000/Premissas!$C$5*Premissas!$C$15,0),0)</f>
        <v/>
      </c>
      <c r="I42">
        <f>ROUND(G42*Premissas!$C$6/10000,0)</f>
        <v/>
      </c>
      <c r="J42">
        <f>ROUND(G42*Premissas!$C$5/10000,0)</f>
        <v/>
      </c>
      <c r="K42">
        <f>IF(IF(A42-1-Premissas!$C$16&gt;=0,OFFSET($A$4,A42-1-Premissas!$C$16,0)&gt;=Premissas!$C$19,FALSE),ROUND(IF(A42-1-Premissas!$C$16&gt;=0,OFFSET($J$4,A42-1-Premissas!$C$16,0),0)*Premissas!$C$15,0),0)</f>
        <v/>
      </c>
      <c r="L42">
        <f>ROUND(C42*Premissas!$C$24/12,0)</f>
        <v/>
      </c>
      <c r="M42">
        <f>ROUND(D42*Premissas!$C$25,0)</f>
        <v/>
      </c>
      <c r="N42">
        <f>ROUND(E42*Premissas!$C$29+B42*Premissas!$C$30,0)</f>
        <v/>
      </c>
      <c r="O42">
        <f>K42+L42+M42+N42</f>
        <v/>
      </c>
      <c r="P42">
        <f>K42+ROUND(AC42*Premissas!$C$24,0)+M42+N42</f>
        <v/>
      </c>
      <c r="Q42">
        <f>ROUND(IF(A42-1-Premissas!$C$21&gt;=0,OFFSET($P$4,A42-1-Premissas!$C$21,0),0)*(1-Premissas!$C$20/100),0)</f>
        <v/>
      </c>
      <c r="R42">
        <f>ROUND(F42*Premissas!$C$11+N42*Premissas!$C$31/100,0)+ROUND((E42+B42)*Premissas!$C$10,0)+ROUND(Q42*Premissas!$C$8/100,0)+ROUND(Premissas!$C$35+(B42+C42)*Premissas!$C$36,0)</f>
        <v/>
      </c>
      <c r="S42">
        <f>O42-R42</f>
        <v/>
      </c>
      <c r="T42">
        <f>ROUND(O42*Premissas!$C$9/100,0)</f>
        <v/>
      </c>
      <c r="U42">
        <f>ROUND(AB42*Premissas!$C$33,0)</f>
        <v/>
      </c>
      <c r="V42">
        <f>Premissas!$C$37+ROUND(Premissas!$C$12*Premissas!$C$38+D42*Premissas!$C$27,0)</f>
        <v/>
      </c>
      <c r="W42">
        <f>Premissas!$C$39</f>
        <v/>
      </c>
      <c r="X42">
        <f>S42-T42-ROUND(Premissas!$C$12*Premissas!$C$38+D42*Premissas!$C$27,0)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Premissas!$C$32+(B42+C42)/Premissas!$C$34</f>
        <v/>
      </c>
      <c r="AC42">
        <f>D42+AC30*(1-Premissas!$C$26/12)^12</f>
        <v/>
      </c>
    </row>
    <row r="43">
      <c r="A43" t="n">
        <v>40</v>
      </c>
      <c r="B43">
        <f>B42*(1-Premissas!$C$18/12)+Premissas!$C$12</f>
        <v/>
      </c>
      <c r="C43">
        <f>IF($B$2=1,C42*(1-Premissas!$C$26/12)+D43,0)</f>
        <v/>
      </c>
      <c r="D43">
        <f>IF(AND($B$2=1,A43&gt;=Premissas!$C$23),Premissas!$C$22,0)</f>
        <v/>
      </c>
      <c r="E43">
        <f>B43*Premissas!$C$28</f>
        <v/>
      </c>
      <c r="F43">
        <f>B43*Premissas!$C$13/12*MIN(1,A43/Premissas!$C$17)</f>
        <v/>
      </c>
      <c r="G43">
        <f>F43*Premissas!$C$14</f>
        <v/>
      </c>
      <c r="H43">
        <f>IF(IF(A43-1-Premissas!$C$16&gt;=0,OFFSET($J$4,A43-1-Premissas!$C$16,0),0)&gt;0,ROUND(IF(A43-1-Premissas!$C$16&gt;=0,OFFSET($J$4,A43-1-Premissas!$C$16,0),0)*10000/Premissas!$C$5*Premissas!$C$15,0),0)</f>
        <v/>
      </c>
      <c r="I43">
        <f>ROUND(G43*Premissas!$C$6/10000,0)</f>
        <v/>
      </c>
      <c r="J43">
        <f>ROUND(G43*Premissas!$C$5/10000,0)</f>
        <v/>
      </c>
      <c r="K43">
        <f>IF(IF(A43-1-Premissas!$C$16&gt;=0,OFFSET($A$4,A43-1-Premissas!$C$16,0)&gt;=Premissas!$C$19,FALSE),ROUND(IF(A43-1-Premissas!$C$16&gt;=0,OFFSET($J$4,A43-1-Premissas!$C$16,0),0)*Premissas!$C$15,0),0)</f>
        <v/>
      </c>
      <c r="L43">
        <f>ROUND(C43*Premissas!$C$24/12,0)</f>
        <v/>
      </c>
      <c r="M43">
        <f>ROUND(D43*Premissas!$C$25,0)</f>
        <v/>
      </c>
      <c r="N43">
        <f>ROUND(E43*Premissas!$C$29+B43*Premissas!$C$30,0)</f>
        <v/>
      </c>
      <c r="O43">
        <f>K43+L43+M43+N43</f>
        <v/>
      </c>
      <c r="P43">
        <f>K43+ROUND(AC43*Premissas!$C$24,0)+M43+N43</f>
        <v/>
      </c>
      <c r="Q43">
        <f>ROUND(IF(A43-1-Premissas!$C$21&gt;=0,OFFSET($P$4,A43-1-Premissas!$C$21,0),0)*(1-Premissas!$C$20/100),0)</f>
        <v/>
      </c>
      <c r="R43">
        <f>ROUND(F43*Premissas!$C$11+N43*Premissas!$C$31/100,0)+ROUND((E43+B43)*Premissas!$C$10,0)+ROUND(Q43*Premissas!$C$8/100,0)+ROUND(Premissas!$C$35+(B43+C43)*Premissas!$C$36,0)</f>
        <v/>
      </c>
      <c r="S43">
        <f>O43-R43</f>
        <v/>
      </c>
      <c r="T43">
        <f>ROUND(O43*Premissas!$C$9/100,0)</f>
        <v/>
      </c>
      <c r="U43">
        <f>ROUND(AB43*Premissas!$C$33,0)</f>
        <v/>
      </c>
      <c r="V43">
        <f>Premissas!$C$37+ROUND(Premissas!$C$12*Premissas!$C$38+D43*Premissas!$C$27,0)</f>
        <v/>
      </c>
      <c r="W43">
        <f>Premissas!$C$39</f>
        <v/>
      </c>
      <c r="X43">
        <f>S43-T43-ROUND(Premissas!$C$12*Premissas!$C$38+D43*Premissas!$C$27,0)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Premissas!$C$32+(B43+C43)/Premissas!$C$34</f>
        <v/>
      </c>
      <c r="AC43">
        <f>D43+AC31*(1-Premissas!$C$26/12)^12</f>
        <v/>
      </c>
    </row>
    <row r="44">
      <c r="A44" t="n">
        <v>41</v>
      </c>
      <c r="B44">
        <f>B43*(1-Premissas!$C$18/12)+Premissas!$C$12</f>
        <v/>
      </c>
      <c r="C44">
        <f>IF($B$2=1,C43*(1-Premissas!$C$26/12)+D44,0)</f>
        <v/>
      </c>
      <c r="D44">
        <f>IF(AND($B$2=1,A44&gt;=Premissas!$C$23),Premissas!$C$22,0)</f>
        <v/>
      </c>
      <c r="E44">
        <f>B44*Premissas!$C$28</f>
        <v/>
      </c>
      <c r="F44">
        <f>B44*Premissas!$C$13/12*MIN(1,A44/Premissas!$C$17)</f>
        <v/>
      </c>
      <c r="G44">
        <f>F44*Premissas!$C$14</f>
        <v/>
      </c>
      <c r="H44">
        <f>IF(IF(A44-1-Premissas!$C$16&gt;=0,OFFSET($J$4,A44-1-Premissas!$C$16,0),0)&gt;0,ROUND(IF(A44-1-Premissas!$C$16&gt;=0,OFFSET($J$4,A44-1-Premissas!$C$16,0),0)*10000/Premissas!$C$5*Premissas!$C$15,0),0)</f>
        <v/>
      </c>
      <c r="I44">
        <f>ROUND(G44*Premissas!$C$6/10000,0)</f>
        <v/>
      </c>
      <c r="J44">
        <f>ROUND(G44*Premissas!$C$5/10000,0)</f>
        <v/>
      </c>
      <c r="K44">
        <f>IF(IF(A44-1-Premissas!$C$16&gt;=0,OFFSET($A$4,A44-1-Premissas!$C$16,0)&gt;=Premissas!$C$19,FALSE),ROUND(IF(A44-1-Premissas!$C$16&gt;=0,OFFSET($J$4,A44-1-Premissas!$C$16,0),0)*Premissas!$C$15,0),0)</f>
        <v/>
      </c>
      <c r="L44">
        <f>ROUND(C44*Premissas!$C$24/12,0)</f>
        <v/>
      </c>
      <c r="M44">
        <f>ROUND(D44*Premissas!$C$25,0)</f>
        <v/>
      </c>
      <c r="N44">
        <f>ROUND(E44*Premissas!$C$29+B44*Premissas!$C$30,0)</f>
        <v/>
      </c>
      <c r="O44">
        <f>K44+L44+M44+N44</f>
        <v/>
      </c>
      <c r="P44">
        <f>K44+ROUND(AC44*Premissas!$C$24,0)+M44+N44</f>
        <v/>
      </c>
      <c r="Q44">
        <f>ROUND(IF(A44-1-Premissas!$C$21&gt;=0,OFFSET($P$4,A44-1-Premissas!$C$21,0),0)*(1-Premissas!$C$20/100),0)</f>
        <v/>
      </c>
      <c r="R44">
        <f>ROUND(F44*Premissas!$C$11+N44*Premissas!$C$31/100,0)+ROUND((E44+B44)*Premissas!$C$10,0)+ROUND(Q44*Premissas!$C$8/100,0)+ROUND(Premissas!$C$35+(B44+C44)*Premissas!$C$36,0)</f>
        <v/>
      </c>
      <c r="S44">
        <f>O44-R44</f>
        <v/>
      </c>
      <c r="T44">
        <f>ROUND(O44*Premissas!$C$9/100,0)</f>
        <v/>
      </c>
      <c r="U44">
        <f>ROUND(AB44*Premissas!$C$33,0)</f>
        <v/>
      </c>
      <c r="V44">
        <f>Premissas!$C$37+ROUND(Premissas!$C$12*Premissas!$C$38+D44*Premissas!$C$27,0)</f>
        <v/>
      </c>
      <c r="W44">
        <f>Premissas!$C$39</f>
        <v/>
      </c>
      <c r="X44">
        <f>S44-T44-ROUND(Premissas!$C$12*Premissas!$C$38+D44*Premissas!$C$27,0)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Premissas!$C$32+(B44+C44)/Premissas!$C$34</f>
        <v/>
      </c>
      <c r="AC44">
        <f>D44+AC32*(1-Premissas!$C$26/12)^12</f>
        <v/>
      </c>
    </row>
    <row r="45">
      <c r="A45" t="n">
        <v>42</v>
      </c>
      <c r="B45">
        <f>B44*(1-Premissas!$C$18/12)+Premissas!$C$12</f>
        <v/>
      </c>
      <c r="C45">
        <f>IF($B$2=1,C44*(1-Premissas!$C$26/12)+D45,0)</f>
        <v/>
      </c>
      <c r="D45">
        <f>IF(AND($B$2=1,A45&gt;=Premissas!$C$23),Premissas!$C$22,0)</f>
        <v/>
      </c>
      <c r="E45">
        <f>B45*Premissas!$C$28</f>
        <v/>
      </c>
      <c r="F45">
        <f>B45*Premissas!$C$13/12*MIN(1,A45/Premissas!$C$17)</f>
        <v/>
      </c>
      <c r="G45">
        <f>F45*Premissas!$C$14</f>
        <v/>
      </c>
      <c r="H45">
        <f>IF(IF(A45-1-Premissas!$C$16&gt;=0,OFFSET($J$4,A45-1-Premissas!$C$16,0),0)&gt;0,ROUND(IF(A45-1-Premissas!$C$16&gt;=0,OFFSET($J$4,A45-1-Premissas!$C$16,0),0)*10000/Premissas!$C$5*Premissas!$C$15,0),0)</f>
        <v/>
      </c>
      <c r="I45">
        <f>ROUND(G45*Premissas!$C$6/10000,0)</f>
        <v/>
      </c>
      <c r="J45">
        <f>ROUND(G45*Premissas!$C$5/10000,0)</f>
        <v/>
      </c>
      <c r="K45">
        <f>IF(IF(A45-1-Premissas!$C$16&gt;=0,OFFSET($A$4,A45-1-Premissas!$C$16,0)&gt;=Premissas!$C$19,FALSE),ROUND(IF(A45-1-Premissas!$C$16&gt;=0,OFFSET($J$4,A45-1-Premissas!$C$16,0),0)*Premissas!$C$15,0),0)</f>
        <v/>
      </c>
      <c r="L45">
        <f>ROUND(C45*Premissas!$C$24/12,0)</f>
        <v/>
      </c>
      <c r="M45">
        <f>ROUND(D45*Premissas!$C$25,0)</f>
        <v/>
      </c>
      <c r="N45">
        <f>ROUND(E45*Premissas!$C$29+B45*Premissas!$C$30,0)</f>
        <v/>
      </c>
      <c r="O45">
        <f>K45+L45+M45+N45</f>
        <v/>
      </c>
      <c r="P45">
        <f>K45+ROUND(AC45*Premissas!$C$24,0)+M45+N45</f>
        <v/>
      </c>
      <c r="Q45">
        <f>ROUND(IF(A45-1-Premissas!$C$21&gt;=0,OFFSET($P$4,A45-1-Premissas!$C$21,0),0)*(1-Premissas!$C$20/100),0)</f>
        <v/>
      </c>
      <c r="R45">
        <f>ROUND(F45*Premissas!$C$11+N45*Premissas!$C$31/100,0)+ROUND((E45+B45)*Premissas!$C$10,0)+ROUND(Q45*Premissas!$C$8/100,0)+ROUND(Premissas!$C$35+(B45+C45)*Premissas!$C$36,0)</f>
        <v/>
      </c>
      <c r="S45">
        <f>O45-R45</f>
        <v/>
      </c>
      <c r="T45">
        <f>ROUND(O45*Premissas!$C$9/100,0)</f>
        <v/>
      </c>
      <c r="U45">
        <f>ROUND(AB45*Premissas!$C$33,0)</f>
        <v/>
      </c>
      <c r="V45">
        <f>Premissas!$C$37+ROUND(Premissas!$C$12*Premissas!$C$38+D45*Premissas!$C$27,0)</f>
        <v/>
      </c>
      <c r="W45">
        <f>Premissas!$C$39</f>
        <v/>
      </c>
      <c r="X45">
        <f>S45-T45-ROUND(Premissas!$C$12*Premissas!$C$38+D45*Premissas!$C$27,0)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Premissas!$C$32+(B45+C45)/Premissas!$C$34</f>
        <v/>
      </c>
      <c r="AC45">
        <f>D45+AC33*(1-Premissas!$C$26/12)^12</f>
        <v/>
      </c>
    </row>
    <row r="46">
      <c r="A46" t="n">
        <v>43</v>
      </c>
      <c r="B46">
        <f>B45*(1-Premissas!$C$18/12)+Premissas!$C$12</f>
        <v/>
      </c>
      <c r="C46">
        <f>IF($B$2=1,C45*(1-Premissas!$C$26/12)+D46,0)</f>
        <v/>
      </c>
      <c r="D46">
        <f>IF(AND($B$2=1,A46&gt;=Premissas!$C$23),Premissas!$C$22,0)</f>
        <v/>
      </c>
      <c r="E46">
        <f>B46*Premissas!$C$28</f>
        <v/>
      </c>
      <c r="F46">
        <f>B46*Premissas!$C$13/12*MIN(1,A46/Premissas!$C$17)</f>
        <v/>
      </c>
      <c r="G46">
        <f>F46*Premissas!$C$14</f>
        <v/>
      </c>
      <c r="H46">
        <f>IF(IF(A46-1-Premissas!$C$16&gt;=0,OFFSET($J$4,A46-1-Premissas!$C$16,0),0)&gt;0,ROUND(IF(A46-1-Premissas!$C$16&gt;=0,OFFSET($J$4,A46-1-Premissas!$C$16,0),0)*10000/Premissas!$C$5*Premissas!$C$15,0),0)</f>
        <v/>
      </c>
      <c r="I46">
        <f>ROUND(G46*Premissas!$C$6/10000,0)</f>
        <v/>
      </c>
      <c r="J46">
        <f>ROUND(G46*Premissas!$C$5/10000,0)</f>
        <v/>
      </c>
      <c r="K46">
        <f>IF(IF(A46-1-Premissas!$C$16&gt;=0,OFFSET($A$4,A46-1-Premissas!$C$16,0)&gt;=Premissas!$C$19,FALSE),ROUND(IF(A46-1-Premissas!$C$16&gt;=0,OFFSET($J$4,A46-1-Premissas!$C$16,0),0)*Premissas!$C$15,0),0)</f>
        <v/>
      </c>
      <c r="L46">
        <f>ROUND(C46*Premissas!$C$24/12,0)</f>
        <v/>
      </c>
      <c r="M46">
        <f>ROUND(D46*Premissas!$C$25,0)</f>
        <v/>
      </c>
      <c r="N46">
        <f>ROUND(E46*Premissas!$C$29+B46*Premissas!$C$30,0)</f>
        <v/>
      </c>
      <c r="O46">
        <f>K46+L46+M46+N46</f>
        <v/>
      </c>
      <c r="P46">
        <f>K46+ROUND(AC46*Premissas!$C$24,0)+M46+N46</f>
        <v/>
      </c>
      <c r="Q46">
        <f>ROUND(IF(A46-1-Premissas!$C$21&gt;=0,OFFSET($P$4,A46-1-Premissas!$C$21,0),0)*(1-Premissas!$C$20/100),0)</f>
        <v/>
      </c>
      <c r="R46">
        <f>ROUND(F46*Premissas!$C$11+N46*Premissas!$C$31/100,0)+ROUND((E46+B46)*Premissas!$C$10,0)+ROUND(Q46*Premissas!$C$8/100,0)+ROUND(Premissas!$C$35+(B46+C46)*Premissas!$C$36,0)</f>
        <v/>
      </c>
      <c r="S46">
        <f>O46-R46</f>
        <v/>
      </c>
      <c r="T46">
        <f>ROUND(O46*Premissas!$C$9/100,0)</f>
        <v/>
      </c>
      <c r="U46">
        <f>ROUND(AB46*Premissas!$C$33,0)</f>
        <v/>
      </c>
      <c r="V46">
        <f>Premissas!$C$37+ROUND(Premissas!$C$12*Premissas!$C$38+D46*Premissas!$C$27,0)</f>
        <v/>
      </c>
      <c r="W46">
        <f>Premissas!$C$39</f>
        <v/>
      </c>
      <c r="X46">
        <f>S46-T46-ROUND(Premissas!$C$12*Premissas!$C$38+D46*Premissas!$C$27,0)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Premissas!$C$32+(B46+C46)/Premissas!$C$34</f>
        <v/>
      </c>
      <c r="AC46">
        <f>D46+AC34*(1-Premissas!$C$26/12)^12</f>
        <v/>
      </c>
    </row>
    <row r="47">
      <c r="A47" t="n">
        <v>44</v>
      </c>
      <c r="B47">
        <f>B46*(1-Premissas!$C$18/12)+Premissas!$C$12</f>
        <v/>
      </c>
      <c r="C47">
        <f>IF($B$2=1,C46*(1-Premissas!$C$26/12)+D47,0)</f>
        <v/>
      </c>
      <c r="D47">
        <f>IF(AND($B$2=1,A47&gt;=Premissas!$C$23),Premissas!$C$22,0)</f>
        <v/>
      </c>
      <c r="E47">
        <f>B47*Premissas!$C$28</f>
        <v/>
      </c>
      <c r="F47">
        <f>B47*Premissas!$C$13/12*MIN(1,A47/Premissas!$C$17)</f>
        <v/>
      </c>
      <c r="G47">
        <f>F47*Premissas!$C$14</f>
        <v/>
      </c>
      <c r="H47">
        <f>IF(IF(A47-1-Premissas!$C$16&gt;=0,OFFSET($J$4,A47-1-Premissas!$C$16,0),0)&gt;0,ROUND(IF(A47-1-Premissas!$C$16&gt;=0,OFFSET($J$4,A47-1-Premissas!$C$16,0),0)*10000/Premissas!$C$5*Premissas!$C$15,0),0)</f>
        <v/>
      </c>
      <c r="I47">
        <f>ROUND(G47*Premissas!$C$6/10000,0)</f>
        <v/>
      </c>
      <c r="J47">
        <f>ROUND(G47*Premissas!$C$5/10000,0)</f>
        <v/>
      </c>
      <c r="K47">
        <f>IF(IF(A47-1-Premissas!$C$16&gt;=0,OFFSET($A$4,A47-1-Premissas!$C$16,0)&gt;=Premissas!$C$19,FALSE),ROUND(IF(A47-1-Premissas!$C$16&gt;=0,OFFSET($J$4,A47-1-Premissas!$C$16,0),0)*Premissas!$C$15,0),0)</f>
        <v/>
      </c>
      <c r="L47">
        <f>ROUND(C47*Premissas!$C$24/12,0)</f>
        <v/>
      </c>
      <c r="M47">
        <f>ROUND(D47*Premissas!$C$25,0)</f>
        <v/>
      </c>
      <c r="N47">
        <f>ROUND(E47*Premissas!$C$29+B47*Premissas!$C$30,0)</f>
        <v/>
      </c>
      <c r="O47">
        <f>K47+L47+M47+N47</f>
        <v/>
      </c>
      <c r="P47">
        <f>K47+ROUND(AC47*Premissas!$C$24,0)+M47+N47</f>
        <v/>
      </c>
      <c r="Q47">
        <f>ROUND(IF(A47-1-Premissas!$C$21&gt;=0,OFFSET($P$4,A47-1-Premissas!$C$21,0),0)*(1-Premissas!$C$20/100),0)</f>
        <v/>
      </c>
      <c r="R47">
        <f>ROUND(F47*Premissas!$C$11+N47*Premissas!$C$31/100,0)+ROUND((E47+B47)*Premissas!$C$10,0)+ROUND(Q47*Premissas!$C$8/100,0)+ROUND(Premissas!$C$35+(B47+C47)*Premissas!$C$36,0)</f>
        <v/>
      </c>
      <c r="S47">
        <f>O47-R47</f>
        <v/>
      </c>
      <c r="T47">
        <f>ROUND(O47*Premissas!$C$9/100,0)</f>
        <v/>
      </c>
      <c r="U47">
        <f>ROUND(AB47*Premissas!$C$33,0)</f>
        <v/>
      </c>
      <c r="V47">
        <f>Premissas!$C$37+ROUND(Premissas!$C$12*Premissas!$C$38+D47*Premissas!$C$27,0)</f>
        <v/>
      </c>
      <c r="W47">
        <f>Premissas!$C$39</f>
        <v/>
      </c>
      <c r="X47">
        <f>S47-T47-ROUND(Premissas!$C$12*Premissas!$C$38+D47*Premissas!$C$27,0)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Premissas!$C$32+(B47+C47)/Premissas!$C$34</f>
        <v/>
      </c>
      <c r="AC47">
        <f>D47+AC35*(1-Premissas!$C$26/12)^12</f>
        <v/>
      </c>
    </row>
    <row r="48">
      <c r="A48" t="n">
        <v>45</v>
      </c>
      <c r="B48">
        <f>B47*(1-Premissas!$C$18/12)+Premissas!$C$12</f>
        <v/>
      </c>
      <c r="C48">
        <f>IF($B$2=1,C47*(1-Premissas!$C$26/12)+D48,0)</f>
        <v/>
      </c>
      <c r="D48">
        <f>IF(AND($B$2=1,A48&gt;=Premissas!$C$23),Premissas!$C$22,0)</f>
        <v/>
      </c>
      <c r="E48">
        <f>B48*Premissas!$C$28</f>
        <v/>
      </c>
      <c r="F48">
        <f>B48*Premissas!$C$13/12*MIN(1,A48/Premissas!$C$17)</f>
        <v/>
      </c>
      <c r="G48">
        <f>F48*Premissas!$C$14</f>
        <v/>
      </c>
      <c r="H48">
        <f>IF(IF(A48-1-Premissas!$C$16&gt;=0,OFFSET($J$4,A48-1-Premissas!$C$16,0),0)&gt;0,ROUND(IF(A48-1-Premissas!$C$16&gt;=0,OFFSET($J$4,A48-1-Premissas!$C$16,0),0)*10000/Premissas!$C$5*Premissas!$C$15,0),0)</f>
        <v/>
      </c>
      <c r="I48">
        <f>ROUND(G48*Premissas!$C$6/10000,0)</f>
        <v/>
      </c>
      <c r="J48">
        <f>ROUND(G48*Premissas!$C$5/10000,0)</f>
        <v/>
      </c>
      <c r="K48">
        <f>IF(IF(A48-1-Premissas!$C$16&gt;=0,OFFSET($A$4,A48-1-Premissas!$C$16,0)&gt;=Premissas!$C$19,FALSE),ROUND(IF(A48-1-Premissas!$C$16&gt;=0,OFFSET($J$4,A48-1-Premissas!$C$16,0),0)*Premissas!$C$15,0),0)</f>
        <v/>
      </c>
      <c r="L48">
        <f>ROUND(C48*Premissas!$C$24/12,0)</f>
        <v/>
      </c>
      <c r="M48">
        <f>ROUND(D48*Premissas!$C$25,0)</f>
        <v/>
      </c>
      <c r="N48">
        <f>ROUND(E48*Premissas!$C$29+B48*Premissas!$C$30,0)</f>
        <v/>
      </c>
      <c r="O48">
        <f>K48+L48+M48+N48</f>
        <v/>
      </c>
      <c r="P48">
        <f>K48+ROUND(AC48*Premissas!$C$24,0)+M48+N48</f>
        <v/>
      </c>
      <c r="Q48">
        <f>ROUND(IF(A48-1-Premissas!$C$21&gt;=0,OFFSET($P$4,A48-1-Premissas!$C$21,0),0)*(1-Premissas!$C$20/100),0)</f>
        <v/>
      </c>
      <c r="R48">
        <f>ROUND(F48*Premissas!$C$11+N48*Premissas!$C$31/100,0)+ROUND((E48+B48)*Premissas!$C$10,0)+ROUND(Q48*Premissas!$C$8/100,0)+ROUND(Premissas!$C$35+(B48+C48)*Premissas!$C$36,0)</f>
        <v/>
      </c>
      <c r="S48">
        <f>O48-R48</f>
        <v/>
      </c>
      <c r="T48">
        <f>ROUND(O48*Premissas!$C$9/100,0)</f>
        <v/>
      </c>
      <c r="U48">
        <f>ROUND(AB48*Premissas!$C$33,0)</f>
        <v/>
      </c>
      <c r="V48">
        <f>Premissas!$C$37+ROUND(Premissas!$C$12*Premissas!$C$38+D48*Premissas!$C$27,0)</f>
        <v/>
      </c>
      <c r="W48">
        <f>Premissas!$C$39</f>
        <v/>
      </c>
      <c r="X48">
        <f>S48-T48-ROUND(Premissas!$C$12*Premissas!$C$38+D48*Premissas!$C$27,0)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Premissas!$C$32+(B48+C48)/Premissas!$C$34</f>
        <v/>
      </c>
      <c r="AC48">
        <f>D48+AC36*(1-Premissas!$C$26/12)^12</f>
        <v/>
      </c>
    </row>
    <row r="49">
      <c r="A49" t="n">
        <v>46</v>
      </c>
      <c r="B49">
        <f>B48*(1-Premissas!$C$18/12)+Premissas!$C$12</f>
        <v/>
      </c>
      <c r="C49">
        <f>IF($B$2=1,C48*(1-Premissas!$C$26/12)+D49,0)</f>
        <v/>
      </c>
      <c r="D49">
        <f>IF(AND($B$2=1,A49&gt;=Premissas!$C$23),Premissas!$C$22,0)</f>
        <v/>
      </c>
      <c r="E49">
        <f>B49*Premissas!$C$28</f>
        <v/>
      </c>
      <c r="F49">
        <f>B49*Premissas!$C$13/12*MIN(1,A49/Premissas!$C$17)</f>
        <v/>
      </c>
      <c r="G49">
        <f>F49*Premissas!$C$14</f>
        <v/>
      </c>
      <c r="H49">
        <f>IF(IF(A49-1-Premissas!$C$16&gt;=0,OFFSET($J$4,A49-1-Premissas!$C$16,0),0)&gt;0,ROUND(IF(A49-1-Premissas!$C$16&gt;=0,OFFSET($J$4,A49-1-Premissas!$C$16,0),0)*10000/Premissas!$C$5*Premissas!$C$15,0),0)</f>
        <v/>
      </c>
      <c r="I49">
        <f>ROUND(G49*Premissas!$C$6/10000,0)</f>
        <v/>
      </c>
      <c r="J49">
        <f>ROUND(G49*Premissas!$C$5/10000,0)</f>
        <v/>
      </c>
      <c r="K49">
        <f>IF(IF(A49-1-Premissas!$C$16&gt;=0,OFFSET($A$4,A49-1-Premissas!$C$16,0)&gt;=Premissas!$C$19,FALSE),ROUND(IF(A49-1-Premissas!$C$16&gt;=0,OFFSET($J$4,A49-1-Premissas!$C$16,0),0)*Premissas!$C$15,0),0)</f>
        <v/>
      </c>
      <c r="L49">
        <f>ROUND(C49*Premissas!$C$24/12,0)</f>
        <v/>
      </c>
      <c r="M49">
        <f>ROUND(D49*Premissas!$C$25,0)</f>
        <v/>
      </c>
      <c r="N49">
        <f>ROUND(E49*Premissas!$C$29+B49*Premissas!$C$30,0)</f>
        <v/>
      </c>
      <c r="O49">
        <f>K49+L49+M49+N49</f>
        <v/>
      </c>
      <c r="P49">
        <f>K49+ROUND(AC49*Premissas!$C$24,0)+M49+N49</f>
        <v/>
      </c>
      <c r="Q49">
        <f>ROUND(IF(A49-1-Premissas!$C$21&gt;=0,OFFSET($P$4,A49-1-Premissas!$C$21,0),0)*(1-Premissas!$C$20/100),0)</f>
        <v/>
      </c>
      <c r="R49">
        <f>ROUND(F49*Premissas!$C$11+N49*Premissas!$C$31/100,0)+ROUND((E49+B49)*Premissas!$C$10,0)+ROUND(Q49*Premissas!$C$8/100,0)+ROUND(Premissas!$C$35+(B49+C49)*Premissas!$C$36,0)</f>
        <v/>
      </c>
      <c r="S49">
        <f>O49-R49</f>
        <v/>
      </c>
      <c r="T49">
        <f>ROUND(O49*Premissas!$C$9/100,0)</f>
        <v/>
      </c>
      <c r="U49">
        <f>ROUND(AB49*Premissas!$C$33,0)</f>
        <v/>
      </c>
      <c r="V49">
        <f>Premissas!$C$37+ROUND(Premissas!$C$12*Premissas!$C$38+D49*Premissas!$C$27,0)</f>
        <v/>
      </c>
      <c r="W49">
        <f>Premissas!$C$39</f>
        <v/>
      </c>
      <c r="X49">
        <f>S49-T49-ROUND(Premissas!$C$12*Premissas!$C$38+D49*Premissas!$C$27,0)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Premissas!$C$32+(B49+C49)/Premissas!$C$34</f>
        <v/>
      </c>
      <c r="AC49">
        <f>D49+AC37*(1-Premissas!$C$26/12)^12</f>
        <v/>
      </c>
    </row>
    <row r="50">
      <c r="A50" t="n">
        <v>47</v>
      </c>
      <c r="B50">
        <f>B49*(1-Premissas!$C$18/12)+Premissas!$C$12</f>
        <v/>
      </c>
      <c r="C50">
        <f>IF($B$2=1,C49*(1-Premissas!$C$26/12)+D50,0)</f>
        <v/>
      </c>
      <c r="D50">
        <f>IF(AND($B$2=1,A50&gt;=Premissas!$C$23),Premissas!$C$22,0)</f>
        <v/>
      </c>
      <c r="E50">
        <f>B50*Premissas!$C$28</f>
        <v/>
      </c>
      <c r="F50">
        <f>B50*Premissas!$C$13/12*MIN(1,A50/Premissas!$C$17)</f>
        <v/>
      </c>
      <c r="G50">
        <f>F50*Premissas!$C$14</f>
        <v/>
      </c>
      <c r="H50">
        <f>IF(IF(A50-1-Premissas!$C$16&gt;=0,OFFSET($J$4,A50-1-Premissas!$C$16,0),0)&gt;0,ROUND(IF(A50-1-Premissas!$C$16&gt;=0,OFFSET($J$4,A50-1-Premissas!$C$16,0),0)*10000/Premissas!$C$5*Premissas!$C$15,0),0)</f>
        <v/>
      </c>
      <c r="I50">
        <f>ROUND(G50*Premissas!$C$6/10000,0)</f>
        <v/>
      </c>
      <c r="J50">
        <f>ROUND(G50*Premissas!$C$5/10000,0)</f>
        <v/>
      </c>
      <c r="K50">
        <f>IF(IF(A50-1-Premissas!$C$16&gt;=0,OFFSET($A$4,A50-1-Premissas!$C$16,0)&gt;=Premissas!$C$19,FALSE),ROUND(IF(A50-1-Premissas!$C$16&gt;=0,OFFSET($J$4,A50-1-Premissas!$C$16,0),0)*Premissas!$C$15,0),0)</f>
        <v/>
      </c>
      <c r="L50">
        <f>ROUND(C50*Premissas!$C$24/12,0)</f>
        <v/>
      </c>
      <c r="M50">
        <f>ROUND(D50*Premissas!$C$25,0)</f>
        <v/>
      </c>
      <c r="N50">
        <f>ROUND(E50*Premissas!$C$29+B50*Premissas!$C$30,0)</f>
        <v/>
      </c>
      <c r="O50">
        <f>K50+L50+M50+N50</f>
        <v/>
      </c>
      <c r="P50">
        <f>K50+ROUND(AC50*Premissas!$C$24,0)+M50+N50</f>
        <v/>
      </c>
      <c r="Q50">
        <f>ROUND(IF(A50-1-Premissas!$C$21&gt;=0,OFFSET($P$4,A50-1-Premissas!$C$21,0),0)*(1-Premissas!$C$20/100),0)</f>
        <v/>
      </c>
      <c r="R50">
        <f>ROUND(F50*Premissas!$C$11+N50*Premissas!$C$31/100,0)+ROUND((E50+B50)*Premissas!$C$10,0)+ROUND(Q50*Premissas!$C$8/100,0)+ROUND(Premissas!$C$35+(B50+C50)*Premissas!$C$36,0)</f>
        <v/>
      </c>
      <c r="S50">
        <f>O50-R50</f>
        <v/>
      </c>
      <c r="T50">
        <f>ROUND(O50*Premissas!$C$9/100,0)</f>
        <v/>
      </c>
      <c r="U50">
        <f>ROUND(AB50*Premissas!$C$33,0)</f>
        <v/>
      </c>
      <c r="V50">
        <f>Premissas!$C$37+ROUND(Premissas!$C$12*Premissas!$C$38+D50*Premissas!$C$27,0)</f>
        <v/>
      </c>
      <c r="W50">
        <f>Premissas!$C$39</f>
        <v/>
      </c>
      <c r="X50">
        <f>S50-T50-ROUND(Premissas!$C$12*Premissas!$C$38+D50*Premissas!$C$27,0)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Premissas!$C$32+(B50+C50)/Premissas!$C$34</f>
        <v/>
      </c>
      <c r="AC50">
        <f>D50+AC38*(1-Premissas!$C$26/12)^12</f>
        <v/>
      </c>
    </row>
    <row r="51">
      <c r="A51" t="n">
        <v>48</v>
      </c>
      <c r="B51">
        <f>B50*(1-Premissas!$C$18/12)+Premissas!$C$12</f>
        <v/>
      </c>
      <c r="C51">
        <f>IF($B$2=1,C50*(1-Premissas!$C$26/12)+D51,0)</f>
        <v/>
      </c>
      <c r="D51">
        <f>IF(AND($B$2=1,A51&gt;=Premissas!$C$23),Premissas!$C$22,0)</f>
        <v/>
      </c>
      <c r="E51">
        <f>B51*Premissas!$C$28</f>
        <v/>
      </c>
      <c r="F51">
        <f>B51*Premissas!$C$13/12*MIN(1,A51/Premissas!$C$17)</f>
        <v/>
      </c>
      <c r="G51">
        <f>F51*Premissas!$C$14</f>
        <v/>
      </c>
      <c r="H51">
        <f>IF(IF(A51-1-Premissas!$C$16&gt;=0,OFFSET($J$4,A51-1-Premissas!$C$16,0),0)&gt;0,ROUND(IF(A51-1-Premissas!$C$16&gt;=0,OFFSET($J$4,A51-1-Premissas!$C$16,0),0)*10000/Premissas!$C$5*Premissas!$C$15,0),0)</f>
        <v/>
      </c>
      <c r="I51">
        <f>ROUND(G51*Premissas!$C$6/10000,0)</f>
        <v/>
      </c>
      <c r="J51">
        <f>ROUND(G51*Premissas!$C$5/10000,0)</f>
        <v/>
      </c>
      <c r="K51">
        <f>IF(IF(A51-1-Premissas!$C$16&gt;=0,OFFSET($A$4,A51-1-Premissas!$C$16,0)&gt;=Premissas!$C$19,FALSE),ROUND(IF(A51-1-Premissas!$C$16&gt;=0,OFFSET($J$4,A51-1-Premissas!$C$16,0),0)*Premissas!$C$15,0),0)</f>
        <v/>
      </c>
      <c r="L51">
        <f>ROUND(C51*Premissas!$C$24/12,0)</f>
        <v/>
      </c>
      <c r="M51">
        <f>ROUND(D51*Premissas!$C$25,0)</f>
        <v/>
      </c>
      <c r="N51">
        <f>ROUND(E51*Premissas!$C$29+B51*Premissas!$C$30,0)</f>
        <v/>
      </c>
      <c r="O51">
        <f>K51+L51+M51+N51</f>
        <v/>
      </c>
      <c r="P51">
        <f>K51+ROUND(AC51*Premissas!$C$24,0)+M51+N51</f>
        <v/>
      </c>
      <c r="Q51">
        <f>ROUND(IF(A51-1-Premissas!$C$21&gt;=0,OFFSET($P$4,A51-1-Premissas!$C$21,0),0)*(1-Premissas!$C$20/100),0)</f>
        <v/>
      </c>
      <c r="R51">
        <f>ROUND(F51*Premissas!$C$11+N51*Premissas!$C$31/100,0)+ROUND((E51+B51)*Premissas!$C$10,0)+ROUND(Q51*Premissas!$C$8/100,0)+ROUND(Premissas!$C$35+(B51+C51)*Premissas!$C$36,0)</f>
        <v/>
      </c>
      <c r="S51">
        <f>O51-R51</f>
        <v/>
      </c>
      <c r="T51">
        <f>ROUND(O51*Premissas!$C$9/100,0)</f>
        <v/>
      </c>
      <c r="U51">
        <f>ROUND(AB51*Premissas!$C$33,0)</f>
        <v/>
      </c>
      <c r="V51">
        <f>Premissas!$C$37+ROUND(Premissas!$C$12*Premissas!$C$38+D51*Premissas!$C$27,0)</f>
        <v/>
      </c>
      <c r="W51">
        <f>Premissas!$C$39</f>
        <v/>
      </c>
      <c r="X51">
        <f>S51-T51-ROUND(Premissas!$C$12*Premissas!$C$38+D51*Premissas!$C$27,0)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Premissas!$C$32+(B51+C51)/Premissas!$C$34</f>
        <v/>
      </c>
      <c r="AC51">
        <f>D51+AC39*(1-Premissas!$C$26/12)^12</f>
        <v/>
      </c>
    </row>
    <row r="52">
      <c r="A52" t="n">
        <v>49</v>
      </c>
      <c r="B52">
        <f>B51*(1-Premissas!$C$18/12)+Premissas!$C$12</f>
        <v/>
      </c>
      <c r="C52">
        <f>IF($B$2=1,C51*(1-Premissas!$C$26/12)+D52,0)</f>
        <v/>
      </c>
      <c r="D52">
        <f>IF(AND($B$2=1,A52&gt;=Premissas!$C$23),Premissas!$C$22,0)</f>
        <v/>
      </c>
      <c r="E52">
        <f>B52*Premissas!$C$28</f>
        <v/>
      </c>
      <c r="F52">
        <f>B52*Premissas!$C$13/12*MIN(1,A52/Premissas!$C$17)</f>
        <v/>
      </c>
      <c r="G52">
        <f>F52*Premissas!$C$14</f>
        <v/>
      </c>
      <c r="H52">
        <f>IF(IF(A52-1-Premissas!$C$16&gt;=0,OFFSET($J$4,A52-1-Premissas!$C$16,0),0)&gt;0,ROUND(IF(A52-1-Premissas!$C$16&gt;=0,OFFSET($J$4,A52-1-Premissas!$C$16,0),0)*10000/Premissas!$C$5*Premissas!$C$15,0),0)</f>
        <v/>
      </c>
      <c r="I52">
        <f>ROUND(G52*Premissas!$C$6/10000,0)</f>
        <v/>
      </c>
      <c r="J52">
        <f>ROUND(G52*Premissas!$C$5/10000,0)</f>
        <v/>
      </c>
      <c r="K52">
        <f>IF(IF(A52-1-Premissas!$C$16&gt;=0,OFFSET($A$4,A52-1-Premissas!$C$16,0)&gt;=Premissas!$C$19,FALSE),ROUND(IF(A52-1-Premissas!$C$16&gt;=0,OFFSET($J$4,A52-1-Premissas!$C$16,0),0)*Premissas!$C$15,0),0)</f>
        <v/>
      </c>
      <c r="L52">
        <f>ROUND(C52*Premissas!$C$24/12,0)</f>
        <v/>
      </c>
      <c r="M52">
        <f>ROUND(D52*Premissas!$C$25,0)</f>
        <v/>
      </c>
      <c r="N52">
        <f>ROUND(E52*Premissas!$C$29+B52*Premissas!$C$30,0)</f>
        <v/>
      </c>
      <c r="O52">
        <f>K52+L52+M52+N52</f>
        <v/>
      </c>
      <c r="P52">
        <f>K52+ROUND(AC52*Premissas!$C$24,0)+M52+N52</f>
        <v/>
      </c>
      <c r="Q52">
        <f>ROUND(IF(A52-1-Premissas!$C$21&gt;=0,OFFSET($P$4,A52-1-Premissas!$C$21,0),0)*(1-Premissas!$C$20/100),0)</f>
        <v/>
      </c>
      <c r="R52">
        <f>ROUND(F52*Premissas!$C$11+N52*Premissas!$C$31/100,0)+ROUND((E52+B52)*Premissas!$C$10,0)+ROUND(Q52*Premissas!$C$8/100,0)+ROUND(Premissas!$C$35+(B52+C52)*Premissas!$C$36,0)</f>
        <v/>
      </c>
      <c r="S52">
        <f>O52-R52</f>
        <v/>
      </c>
      <c r="T52">
        <f>ROUND(O52*Premissas!$C$9/100,0)</f>
        <v/>
      </c>
      <c r="U52">
        <f>ROUND(AB52*Premissas!$C$33,0)</f>
        <v/>
      </c>
      <c r="V52">
        <f>Premissas!$C$37+ROUND(Premissas!$C$12*Premissas!$C$38+D52*Premissas!$C$27,0)</f>
        <v/>
      </c>
      <c r="W52">
        <f>Premissas!$C$39</f>
        <v/>
      </c>
      <c r="X52">
        <f>S52-T52-ROUND(Premissas!$C$12*Premissas!$C$38+D52*Premissas!$C$27,0)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Premissas!$C$32+(B52+C52)/Premissas!$C$34</f>
        <v/>
      </c>
      <c r="AC52">
        <f>D52+AC40*(1-Premissas!$C$26/12)^12</f>
        <v/>
      </c>
    </row>
    <row r="53">
      <c r="A53" t="n">
        <v>50</v>
      </c>
      <c r="B53">
        <f>B52*(1-Premissas!$C$18/12)+Premissas!$C$12</f>
        <v/>
      </c>
      <c r="C53">
        <f>IF($B$2=1,C52*(1-Premissas!$C$26/12)+D53,0)</f>
        <v/>
      </c>
      <c r="D53">
        <f>IF(AND($B$2=1,A53&gt;=Premissas!$C$23),Premissas!$C$22,0)</f>
        <v/>
      </c>
      <c r="E53">
        <f>B53*Premissas!$C$28</f>
        <v/>
      </c>
      <c r="F53">
        <f>B53*Premissas!$C$13/12*MIN(1,A53/Premissas!$C$17)</f>
        <v/>
      </c>
      <c r="G53">
        <f>F53*Premissas!$C$14</f>
        <v/>
      </c>
      <c r="H53">
        <f>IF(IF(A53-1-Premissas!$C$16&gt;=0,OFFSET($J$4,A53-1-Premissas!$C$16,0),0)&gt;0,ROUND(IF(A53-1-Premissas!$C$16&gt;=0,OFFSET($J$4,A53-1-Premissas!$C$16,0),0)*10000/Premissas!$C$5*Premissas!$C$15,0),0)</f>
        <v/>
      </c>
      <c r="I53">
        <f>ROUND(G53*Premissas!$C$6/10000,0)</f>
        <v/>
      </c>
      <c r="J53">
        <f>ROUND(G53*Premissas!$C$5/10000,0)</f>
        <v/>
      </c>
      <c r="K53">
        <f>IF(IF(A53-1-Premissas!$C$16&gt;=0,OFFSET($A$4,A53-1-Premissas!$C$16,0)&gt;=Premissas!$C$19,FALSE),ROUND(IF(A53-1-Premissas!$C$16&gt;=0,OFFSET($J$4,A53-1-Premissas!$C$16,0),0)*Premissas!$C$15,0),0)</f>
        <v/>
      </c>
      <c r="L53">
        <f>ROUND(C53*Premissas!$C$24/12,0)</f>
        <v/>
      </c>
      <c r="M53">
        <f>ROUND(D53*Premissas!$C$25,0)</f>
        <v/>
      </c>
      <c r="N53">
        <f>ROUND(E53*Premissas!$C$29+B53*Premissas!$C$30,0)</f>
        <v/>
      </c>
      <c r="O53">
        <f>K53+L53+M53+N53</f>
        <v/>
      </c>
      <c r="P53">
        <f>K53+ROUND(AC53*Premissas!$C$24,0)+M53+N53</f>
        <v/>
      </c>
      <c r="Q53">
        <f>ROUND(IF(A53-1-Premissas!$C$21&gt;=0,OFFSET($P$4,A53-1-Premissas!$C$21,0),0)*(1-Premissas!$C$20/100),0)</f>
        <v/>
      </c>
      <c r="R53">
        <f>ROUND(F53*Premissas!$C$11+N53*Premissas!$C$31/100,0)+ROUND((E53+B53)*Premissas!$C$10,0)+ROUND(Q53*Premissas!$C$8/100,0)+ROUND(Premissas!$C$35+(B53+C53)*Premissas!$C$36,0)</f>
        <v/>
      </c>
      <c r="S53">
        <f>O53-R53</f>
        <v/>
      </c>
      <c r="T53">
        <f>ROUND(O53*Premissas!$C$9/100,0)</f>
        <v/>
      </c>
      <c r="U53">
        <f>ROUND(AB53*Premissas!$C$33,0)</f>
        <v/>
      </c>
      <c r="V53">
        <f>Premissas!$C$37+ROUND(Premissas!$C$12*Premissas!$C$38+D53*Premissas!$C$27,0)</f>
        <v/>
      </c>
      <c r="W53">
        <f>Premissas!$C$39</f>
        <v/>
      </c>
      <c r="X53">
        <f>S53-T53-ROUND(Premissas!$C$12*Premissas!$C$38+D53*Premissas!$C$27,0)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Premissas!$C$32+(B53+C53)/Premissas!$C$34</f>
        <v/>
      </c>
      <c r="AC53">
        <f>D53+AC41*(1-Premissas!$C$26/12)^12</f>
        <v/>
      </c>
    </row>
    <row r="54">
      <c r="A54" t="n">
        <v>51</v>
      </c>
      <c r="B54">
        <f>B53*(1-Premissas!$C$18/12)+Premissas!$C$12</f>
        <v/>
      </c>
      <c r="C54">
        <f>IF($B$2=1,C53*(1-Premissas!$C$26/12)+D54,0)</f>
        <v/>
      </c>
      <c r="D54">
        <f>IF(AND($B$2=1,A54&gt;=Premissas!$C$23),Premissas!$C$22,0)</f>
        <v/>
      </c>
      <c r="E54">
        <f>B54*Premissas!$C$28</f>
        <v/>
      </c>
      <c r="F54">
        <f>B54*Premissas!$C$13/12*MIN(1,A54/Premissas!$C$17)</f>
        <v/>
      </c>
      <c r="G54">
        <f>F54*Premissas!$C$14</f>
        <v/>
      </c>
      <c r="H54">
        <f>IF(IF(A54-1-Premissas!$C$16&gt;=0,OFFSET($J$4,A54-1-Premissas!$C$16,0),0)&gt;0,ROUND(IF(A54-1-Premissas!$C$16&gt;=0,OFFSET($J$4,A54-1-Premissas!$C$16,0),0)*10000/Premissas!$C$5*Premissas!$C$15,0),0)</f>
        <v/>
      </c>
      <c r="I54">
        <f>ROUND(G54*Premissas!$C$6/10000,0)</f>
        <v/>
      </c>
      <c r="J54">
        <f>ROUND(G54*Premissas!$C$5/10000,0)</f>
        <v/>
      </c>
      <c r="K54">
        <f>IF(IF(A54-1-Premissas!$C$16&gt;=0,OFFSET($A$4,A54-1-Premissas!$C$16,0)&gt;=Premissas!$C$19,FALSE),ROUND(IF(A54-1-Premissas!$C$16&gt;=0,OFFSET($J$4,A54-1-Premissas!$C$16,0),0)*Premissas!$C$15,0),0)</f>
        <v/>
      </c>
      <c r="L54">
        <f>ROUND(C54*Premissas!$C$24/12,0)</f>
        <v/>
      </c>
      <c r="M54">
        <f>ROUND(D54*Premissas!$C$25,0)</f>
        <v/>
      </c>
      <c r="N54">
        <f>ROUND(E54*Premissas!$C$29+B54*Premissas!$C$30,0)</f>
        <v/>
      </c>
      <c r="O54">
        <f>K54+L54+M54+N54</f>
        <v/>
      </c>
      <c r="P54">
        <f>K54+ROUND(AC54*Premissas!$C$24,0)+M54+N54</f>
        <v/>
      </c>
      <c r="Q54">
        <f>ROUND(IF(A54-1-Premissas!$C$21&gt;=0,OFFSET($P$4,A54-1-Premissas!$C$21,0),0)*(1-Premissas!$C$20/100),0)</f>
        <v/>
      </c>
      <c r="R54">
        <f>ROUND(F54*Premissas!$C$11+N54*Premissas!$C$31/100,0)+ROUND((E54+B54)*Premissas!$C$10,0)+ROUND(Q54*Premissas!$C$8/100,0)+ROUND(Premissas!$C$35+(B54+C54)*Premissas!$C$36,0)</f>
        <v/>
      </c>
      <c r="S54">
        <f>O54-R54</f>
        <v/>
      </c>
      <c r="T54">
        <f>ROUND(O54*Premissas!$C$9/100,0)</f>
        <v/>
      </c>
      <c r="U54">
        <f>ROUND(AB54*Premissas!$C$33,0)</f>
        <v/>
      </c>
      <c r="V54">
        <f>Premissas!$C$37+ROUND(Premissas!$C$12*Premissas!$C$38+D54*Premissas!$C$27,0)</f>
        <v/>
      </c>
      <c r="W54">
        <f>Premissas!$C$39</f>
        <v/>
      </c>
      <c r="X54">
        <f>S54-T54-ROUND(Premissas!$C$12*Premissas!$C$38+D54*Premissas!$C$27,0)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Premissas!$C$32+(B54+C54)/Premissas!$C$34</f>
        <v/>
      </c>
      <c r="AC54">
        <f>D54+AC42*(1-Premissas!$C$26/12)^12</f>
        <v/>
      </c>
    </row>
    <row r="55">
      <c r="A55" t="n">
        <v>52</v>
      </c>
      <c r="B55">
        <f>B54*(1-Premissas!$C$18/12)+Premissas!$C$12</f>
        <v/>
      </c>
      <c r="C55">
        <f>IF($B$2=1,C54*(1-Premissas!$C$26/12)+D55,0)</f>
        <v/>
      </c>
      <c r="D55">
        <f>IF(AND($B$2=1,A55&gt;=Premissas!$C$23),Premissas!$C$22,0)</f>
        <v/>
      </c>
      <c r="E55">
        <f>B55*Premissas!$C$28</f>
        <v/>
      </c>
      <c r="F55">
        <f>B55*Premissas!$C$13/12*MIN(1,A55/Premissas!$C$17)</f>
        <v/>
      </c>
      <c r="G55">
        <f>F55*Premissas!$C$14</f>
        <v/>
      </c>
      <c r="H55">
        <f>IF(IF(A55-1-Premissas!$C$16&gt;=0,OFFSET($J$4,A55-1-Premissas!$C$16,0),0)&gt;0,ROUND(IF(A55-1-Premissas!$C$16&gt;=0,OFFSET($J$4,A55-1-Premissas!$C$16,0),0)*10000/Premissas!$C$5*Premissas!$C$15,0),0)</f>
        <v/>
      </c>
      <c r="I55">
        <f>ROUND(G55*Premissas!$C$6/10000,0)</f>
        <v/>
      </c>
      <c r="J55">
        <f>ROUND(G55*Premissas!$C$5/10000,0)</f>
        <v/>
      </c>
      <c r="K55">
        <f>IF(IF(A55-1-Premissas!$C$16&gt;=0,OFFSET($A$4,A55-1-Premissas!$C$16,0)&gt;=Premissas!$C$19,FALSE),ROUND(IF(A55-1-Premissas!$C$16&gt;=0,OFFSET($J$4,A55-1-Premissas!$C$16,0),0)*Premissas!$C$15,0),0)</f>
        <v/>
      </c>
      <c r="L55">
        <f>ROUND(C55*Premissas!$C$24/12,0)</f>
        <v/>
      </c>
      <c r="M55">
        <f>ROUND(D55*Premissas!$C$25,0)</f>
        <v/>
      </c>
      <c r="N55">
        <f>ROUND(E55*Premissas!$C$29+B55*Premissas!$C$30,0)</f>
        <v/>
      </c>
      <c r="O55">
        <f>K55+L55+M55+N55</f>
        <v/>
      </c>
      <c r="P55">
        <f>K55+ROUND(AC55*Premissas!$C$24,0)+M55+N55</f>
        <v/>
      </c>
      <c r="Q55">
        <f>ROUND(IF(A55-1-Premissas!$C$21&gt;=0,OFFSET($P$4,A55-1-Premissas!$C$21,0),0)*(1-Premissas!$C$20/100),0)</f>
        <v/>
      </c>
      <c r="R55">
        <f>ROUND(F55*Premissas!$C$11+N55*Premissas!$C$31/100,0)+ROUND((E55+B55)*Premissas!$C$10,0)+ROUND(Q55*Premissas!$C$8/100,0)+ROUND(Premissas!$C$35+(B55+C55)*Premissas!$C$36,0)</f>
        <v/>
      </c>
      <c r="S55">
        <f>O55-R55</f>
        <v/>
      </c>
      <c r="T55">
        <f>ROUND(O55*Premissas!$C$9/100,0)</f>
        <v/>
      </c>
      <c r="U55">
        <f>ROUND(AB55*Premissas!$C$33,0)</f>
        <v/>
      </c>
      <c r="V55">
        <f>Premissas!$C$37+ROUND(Premissas!$C$12*Premissas!$C$38+D55*Premissas!$C$27,0)</f>
        <v/>
      </c>
      <c r="W55">
        <f>Premissas!$C$39</f>
        <v/>
      </c>
      <c r="X55">
        <f>S55-T55-ROUND(Premissas!$C$12*Premissas!$C$38+D55*Premissas!$C$27,0)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Premissas!$C$32+(B55+C55)/Premissas!$C$34</f>
        <v/>
      </c>
      <c r="AC55">
        <f>D55+AC43*(1-Premissas!$C$26/12)^12</f>
        <v/>
      </c>
    </row>
    <row r="56">
      <c r="A56" t="n">
        <v>53</v>
      </c>
      <c r="B56">
        <f>B55*(1-Premissas!$C$18/12)+Premissas!$C$12</f>
        <v/>
      </c>
      <c r="C56">
        <f>IF($B$2=1,C55*(1-Premissas!$C$26/12)+D56,0)</f>
        <v/>
      </c>
      <c r="D56">
        <f>IF(AND($B$2=1,A56&gt;=Premissas!$C$23),Premissas!$C$22,0)</f>
        <v/>
      </c>
      <c r="E56">
        <f>B56*Premissas!$C$28</f>
        <v/>
      </c>
      <c r="F56">
        <f>B56*Premissas!$C$13/12*MIN(1,A56/Premissas!$C$17)</f>
        <v/>
      </c>
      <c r="G56">
        <f>F56*Premissas!$C$14</f>
        <v/>
      </c>
      <c r="H56">
        <f>IF(IF(A56-1-Premissas!$C$16&gt;=0,OFFSET($J$4,A56-1-Premissas!$C$16,0),0)&gt;0,ROUND(IF(A56-1-Premissas!$C$16&gt;=0,OFFSET($J$4,A56-1-Premissas!$C$16,0),0)*10000/Premissas!$C$5*Premissas!$C$15,0),0)</f>
        <v/>
      </c>
      <c r="I56">
        <f>ROUND(G56*Premissas!$C$6/10000,0)</f>
        <v/>
      </c>
      <c r="J56">
        <f>ROUND(G56*Premissas!$C$5/10000,0)</f>
        <v/>
      </c>
      <c r="K56">
        <f>IF(IF(A56-1-Premissas!$C$16&gt;=0,OFFSET($A$4,A56-1-Premissas!$C$16,0)&gt;=Premissas!$C$19,FALSE),ROUND(IF(A56-1-Premissas!$C$16&gt;=0,OFFSET($J$4,A56-1-Premissas!$C$16,0),0)*Premissas!$C$15,0),0)</f>
        <v/>
      </c>
      <c r="L56">
        <f>ROUND(C56*Premissas!$C$24/12,0)</f>
        <v/>
      </c>
      <c r="M56">
        <f>ROUND(D56*Premissas!$C$25,0)</f>
        <v/>
      </c>
      <c r="N56">
        <f>ROUND(E56*Premissas!$C$29+B56*Premissas!$C$30,0)</f>
        <v/>
      </c>
      <c r="O56">
        <f>K56+L56+M56+N56</f>
        <v/>
      </c>
      <c r="P56">
        <f>K56+ROUND(AC56*Premissas!$C$24,0)+M56+N56</f>
        <v/>
      </c>
      <c r="Q56">
        <f>ROUND(IF(A56-1-Premissas!$C$21&gt;=0,OFFSET($P$4,A56-1-Premissas!$C$21,0),0)*(1-Premissas!$C$20/100),0)</f>
        <v/>
      </c>
      <c r="R56">
        <f>ROUND(F56*Premissas!$C$11+N56*Premissas!$C$31/100,0)+ROUND((E56+B56)*Premissas!$C$10,0)+ROUND(Q56*Premissas!$C$8/100,0)+ROUND(Premissas!$C$35+(B56+C56)*Premissas!$C$36,0)</f>
        <v/>
      </c>
      <c r="S56">
        <f>O56-R56</f>
        <v/>
      </c>
      <c r="T56">
        <f>ROUND(O56*Premissas!$C$9/100,0)</f>
        <v/>
      </c>
      <c r="U56">
        <f>ROUND(AB56*Premissas!$C$33,0)</f>
        <v/>
      </c>
      <c r="V56">
        <f>Premissas!$C$37+ROUND(Premissas!$C$12*Premissas!$C$38+D56*Premissas!$C$27,0)</f>
        <v/>
      </c>
      <c r="W56">
        <f>Premissas!$C$39</f>
        <v/>
      </c>
      <c r="X56">
        <f>S56-T56-ROUND(Premissas!$C$12*Premissas!$C$38+D56*Premissas!$C$27,0)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Premissas!$C$32+(B56+C56)/Premissas!$C$34</f>
        <v/>
      </c>
      <c r="AC56">
        <f>D56+AC44*(1-Premissas!$C$26/12)^12</f>
        <v/>
      </c>
    </row>
    <row r="57">
      <c r="A57" t="n">
        <v>54</v>
      </c>
      <c r="B57">
        <f>B56*(1-Premissas!$C$18/12)+Premissas!$C$12</f>
        <v/>
      </c>
      <c r="C57">
        <f>IF($B$2=1,C56*(1-Premissas!$C$26/12)+D57,0)</f>
        <v/>
      </c>
      <c r="D57">
        <f>IF(AND($B$2=1,A57&gt;=Premissas!$C$23),Premissas!$C$22,0)</f>
        <v/>
      </c>
      <c r="E57">
        <f>B57*Premissas!$C$28</f>
        <v/>
      </c>
      <c r="F57">
        <f>B57*Premissas!$C$13/12*MIN(1,A57/Premissas!$C$17)</f>
        <v/>
      </c>
      <c r="G57">
        <f>F57*Premissas!$C$14</f>
        <v/>
      </c>
      <c r="H57">
        <f>IF(IF(A57-1-Premissas!$C$16&gt;=0,OFFSET($J$4,A57-1-Premissas!$C$16,0),0)&gt;0,ROUND(IF(A57-1-Premissas!$C$16&gt;=0,OFFSET($J$4,A57-1-Premissas!$C$16,0),0)*10000/Premissas!$C$5*Premissas!$C$15,0),0)</f>
        <v/>
      </c>
      <c r="I57">
        <f>ROUND(G57*Premissas!$C$6/10000,0)</f>
        <v/>
      </c>
      <c r="J57">
        <f>ROUND(G57*Premissas!$C$5/10000,0)</f>
        <v/>
      </c>
      <c r="K57">
        <f>IF(IF(A57-1-Premissas!$C$16&gt;=0,OFFSET($A$4,A57-1-Premissas!$C$16,0)&gt;=Premissas!$C$19,FALSE),ROUND(IF(A57-1-Premissas!$C$16&gt;=0,OFFSET($J$4,A57-1-Premissas!$C$16,0),0)*Premissas!$C$15,0),0)</f>
        <v/>
      </c>
      <c r="L57">
        <f>ROUND(C57*Premissas!$C$24/12,0)</f>
        <v/>
      </c>
      <c r="M57">
        <f>ROUND(D57*Premissas!$C$25,0)</f>
        <v/>
      </c>
      <c r="N57">
        <f>ROUND(E57*Premissas!$C$29+B57*Premissas!$C$30,0)</f>
        <v/>
      </c>
      <c r="O57">
        <f>K57+L57+M57+N57</f>
        <v/>
      </c>
      <c r="P57">
        <f>K57+ROUND(AC57*Premissas!$C$24,0)+M57+N57</f>
        <v/>
      </c>
      <c r="Q57">
        <f>ROUND(IF(A57-1-Premissas!$C$21&gt;=0,OFFSET($P$4,A57-1-Premissas!$C$21,0),0)*(1-Premissas!$C$20/100),0)</f>
        <v/>
      </c>
      <c r="R57">
        <f>ROUND(F57*Premissas!$C$11+N57*Premissas!$C$31/100,0)+ROUND((E57+B57)*Premissas!$C$10,0)+ROUND(Q57*Premissas!$C$8/100,0)+ROUND(Premissas!$C$35+(B57+C57)*Premissas!$C$36,0)</f>
        <v/>
      </c>
      <c r="S57">
        <f>O57-R57</f>
        <v/>
      </c>
      <c r="T57">
        <f>ROUND(O57*Premissas!$C$9/100,0)</f>
        <v/>
      </c>
      <c r="U57">
        <f>ROUND(AB57*Premissas!$C$33,0)</f>
        <v/>
      </c>
      <c r="V57">
        <f>Premissas!$C$37+ROUND(Premissas!$C$12*Premissas!$C$38+D57*Premissas!$C$27,0)</f>
        <v/>
      </c>
      <c r="W57">
        <f>Premissas!$C$39</f>
        <v/>
      </c>
      <c r="X57">
        <f>S57-T57-ROUND(Premissas!$C$12*Premissas!$C$38+D57*Premissas!$C$27,0)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Premissas!$C$32+(B57+C57)/Premissas!$C$34</f>
        <v/>
      </c>
      <c r="AC57">
        <f>D57+AC45*(1-Premissas!$C$26/12)^12</f>
        <v/>
      </c>
    </row>
    <row r="58">
      <c r="A58" t="n">
        <v>55</v>
      </c>
      <c r="B58">
        <f>B57*(1-Premissas!$C$18/12)+Premissas!$C$12</f>
        <v/>
      </c>
      <c r="C58">
        <f>IF($B$2=1,C57*(1-Premissas!$C$26/12)+D58,0)</f>
        <v/>
      </c>
      <c r="D58">
        <f>IF(AND($B$2=1,A58&gt;=Premissas!$C$23),Premissas!$C$22,0)</f>
        <v/>
      </c>
      <c r="E58">
        <f>B58*Premissas!$C$28</f>
        <v/>
      </c>
      <c r="F58">
        <f>B58*Premissas!$C$13/12*MIN(1,A58/Premissas!$C$17)</f>
        <v/>
      </c>
      <c r="G58">
        <f>F58*Premissas!$C$14</f>
        <v/>
      </c>
      <c r="H58">
        <f>IF(IF(A58-1-Premissas!$C$16&gt;=0,OFFSET($J$4,A58-1-Premissas!$C$16,0),0)&gt;0,ROUND(IF(A58-1-Premissas!$C$16&gt;=0,OFFSET($J$4,A58-1-Premissas!$C$16,0),0)*10000/Premissas!$C$5*Premissas!$C$15,0),0)</f>
        <v/>
      </c>
      <c r="I58">
        <f>ROUND(G58*Premissas!$C$6/10000,0)</f>
        <v/>
      </c>
      <c r="J58">
        <f>ROUND(G58*Premissas!$C$5/10000,0)</f>
        <v/>
      </c>
      <c r="K58">
        <f>IF(IF(A58-1-Premissas!$C$16&gt;=0,OFFSET($A$4,A58-1-Premissas!$C$16,0)&gt;=Premissas!$C$19,FALSE),ROUND(IF(A58-1-Premissas!$C$16&gt;=0,OFFSET($J$4,A58-1-Premissas!$C$16,0),0)*Premissas!$C$15,0),0)</f>
        <v/>
      </c>
      <c r="L58">
        <f>ROUND(C58*Premissas!$C$24/12,0)</f>
        <v/>
      </c>
      <c r="M58">
        <f>ROUND(D58*Premissas!$C$25,0)</f>
        <v/>
      </c>
      <c r="N58">
        <f>ROUND(E58*Premissas!$C$29+B58*Premissas!$C$30,0)</f>
        <v/>
      </c>
      <c r="O58">
        <f>K58+L58+M58+N58</f>
        <v/>
      </c>
      <c r="P58">
        <f>K58+ROUND(AC58*Premissas!$C$24,0)+M58+N58</f>
        <v/>
      </c>
      <c r="Q58">
        <f>ROUND(IF(A58-1-Premissas!$C$21&gt;=0,OFFSET($P$4,A58-1-Premissas!$C$21,0),0)*(1-Premissas!$C$20/100),0)</f>
        <v/>
      </c>
      <c r="R58">
        <f>ROUND(F58*Premissas!$C$11+N58*Premissas!$C$31/100,0)+ROUND((E58+B58)*Premissas!$C$10,0)+ROUND(Q58*Premissas!$C$8/100,0)+ROUND(Premissas!$C$35+(B58+C58)*Premissas!$C$36,0)</f>
        <v/>
      </c>
      <c r="S58">
        <f>O58-R58</f>
        <v/>
      </c>
      <c r="T58">
        <f>ROUND(O58*Premissas!$C$9/100,0)</f>
        <v/>
      </c>
      <c r="U58">
        <f>ROUND(AB58*Premissas!$C$33,0)</f>
        <v/>
      </c>
      <c r="V58">
        <f>Premissas!$C$37+ROUND(Premissas!$C$12*Premissas!$C$38+D58*Premissas!$C$27,0)</f>
        <v/>
      </c>
      <c r="W58">
        <f>Premissas!$C$39</f>
        <v/>
      </c>
      <c r="X58">
        <f>S58-T58-ROUND(Premissas!$C$12*Premissas!$C$38+D58*Premissas!$C$27,0)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Premissas!$C$32+(B58+C58)/Premissas!$C$34</f>
        <v/>
      </c>
      <c r="AC58">
        <f>D58+AC46*(1-Premissas!$C$26/12)^12</f>
        <v/>
      </c>
    </row>
    <row r="59">
      <c r="A59" t="n">
        <v>56</v>
      </c>
      <c r="B59">
        <f>B58*(1-Premissas!$C$18/12)+Premissas!$C$12</f>
        <v/>
      </c>
      <c r="C59">
        <f>IF($B$2=1,C58*(1-Premissas!$C$26/12)+D59,0)</f>
        <v/>
      </c>
      <c r="D59">
        <f>IF(AND($B$2=1,A59&gt;=Premissas!$C$23),Premissas!$C$22,0)</f>
        <v/>
      </c>
      <c r="E59">
        <f>B59*Premissas!$C$28</f>
        <v/>
      </c>
      <c r="F59">
        <f>B59*Premissas!$C$13/12*MIN(1,A59/Premissas!$C$17)</f>
        <v/>
      </c>
      <c r="G59">
        <f>F59*Premissas!$C$14</f>
        <v/>
      </c>
      <c r="H59">
        <f>IF(IF(A59-1-Premissas!$C$16&gt;=0,OFFSET($J$4,A59-1-Premissas!$C$16,0),0)&gt;0,ROUND(IF(A59-1-Premissas!$C$16&gt;=0,OFFSET($J$4,A59-1-Premissas!$C$16,0),0)*10000/Premissas!$C$5*Premissas!$C$15,0),0)</f>
        <v/>
      </c>
      <c r="I59">
        <f>ROUND(G59*Premissas!$C$6/10000,0)</f>
        <v/>
      </c>
      <c r="J59">
        <f>ROUND(G59*Premissas!$C$5/10000,0)</f>
        <v/>
      </c>
      <c r="K59">
        <f>IF(IF(A59-1-Premissas!$C$16&gt;=0,OFFSET($A$4,A59-1-Premissas!$C$16,0)&gt;=Premissas!$C$19,FALSE),ROUND(IF(A59-1-Premissas!$C$16&gt;=0,OFFSET($J$4,A59-1-Premissas!$C$16,0),0)*Premissas!$C$15,0),0)</f>
        <v/>
      </c>
      <c r="L59">
        <f>ROUND(C59*Premissas!$C$24/12,0)</f>
        <v/>
      </c>
      <c r="M59">
        <f>ROUND(D59*Premissas!$C$25,0)</f>
        <v/>
      </c>
      <c r="N59">
        <f>ROUND(E59*Premissas!$C$29+B59*Premissas!$C$30,0)</f>
        <v/>
      </c>
      <c r="O59">
        <f>K59+L59+M59+N59</f>
        <v/>
      </c>
      <c r="P59">
        <f>K59+ROUND(AC59*Premissas!$C$24,0)+M59+N59</f>
        <v/>
      </c>
      <c r="Q59">
        <f>ROUND(IF(A59-1-Premissas!$C$21&gt;=0,OFFSET($P$4,A59-1-Premissas!$C$21,0),0)*(1-Premissas!$C$20/100),0)</f>
        <v/>
      </c>
      <c r="R59">
        <f>ROUND(F59*Premissas!$C$11+N59*Premissas!$C$31/100,0)+ROUND((E59+B59)*Premissas!$C$10,0)+ROUND(Q59*Premissas!$C$8/100,0)+ROUND(Premissas!$C$35+(B59+C59)*Premissas!$C$36,0)</f>
        <v/>
      </c>
      <c r="S59">
        <f>O59-R59</f>
        <v/>
      </c>
      <c r="T59">
        <f>ROUND(O59*Premissas!$C$9/100,0)</f>
        <v/>
      </c>
      <c r="U59">
        <f>ROUND(AB59*Premissas!$C$33,0)</f>
        <v/>
      </c>
      <c r="V59">
        <f>Premissas!$C$37+ROUND(Premissas!$C$12*Premissas!$C$38+D59*Premissas!$C$27,0)</f>
        <v/>
      </c>
      <c r="W59">
        <f>Premissas!$C$39</f>
        <v/>
      </c>
      <c r="X59">
        <f>S59-T59-ROUND(Premissas!$C$12*Premissas!$C$38+D59*Premissas!$C$27,0)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Premissas!$C$32+(B59+C59)/Premissas!$C$34</f>
        <v/>
      </c>
      <c r="AC59">
        <f>D59+AC47*(1-Premissas!$C$26/12)^12</f>
        <v/>
      </c>
    </row>
    <row r="60">
      <c r="A60" t="n">
        <v>57</v>
      </c>
      <c r="B60">
        <f>B59*(1-Premissas!$C$18/12)+Premissas!$C$12</f>
        <v/>
      </c>
      <c r="C60">
        <f>IF($B$2=1,C59*(1-Premissas!$C$26/12)+D60,0)</f>
        <v/>
      </c>
      <c r="D60">
        <f>IF(AND($B$2=1,A60&gt;=Premissas!$C$23),Premissas!$C$22,0)</f>
        <v/>
      </c>
      <c r="E60">
        <f>B60*Premissas!$C$28</f>
        <v/>
      </c>
      <c r="F60">
        <f>B60*Premissas!$C$13/12*MIN(1,A60/Premissas!$C$17)</f>
        <v/>
      </c>
      <c r="G60">
        <f>F60*Premissas!$C$14</f>
        <v/>
      </c>
      <c r="H60">
        <f>IF(IF(A60-1-Premissas!$C$16&gt;=0,OFFSET($J$4,A60-1-Premissas!$C$16,0),0)&gt;0,ROUND(IF(A60-1-Premissas!$C$16&gt;=0,OFFSET($J$4,A60-1-Premissas!$C$16,0),0)*10000/Premissas!$C$5*Premissas!$C$15,0),0)</f>
        <v/>
      </c>
      <c r="I60">
        <f>ROUND(G60*Premissas!$C$6/10000,0)</f>
        <v/>
      </c>
      <c r="J60">
        <f>ROUND(G60*Premissas!$C$5/10000,0)</f>
        <v/>
      </c>
      <c r="K60">
        <f>IF(IF(A60-1-Premissas!$C$16&gt;=0,OFFSET($A$4,A60-1-Premissas!$C$16,0)&gt;=Premissas!$C$19,FALSE),ROUND(IF(A60-1-Premissas!$C$16&gt;=0,OFFSET($J$4,A60-1-Premissas!$C$16,0),0)*Premissas!$C$15,0),0)</f>
        <v/>
      </c>
      <c r="L60">
        <f>ROUND(C60*Premissas!$C$24/12,0)</f>
        <v/>
      </c>
      <c r="M60">
        <f>ROUND(D60*Premissas!$C$25,0)</f>
        <v/>
      </c>
      <c r="N60">
        <f>ROUND(E60*Premissas!$C$29+B60*Premissas!$C$30,0)</f>
        <v/>
      </c>
      <c r="O60">
        <f>K60+L60+M60+N60</f>
        <v/>
      </c>
      <c r="P60">
        <f>K60+ROUND(AC60*Premissas!$C$24,0)+M60+N60</f>
        <v/>
      </c>
      <c r="Q60">
        <f>ROUND(IF(A60-1-Premissas!$C$21&gt;=0,OFFSET($P$4,A60-1-Premissas!$C$21,0),0)*(1-Premissas!$C$20/100),0)</f>
        <v/>
      </c>
      <c r="R60">
        <f>ROUND(F60*Premissas!$C$11+N60*Premissas!$C$31/100,0)+ROUND((E60+B60)*Premissas!$C$10,0)+ROUND(Q60*Premissas!$C$8/100,0)+ROUND(Premissas!$C$35+(B60+C60)*Premissas!$C$36,0)</f>
        <v/>
      </c>
      <c r="S60">
        <f>O60-R60</f>
        <v/>
      </c>
      <c r="T60">
        <f>ROUND(O60*Premissas!$C$9/100,0)</f>
        <v/>
      </c>
      <c r="U60">
        <f>ROUND(AB60*Premissas!$C$33,0)</f>
        <v/>
      </c>
      <c r="V60">
        <f>Premissas!$C$37+ROUND(Premissas!$C$12*Premissas!$C$38+D60*Premissas!$C$27,0)</f>
        <v/>
      </c>
      <c r="W60">
        <f>Premissas!$C$39</f>
        <v/>
      </c>
      <c r="X60">
        <f>S60-T60-ROUND(Premissas!$C$12*Premissas!$C$38+D60*Premissas!$C$27,0)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Premissas!$C$32+(B60+C60)/Premissas!$C$34</f>
        <v/>
      </c>
      <c r="AC60">
        <f>D60+AC48*(1-Premissas!$C$26/12)^12</f>
        <v/>
      </c>
    </row>
    <row r="61">
      <c r="A61" t="n">
        <v>58</v>
      </c>
      <c r="B61">
        <f>B60*(1-Premissas!$C$18/12)+Premissas!$C$12</f>
        <v/>
      </c>
      <c r="C61">
        <f>IF($B$2=1,C60*(1-Premissas!$C$26/12)+D61,0)</f>
        <v/>
      </c>
      <c r="D61">
        <f>IF(AND($B$2=1,A61&gt;=Premissas!$C$23),Premissas!$C$22,0)</f>
        <v/>
      </c>
      <c r="E61">
        <f>B61*Premissas!$C$28</f>
        <v/>
      </c>
      <c r="F61">
        <f>B61*Premissas!$C$13/12*MIN(1,A61/Premissas!$C$17)</f>
        <v/>
      </c>
      <c r="G61">
        <f>F61*Premissas!$C$14</f>
        <v/>
      </c>
      <c r="H61">
        <f>IF(IF(A61-1-Premissas!$C$16&gt;=0,OFFSET($J$4,A61-1-Premissas!$C$16,0),0)&gt;0,ROUND(IF(A61-1-Premissas!$C$16&gt;=0,OFFSET($J$4,A61-1-Premissas!$C$16,0),0)*10000/Premissas!$C$5*Premissas!$C$15,0),0)</f>
        <v/>
      </c>
      <c r="I61">
        <f>ROUND(G61*Premissas!$C$6/10000,0)</f>
        <v/>
      </c>
      <c r="J61">
        <f>ROUND(G61*Premissas!$C$5/10000,0)</f>
        <v/>
      </c>
      <c r="K61">
        <f>IF(IF(A61-1-Premissas!$C$16&gt;=0,OFFSET($A$4,A61-1-Premissas!$C$16,0)&gt;=Premissas!$C$19,FALSE),ROUND(IF(A61-1-Premissas!$C$16&gt;=0,OFFSET($J$4,A61-1-Premissas!$C$16,0),0)*Premissas!$C$15,0),0)</f>
        <v/>
      </c>
      <c r="L61">
        <f>ROUND(C61*Premissas!$C$24/12,0)</f>
        <v/>
      </c>
      <c r="M61">
        <f>ROUND(D61*Premissas!$C$25,0)</f>
        <v/>
      </c>
      <c r="N61">
        <f>ROUND(E61*Premissas!$C$29+B61*Premissas!$C$30,0)</f>
        <v/>
      </c>
      <c r="O61">
        <f>K61+L61+M61+N61</f>
        <v/>
      </c>
      <c r="P61">
        <f>K61+ROUND(AC61*Premissas!$C$24,0)+M61+N61</f>
        <v/>
      </c>
      <c r="Q61">
        <f>ROUND(IF(A61-1-Premissas!$C$21&gt;=0,OFFSET($P$4,A61-1-Premissas!$C$21,0),0)*(1-Premissas!$C$20/100),0)</f>
        <v/>
      </c>
      <c r="R61">
        <f>ROUND(F61*Premissas!$C$11+N61*Premissas!$C$31/100,0)+ROUND((E61+B61)*Premissas!$C$10,0)+ROUND(Q61*Premissas!$C$8/100,0)+ROUND(Premissas!$C$35+(B61+C61)*Premissas!$C$36,0)</f>
        <v/>
      </c>
      <c r="S61">
        <f>O61-R61</f>
        <v/>
      </c>
      <c r="T61">
        <f>ROUND(O61*Premissas!$C$9/100,0)</f>
        <v/>
      </c>
      <c r="U61">
        <f>ROUND(AB61*Premissas!$C$33,0)</f>
        <v/>
      </c>
      <c r="V61">
        <f>Premissas!$C$37+ROUND(Premissas!$C$12*Premissas!$C$38+D61*Premissas!$C$27,0)</f>
        <v/>
      </c>
      <c r="W61">
        <f>Premissas!$C$39</f>
        <v/>
      </c>
      <c r="X61">
        <f>S61-T61-ROUND(Premissas!$C$12*Premissas!$C$38+D61*Premissas!$C$27,0)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Premissas!$C$32+(B61+C61)/Premissas!$C$34</f>
        <v/>
      </c>
      <c r="AC61">
        <f>D61+AC49*(1-Premissas!$C$26/12)^12</f>
        <v/>
      </c>
    </row>
    <row r="62">
      <c r="A62" t="n">
        <v>59</v>
      </c>
      <c r="B62">
        <f>B61*(1-Premissas!$C$18/12)+Premissas!$C$12</f>
        <v/>
      </c>
      <c r="C62">
        <f>IF($B$2=1,C61*(1-Premissas!$C$26/12)+D62,0)</f>
        <v/>
      </c>
      <c r="D62">
        <f>IF(AND($B$2=1,A62&gt;=Premissas!$C$23),Premissas!$C$22,0)</f>
        <v/>
      </c>
      <c r="E62">
        <f>B62*Premissas!$C$28</f>
        <v/>
      </c>
      <c r="F62">
        <f>B62*Premissas!$C$13/12*MIN(1,A62/Premissas!$C$17)</f>
        <v/>
      </c>
      <c r="G62">
        <f>F62*Premissas!$C$14</f>
        <v/>
      </c>
      <c r="H62">
        <f>IF(IF(A62-1-Premissas!$C$16&gt;=0,OFFSET($J$4,A62-1-Premissas!$C$16,0),0)&gt;0,ROUND(IF(A62-1-Premissas!$C$16&gt;=0,OFFSET($J$4,A62-1-Premissas!$C$16,0),0)*10000/Premissas!$C$5*Premissas!$C$15,0),0)</f>
        <v/>
      </c>
      <c r="I62">
        <f>ROUND(G62*Premissas!$C$6/10000,0)</f>
        <v/>
      </c>
      <c r="J62">
        <f>ROUND(G62*Premissas!$C$5/10000,0)</f>
        <v/>
      </c>
      <c r="K62">
        <f>IF(IF(A62-1-Premissas!$C$16&gt;=0,OFFSET($A$4,A62-1-Premissas!$C$16,0)&gt;=Premissas!$C$19,FALSE),ROUND(IF(A62-1-Premissas!$C$16&gt;=0,OFFSET($J$4,A62-1-Premissas!$C$16,0),0)*Premissas!$C$15,0),0)</f>
        <v/>
      </c>
      <c r="L62">
        <f>ROUND(C62*Premissas!$C$24/12,0)</f>
        <v/>
      </c>
      <c r="M62">
        <f>ROUND(D62*Premissas!$C$25,0)</f>
        <v/>
      </c>
      <c r="N62">
        <f>ROUND(E62*Premissas!$C$29+B62*Premissas!$C$30,0)</f>
        <v/>
      </c>
      <c r="O62">
        <f>K62+L62+M62+N62</f>
        <v/>
      </c>
      <c r="P62">
        <f>K62+ROUND(AC62*Premissas!$C$24,0)+M62+N62</f>
        <v/>
      </c>
      <c r="Q62">
        <f>ROUND(IF(A62-1-Premissas!$C$21&gt;=0,OFFSET($P$4,A62-1-Premissas!$C$21,0),0)*(1-Premissas!$C$20/100),0)</f>
        <v/>
      </c>
      <c r="R62">
        <f>ROUND(F62*Premissas!$C$11+N62*Premissas!$C$31/100,0)+ROUND((E62+B62)*Premissas!$C$10,0)+ROUND(Q62*Premissas!$C$8/100,0)+ROUND(Premissas!$C$35+(B62+C62)*Premissas!$C$36,0)</f>
        <v/>
      </c>
      <c r="S62">
        <f>O62-R62</f>
        <v/>
      </c>
      <c r="T62">
        <f>ROUND(O62*Premissas!$C$9/100,0)</f>
        <v/>
      </c>
      <c r="U62">
        <f>ROUND(AB62*Premissas!$C$33,0)</f>
        <v/>
      </c>
      <c r="V62">
        <f>Premissas!$C$37+ROUND(Premissas!$C$12*Premissas!$C$38+D62*Premissas!$C$27,0)</f>
        <v/>
      </c>
      <c r="W62">
        <f>Premissas!$C$39</f>
        <v/>
      </c>
      <c r="X62">
        <f>S62-T62-ROUND(Premissas!$C$12*Premissas!$C$38+D62*Premissas!$C$27,0)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Premissas!$C$32+(B62+C62)/Premissas!$C$34</f>
        <v/>
      </c>
      <c r="AC62">
        <f>D62+AC50*(1-Premissas!$C$26/12)^12</f>
        <v/>
      </c>
    </row>
    <row r="63">
      <c r="A63" t="n">
        <v>60</v>
      </c>
      <c r="B63">
        <f>B62*(1-Premissas!$C$18/12)+Premissas!$C$12</f>
        <v/>
      </c>
      <c r="C63">
        <f>IF($B$2=1,C62*(1-Premissas!$C$26/12)+D63,0)</f>
        <v/>
      </c>
      <c r="D63">
        <f>IF(AND($B$2=1,A63&gt;=Premissas!$C$23),Premissas!$C$22,0)</f>
        <v/>
      </c>
      <c r="E63">
        <f>B63*Premissas!$C$28</f>
        <v/>
      </c>
      <c r="F63">
        <f>B63*Premissas!$C$13/12*MIN(1,A63/Premissas!$C$17)</f>
        <v/>
      </c>
      <c r="G63">
        <f>F63*Premissas!$C$14</f>
        <v/>
      </c>
      <c r="H63">
        <f>IF(IF(A63-1-Premissas!$C$16&gt;=0,OFFSET($J$4,A63-1-Premissas!$C$16,0),0)&gt;0,ROUND(IF(A63-1-Premissas!$C$16&gt;=0,OFFSET($J$4,A63-1-Premissas!$C$16,0),0)*10000/Premissas!$C$5*Premissas!$C$15,0),0)</f>
        <v/>
      </c>
      <c r="I63">
        <f>ROUND(G63*Premissas!$C$6/10000,0)</f>
        <v/>
      </c>
      <c r="J63">
        <f>ROUND(G63*Premissas!$C$5/10000,0)</f>
        <v/>
      </c>
      <c r="K63">
        <f>IF(IF(A63-1-Premissas!$C$16&gt;=0,OFFSET($A$4,A63-1-Premissas!$C$16,0)&gt;=Premissas!$C$19,FALSE),ROUND(IF(A63-1-Premissas!$C$16&gt;=0,OFFSET($J$4,A63-1-Premissas!$C$16,0),0)*Premissas!$C$15,0),0)</f>
        <v/>
      </c>
      <c r="L63">
        <f>ROUND(C63*Premissas!$C$24/12,0)</f>
        <v/>
      </c>
      <c r="M63">
        <f>ROUND(D63*Premissas!$C$25,0)</f>
        <v/>
      </c>
      <c r="N63">
        <f>ROUND(E63*Premissas!$C$29+B63*Premissas!$C$30,0)</f>
        <v/>
      </c>
      <c r="O63">
        <f>K63+L63+M63+N63</f>
        <v/>
      </c>
      <c r="P63">
        <f>K63+ROUND(AC63*Premissas!$C$24,0)+M63+N63</f>
        <v/>
      </c>
      <c r="Q63">
        <f>ROUND(IF(A63-1-Premissas!$C$21&gt;=0,OFFSET($P$4,A63-1-Premissas!$C$21,0),0)*(1-Premissas!$C$20/100),0)</f>
        <v/>
      </c>
      <c r="R63">
        <f>ROUND(F63*Premissas!$C$11+N63*Premissas!$C$31/100,0)+ROUND((E63+B63)*Premissas!$C$10,0)+ROUND(Q63*Premissas!$C$8/100,0)+ROUND(Premissas!$C$35+(B63+C63)*Premissas!$C$36,0)</f>
        <v/>
      </c>
      <c r="S63">
        <f>O63-R63</f>
        <v/>
      </c>
      <c r="T63">
        <f>ROUND(O63*Premissas!$C$9/100,0)</f>
        <v/>
      </c>
      <c r="U63">
        <f>ROUND(AB63*Premissas!$C$33,0)</f>
        <v/>
      </c>
      <c r="V63">
        <f>Premissas!$C$37+ROUND(Premissas!$C$12*Premissas!$C$38+D63*Premissas!$C$27,0)</f>
        <v/>
      </c>
      <c r="W63">
        <f>Premissas!$C$39</f>
        <v/>
      </c>
      <c r="X63">
        <f>S63-T63-ROUND(Premissas!$C$12*Premissas!$C$38+D63*Premissas!$C$27,0)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Premissas!$C$32+(B63+C63)/Premissas!$C$34</f>
        <v/>
      </c>
      <c r="AC63">
        <f>D63+AC51*(1-Premissas!$C$26/12)^12</f>
        <v/>
      </c>
    </row>
    <row r="64">
      <c r="A64" t="n">
        <v>61</v>
      </c>
      <c r="B64">
        <f>B63*(1-Premissas!$C$18/12)+Premissas!$C$12</f>
        <v/>
      </c>
      <c r="C64">
        <f>IF($B$2=1,C63*(1-Premissas!$C$26/12)+D64,0)</f>
        <v/>
      </c>
      <c r="D64">
        <f>IF(AND($B$2=1,A64&gt;=Premissas!$C$23),Premissas!$C$22,0)</f>
        <v/>
      </c>
      <c r="E64">
        <f>B64*Premissas!$C$28</f>
        <v/>
      </c>
      <c r="F64">
        <f>B64*Premissas!$C$13/12*MIN(1,A64/Premissas!$C$17)</f>
        <v/>
      </c>
      <c r="G64">
        <f>F64*Premissas!$C$14</f>
        <v/>
      </c>
      <c r="H64">
        <f>IF(IF(A64-1-Premissas!$C$16&gt;=0,OFFSET($J$4,A64-1-Premissas!$C$16,0),0)&gt;0,ROUND(IF(A64-1-Premissas!$C$16&gt;=0,OFFSET($J$4,A64-1-Premissas!$C$16,0),0)*10000/Premissas!$C$5*Premissas!$C$15,0),0)</f>
        <v/>
      </c>
      <c r="I64">
        <f>ROUND(G64*Premissas!$C$6/10000,0)</f>
        <v/>
      </c>
      <c r="J64">
        <f>ROUND(G64*Premissas!$C$5/10000,0)</f>
        <v/>
      </c>
      <c r="K64">
        <f>IF(IF(A64-1-Premissas!$C$16&gt;=0,OFFSET($A$4,A64-1-Premissas!$C$16,0)&gt;=Premissas!$C$19,FALSE),ROUND(IF(A64-1-Premissas!$C$16&gt;=0,OFFSET($J$4,A64-1-Premissas!$C$16,0),0)*Premissas!$C$15,0),0)</f>
        <v/>
      </c>
      <c r="L64">
        <f>ROUND(C64*Premissas!$C$24/12,0)</f>
        <v/>
      </c>
      <c r="M64">
        <f>ROUND(D64*Premissas!$C$25,0)</f>
        <v/>
      </c>
      <c r="N64">
        <f>ROUND(E64*Premissas!$C$29+B64*Premissas!$C$30,0)</f>
        <v/>
      </c>
      <c r="O64">
        <f>K64+L64+M64+N64</f>
        <v/>
      </c>
      <c r="P64">
        <f>K64+ROUND(AC64*Premissas!$C$24,0)+M64+N64</f>
        <v/>
      </c>
      <c r="Q64">
        <f>ROUND(IF(A64-1-Premissas!$C$21&gt;=0,OFFSET($P$4,A64-1-Premissas!$C$21,0),0)*(1-Premissas!$C$20/100),0)</f>
        <v/>
      </c>
      <c r="R64">
        <f>ROUND(F64*Premissas!$C$11+N64*Premissas!$C$31/100,0)+ROUND((E64+B64)*Premissas!$C$10,0)+ROUND(Q64*Premissas!$C$8/100,0)+ROUND(Premissas!$C$35+(B64+C64)*Premissas!$C$36,0)</f>
        <v/>
      </c>
      <c r="S64">
        <f>O64-R64</f>
        <v/>
      </c>
      <c r="T64">
        <f>ROUND(O64*Premissas!$C$9/100,0)</f>
        <v/>
      </c>
      <c r="U64">
        <f>ROUND(AB64*Premissas!$C$33,0)</f>
        <v/>
      </c>
      <c r="V64">
        <f>Premissas!$C$37+ROUND(Premissas!$C$12*Premissas!$C$38+D64*Premissas!$C$27,0)</f>
        <v/>
      </c>
      <c r="W64">
        <f>Premissas!$C$39</f>
        <v/>
      </c>
      <c r="X64">
        <f>S64-T64-ROUND(Premissas!$C$12*Premissas!$C$38+D64*Premissas!$C$27,0)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Premissas!$C$32+(B64+C64)/Premissas!$C$34</f>
        <v/>
      </c>
      <c r="AC64">
        <f>D64+AC52*(1-Premissas!$C$26/12)^12</f>
        <v/>
      </c>
    </row>
    <row r="65">
      <c r="A65" t="n">
        <v>62</v>
      </c>
      <c r="B65">
        <f>B64*(1-Premissas!$C$18/12)+Premissas!$C$12</f>
        <v/>
      </c>
      <c r="C65">
        <f>IF($B$2=1,C64*(1-Premissas!$C$26/12)+D65,0)</f>
        <v/>
      </c>
      <c r="D65">
        <f>IF(AND($B$2=1,A65&gt;=Premissas!$C$23),Premissas!$C$22,0)</f>
        <v/>
      </c>
      <c r="E65">
        <f>B65*Premissas!$C$28</f>
        <v/>
      </c>
      <c r="F65">
        <f>B65*Premissas!$C$13/12*MIN(1,A65/Premissas!$C$17)</f>
        <v/>
      </c>
      <c r="G65">
        <f>F65*Premissas!$C$14</f>
        <v/>
      </c>
      <c r="H65">
        <f>IF(IF(A65-1-Premissas!$C$16&gt;=0,OFFSET($J$4,A65-1-Premissas!$C$16,0),0)&gt;0,ROUND(IF(A65-1-Premissas!$C$16&gt;=0,OFFSET($J$4,A65-1-Premissas!$C$16,0),0)*10000/Premissas!$C$5*Premissas!$C$15,0),0)</f>
        <v/>
      </c>
      <c r="I65">
        <f>ROUND(G65*Premissas!$C$6/10000,0)</f>
        <v/>
      </c>
      <c r="J65">
        <f>ROUND(G65*Premissas!$C$5/10000,0)</f>
        <v/>
      </c>
      <c r="K65">
        <f>IF(IF(A65-1-Premissas!$C$16&gt;=0,OFFSET($A$4,A65-1-Premissas!$C$16,0)&gt;=Premissas!$C$19,FALSE),ROUND(IF(A65-1-Premissas!$C$16&gt;=0,OFFSET($J$4,A65-1-Premissas!$C$16,0),0)*Premissas!$C$15,0),0)</f>
        <v/>
      </c>
      <c r="L65">
        <f>ROUND(C65*Premissas!$C$24/12,0)</f>
        <v/>
      </c>
      <c r="M65">
        <f>ROUND(D65*Premissas!$C$25,0)</f>
        <v/>
      </c>
      <c r="N65">
        <f>ROUND(E65*Premissas!$C$29+B65*Premissas!$C$30,0)</f>
        <v/>
      </c>
      <c r="O65">
        <f>K65+L65+M65+N65</f>
        <v/>
      </c>
      <c r="P65">
        <f>K65+ROUND(AC65*Premissas!$C$24,0)+M65+N65</f>
        <v/>
      </c>
      <c r="Q65">
        <f>ROUND(IF(A65-1-Premissas!$C$21&gt;=0,OFFSET($P$4,A65-1-Premissas!$C$21,0),0)*(1-Premissas!$C$20/100),0)</f>
        <v/>
      </c>
      <c r="R65">
        <f>ROUND(F65*Premissas!$C$11+N65*Premissas!$C$31/100,0)+ROUND((E65+B65)*Premissas!$C$10,0)+ROUND(Q65*Premissas!$C$8/100,0)+ROUND(Premissas!$C$35+(B65+C65)*Premissas!$C$36,0)</f>
        <v/>
      </c>
      <c r="S65">
        <f>O65-R65</f>
        <v/>
      </c>
      <c r="T65">
        <f>ROUND(O65*Premissas!$C$9/100,0)</f>
        <v/>
      </c>
      <c r="U65">
        <f>ROUND(AB65*Premissas!$C$33,0)</f>
        <v/>
      </c>
      <c r="V65">
        <f>Premissas!$C$37+ROUND(Premissas!$C$12*Premissas!$C$38+D65*Premissas!$C$27,0)</f>
        <v/>
      </c>
      <c r="W65">
        <f>Premissas!$C$39</f>
        <v/>
      </c>
      <c r="X65">
        <f>S65-T65-ROUND(Premissas!$C$12*Premissas!$C$38+D65*Premissas!$C$27,0)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Premissas!$C$32+(B65+C65)/Premissas!$C$34</f>
        <v/>
      </c>
      <c r="AC65">
        <f>D65+AC53*(1-Premissas!$C$26/12)^12</f>
        <v/>
      </c>
    </row>
    <row r="66">
      <c r="A66" t="n">
        <v>63</v>
      </c>
      <c r="B66">
        <f>B65*(1-Premissas!$C$18/12)+Premissas!$C$12</f>
        <v/>
      </c>
      <c r="C66">
        <f>IF($B$2=1,C65*(1-Premissas!$C$26/12)+D66,0)</f>
        <v/>
      </c>
      <c r="D66">
        <f>IF(AND($B$2=1,A66&gt;=Premissas!$C$23),Premissas!$C$22,0)</f>
        <v/>
      </c>
      <c r="E66">
        <f>B66*Premissas!$C$28</f>
        <v/>
      </c>
      <c r="F66">
        <f>B66*Premissas!$C$13/12*MIN(1,A66/Premissas!$C$17)</f>
        <v/>
      </c>
      <c r="G66">
        <f>F66*Premissas!$C$14</f>
        <v/>
      </c>
      <c r="H66">
        <f>IF(IF(A66-1-Premissas!$C$16&gt;=0,OFFSET($J$4,A66-1-Premissas!$C$16,0),0)&gt;0,ROUND(IF(A66-1-Premissas!$C$16&gt;=0,OFFSET($J$4,A66-1-Premissas!$C$16,0),0)*10000/Premissas!$C$5*Premissas!$C$15,0),0)</f>
        <v/>
      </c>
      <c r="I66">
        <f>ROUND(G66*Premissas!$C$6/10000,0)</f>
        <v/>
      </c>
      <c r="J66">
        <f>ROUND(G66*Premissas!$C$5/10000,0)</f>
        <v/>
      </c>
      <c r="K66">
        <f>IF(IF(A66-1-Premissas!$C$16&gt;=0,OFFSET($A$4,A66-1-Premissas!$C$16,0)&gt;=Premissas!$C$19,FALSE),ROUND(IF(A66-1-Premissas!$C$16&gt;=0,OFFSET($J$4,A66-1-Premissas!$C$16,0),0)*Premissas!$C$15,0),0)</f>
        <v/>
      </c>
      <c r="L66">
        <f>ROUND(C66*Premissas!$C$24/12,0)</f>
        <v/>
      </c>
      <c r="M66">
        <f>ROUND(D66*Premissas!$C$25,0)</f>
        <v/>
      </c>
      <c r="N66">
        <f>ROUND(E66*Premissas!$C$29+B66*Premissas!$C$30,0)</f>
        <v/>
      </c>
      <c r="O66">
        <f>K66+L66+M66+N66</f>
        <v/>
      </c>
      <c r="P66">
        <f>K66+ROUND(AC66*Premissas!$C$24,0)+M66+N66</f>
        <v/>
      </c>
      <c r="Q66">
        <f>ROUND(IF(A66-1-Premissas!$C$21&gt;=0,OFFSET($P$4,A66-1-Premissas!$C$21,0),0)*(1-Premissas!$C$20/100),0)</f>
        <v/>
      </c>
      <c r="R66">
        <f>ROUND(F66*Premissas!$C$11+N66*Premissas!$C$31/100,0)+ROUND((E66+B66)*Premissas!$C$10,0)+ROUND(Q66*Premissas!$C$8/100,0)+ROUND(Premissas!$C$35+(B66+C66)*Premissas!$C$36,0)</f>
        <v/>
      </c>
      <c r="S66">
        <f>O66-R66</f>
        <v/>
      </c>
      <c r="T66">
        <f>ROUND(O66*Premissas!$C$9/100,0)</f>
        <v/>
      </c>
      <c r="U66">
        <f>ROUND(AB66*Premissas!$C$33,0)</f>
        <v/>
      </c>
      <c r="V66">
        <f>Premissas!$C$37+ROUND(Premissas!$C$12*Premissas!$C$38+D66*Premissas!$C$27,0)</f>
        <v/>
      </c>
      <c r="W66">
        <f>Premissas!$C$39</f>
        <v/>
      </c>
      <c r="X66">
        <f>S66-T66-ROUND(Premissas!$C$12*Premissas!$C$38+D66*Premissas!$C$27,0)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Premissas!$C$32+(B66+C66)/Premissas!$C$34</f>
        <v/>
      </c>
      <c r="AC66">
        <f>D66+AC54*(1-Premissas!$C$26/12)^12</f>
        <v/>
      </c>
    </row>
    <row r="67">
      <c r="A67" t="n">
        <v>64</v>
      </c>
      <c r="B67">
        <f>B66*(1-Premissas!$C$18/12)+Premissas!$C$12</f>
        <v/>
      </c>
      <c r="C67">
        <f>IF($B$2=1,C66*(1-Premissas!$C$26/12)+D67,0)</f>
        <v/>
      </c>
      <c r="D67">
        <f>IF(AND($B$2=1,A67&gt;=Premissas!$C$23),Premissas!$C$22,0)</f>
        <v/>
      </c>
      <c r="E67">
        <f>B67*Premissas!$C$28</f>
        <v/>
      </c>
      <c r="F67">
        <f>B67*Premissas!$C$13/12*MIN(1,A67/Premissas!$C$17)</f>
        <v/>
      </c>
      <c r="G67">
        <f>F67*Premissas!$C$14</f>
        <v/>
      </c>
      <c r="H67">
        <f>IF(IF(A67-1-Premissas!$C$16&gt;=0,OFFSET($J$4,A67-1-Premissas!$C$16,0),0)&gt;0,ROUND(IF(A67-1-Premissas!$C$16&gt;=0,OFFSET($J$4,A67-1-Premissas!$C$16,0),0)*10000/Premissas!$C$5*Premissas!$C$15,0),0)</f>
        <v/>
      </c>
      <c r="I67">
        <f>ROUND(G67*Premissas!$C$6/10000,0)</f>
        <v/>
      </c>
      <c r="J67">
        <f>ROUND(G67*Premissas!$C$5/10000,0)</f>
        <v/>
      </c>
      <c r="K67">
        <f>IF(IF(A67-1-Premissas!$C$16&gt;=0,OFFSET($A$4,A67-1-Premissas!$C$16,0)&gt;=Premissas!$C$19,FALSE),ROUND(IF(A67-1-Premissas!$C$16&gt;=0,OFFSET($J$4,A67-1-Premissas!$C$16,0),0)*Premissas!$C$15,0),0)</f>
        <v/>
      </c>
      <c r="L67">
        <f>ROUND(C67*Premissas!$C$24/12,0)</f>
        <v/>
      </c>
      <c r="M67">
        <f>ROUND(D67*Premissas!$C$25,0)</f>
        <v/>
      </c>
      <c r="N67">
        <f>ROUND(E67*Premissas!$C$29+B67*Premissas!$C$30,0)</f>
        <v/>
      </c>
      <c r="O67">
        <f>K67+L67+M67+N67</f>
        <v/>
      </c>
      <c r="P67">
        <f>K67+ROUND(AC67*Premissas!$C$24,0)+M67+N67</f>
        <v/>
      </c>
      <c r="Q67">
        <f>ROUND(IF(A67-1-Premissas!$C$21&gt;=0,OFFSET($P$4,A67-1-Premissas!$C$21,0),0)*(1-Premissas!$C$20/100),0)</f>
        <v/>
      </c>
      <c r="R67">
        <f>ROUND(F67*Premissas!$C$11+N67*Premissas!$C$31/100,0)+ROUND((E67+B67)*Premissas!$C$10,0)+ROUND(Q67*Premissas!$C$8/100,0)+ROUND(Premissas!$C$35+(B67+C67)*Premissas!$C$36,0)</f>
        <v/>
      </c>
      <c r="S67">
        <f>O67-R67</f>
        <v/>
      </c>
      <c r="T67">
        <f>ROUND(O67*Premissas!$C$9/100,0)</f>
        <v/>
      </c>
      <c r="U67">
        <f>ROUND(AB67*Premissas!$C$33,0)</f>
        <v/>
      </c>
      <c r="V67">
        <f>Premissas!$C$37+ROUND(Premissas!$C$12*Premissas!$C$38+D67*Premissas!$C$27,0)</f>
        <v/>
      </c>
      <c r="W67">
        <f>Premissas!$C$39</f>
        <v/>
      </c>
      <c r="X67">
        <f>S67-T67-ROUND(Premissas!$C$12*Premissas!$C$38+D67*Premissas!$C$27,0)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Premissas!$C$32+(B67+C67)/Premissas!$C$34</f>
        <v/>
      </c>
      <c r="AC67">
        <f>D67+AC55*(1-Premissas!$C$26/12)^12</f>
        <v/>
      </c>
    </row>
    <row r="68">
      <c r="A68" t="n">
        <v>65</v>
      </c>
      <c r="B68">
        <f>B67*(1-Premissas!$C$18/12)+Premissas!$C$12</f>
        <v/>
      </c>
      <c r="C68">
        <f>IF($B$2=1,C67*(1-Premissas!$C$26/12)+D68,0)</f>
        <v/>
      </c>
      <c r="D68">
        <f>IF(AND($B$2=1,A68&gt;=Premissas!$C$23),Premissas!$C$22,0)</f>
        <v/>
      </c>
      <c r="E68">
        <f>B68*Premissas!$C$28</f>
        <v/>
      </c>
      <c r="F68">
        <f>B68*Premissas!$C$13/12*MIN(1,A68/Premissas!$C$17)</f>
        <v/>
      </c>
      <c r="G68">
        <f>F68*Premissas!$C$14</f>
        <v/>
      </c>
      <c r="H68">
        <f>IF(IF(A68-1-Premissas!$C$16&gt;=0,OFFSET($J$4,A68-1-Premissas!$C$16,0),0)&gt;0,ROUND(IF(A68-1-Premissas!$C$16&gt;=0,OFFSET($J$4,A68-1-Premissas!$C$16,0),0)*10000/Premissas!$C$5*Premissas!$C$15,0),0)</f>
        <v/>
      </c>
      <c r="I68">
        <f>ROUND(G68*Premissas!$C$6/10000,0)</f>
        <v/>
      </c>
      <c r="J68">
        <f>ROUND(G68*Premissas!$C$5/10000,0)</f>
        <v/>
      </c>
      <c r="K68">
        <f>IF(IF(A68-1-Premissas!$C$16&gt;=0,OFFSET($A$4,A68-1-Premissas!$C$16,0)&gt;=Premissas!$C$19,FALSE),ROUND(IF(A68-1-Premissas!$C$16&gt;=0,OFFSET($J$4,A68-1-Premissas!$C$16,0),0)*Premissas!$C$15,0),0)</f>
        <v/>
      </c>
      <c r="L68">
        <f>ROUND(C68*Premissas!$C$24/12,0)</f>
        <v/>
      </c>
      <c r="M68">
        <f>ROUND(D68*Premissas!$C$25,0)</f>
        <v/>
      </c>
      <c r="N68">
        <f>ROUND(E68*Premissas!$C$29+B68*Premissas!$C$30,0)</f>
        <v/>
      </c>
      <c r="O68">
        <f>K68+L68+M68+N68</f>
        <v/>
      </c>
      <c r="P68">
        <f>K68+ROUND(AC68*Premissas!$C$24,0)+M68+N68</f>
        <v/>
      </c>
      <c r="Q68">
        <f>ROUND(IF(A68-1-Premissas!$C$21&gt;=0,OFFSET($P$4,A68-1-Premissas!$C$21,0),0)*(1-Premissas!$C$20/100),0)</f>
        <v/>
      </c>
      <c r="R68">
        <f>ROUND(F68*Premissas!$C$11+N68*Premissas!$C$31/100,0)+ROUND((E68+B68)*Premissas!$C$10,0)+ROUND(Q68*Premissas!$C$8/100,0)+ROUND(Premissas!$C$35+(B68+C68)*Premissas!$C$36,0)</f>
        <v/>
      </c>
      <c r="S68">
        <f>O68-R68</f>
        <v/>
      </c>
      <c r="T68">
        <f>ROUND(O68*Premissas!$C$9/100,0)</f>
        <v/>
      </c>
      <c r="U68">
        <f>ROUND(AB68*Premissas!$C$33,0)</f>
        <v/>
      </c>
      <c r="V68">
        <f>Premissas!$C$37+ROUND(Premissas!$C$12*Premissas!$C$38+D68*Premissas!$C$27,0)</f>
        <v/>
      </c>
      <c r="W68">
        <f>Premissas!$C$39</f>
        <v/>
      </c>
      <c r="X68">
        <f>S68-T68-ROUND(Premissas!$C$12*Premissas!$C$38+D68*Premissas!$C$27,0)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Premissas!$C$32+(B68+C68)/Premissas!$C$34</f>
        <v/>
      </c>
      <c r="AC68">
        <f>D68+AC56*(1-Premissas!$C$26/12)^12</f>
        <v/>
      </c>
    </row>
    <row r="69">
      <c r="A69" t="n">
        <v>66</v>
      </c>
      <c r="B69">
        <f>B68*(1-Premissas!$C$18/12)+Premissas!$C$12</f>
        <v/>
      </c>
      <c r="C69">
        <f>IF($B$2=1,C68*(1-Premissas!$C$26/12)+D69,0)</f>
        <v/>
      </c>
      <c r="D69">
        <f>IF(AND($B$2=1,A69&gt;=Premissas!$C$23),Premissas!$C$22,0)</f>
        <v/>
      </c>
      <c r="E69">
        <f>B69*Premissas!$C$28</f>
        <v/>
      </c>
      <c r="F69">
        <f>B69*Premissas!$C$13/12*MIN(1,A69/Premissas!$C$17)</f>
        <v/>
      </c>
      <c r="G69">
        <f>F69*Premissas!$C$14</f>
        <v/>
      </c>
      <c r="H69">
        <f>IF(IF(A69-1-Premissas!$C$16&gt;=0,OFFSET($J$4,A69-1-Premissas!$C$16,0),0)&gt;0,ROUND(IF(A69-1-Premissas!$C$16&gt;=0,OFFSET($J$4,A69-1-Premissas!$C$16,0),0)*10000/Premissas!$C$5*Premissas!$C$15,0),0)</f>
        <v/>
      </c>
      <c r="I69">
        <f>ROUND(G69*Premissas!$C$6/10000,0)</f>
        <v/>
      </c>
      <c r="J69">
        <f>ROUND(G69*Premissas!$C$5/10000,0)</f>
        <v/>
      </c>
      <c r="K69">
        <f>IF(IF(A69-1-Premissas!$C$16&gt;=0,OFFSET($A$4,A69-1-Premissas!$C$16,0)&gt;=Premissas!$C$19,FALSE),ROUND(IF(A69-1-Premissas!$C$16&gt;=0,OFFSET($J$4,A69-1-Premissas!$C$16,0),0)*Premissas!$C$15,0),0)</f>
        <v/>
      </c>
      <c r="L69">
        <f>ROUND(C69*Premissas!$C$24/12,0)</f>
        <v/>
      </c>
      <c r="M69">
        <f>ROUND(D69*Premissas!$C$25,0)</f>
        <v/>
      </c>
      <c r="N69">
        <f>ROUND(E69*Premissas!$C$29+B69*Premissas!$C$30,0)</f>
        <v/>
      </c>
      <c r="O69">
        <f>K69+L69+M69+N69</f>
        <v/>
      </c>
      <c r="P69">
        <f>K69+ROUND(AC69*Premissas!$C$24,0)+M69+N69</f>
        <v/>
      </c>
      <c r="Q69">
        <f>ROUND(IF(A69-1-Premissas!$C$21&gt;=0,OFFSET($P$4,A69-1-Premissas!$C$21,0),0)*(1-Premissas!$C$20/100),0)</f>
        <v/>
      </c>
      <c r="R69">
        <f>ROUND(F69*Premissas!$C$11+N69*Premissas!$C$31/100,0)+ROUND((E69+B69)*Premissas!$C$10,0)+ROUND(Q69*Premissas!$C$8/100,0)+ROUND(Premissas!$C$35+(B69+C69)*Premissas!$C$36,0)</f>
        <v/>
      </c>
      <c r="S69">
        <f>O69-R69</f>
        <v/>
      </c>
      <c r="T69">
        <f>ROUND(O69*Premissas!$C$9/100,0)</f>
        <v/>
      </c>
      <c r="U69">
        <f>ROUND(AB69*Premissas!$C$33,0)</f>
        <v/>
      </c>
      <c r="V69">
        <f>Premissas!$C$37+ROUND(Premissas!$C$12*Premissas!$C$38+D69*Premissas!$C$27,0)</f>
        <v/>
      </c>
      <c r="W69">
        <f>Premissas!$C$39</f>
        <v/>
      </c>
      <c r="X69">
        <f>S69-T69-ROUND(Premissas!$C$12*Premissas!$C$38+D69*Premissas!$C$27,0)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Premissas!$C$32+(B69+C69)/Premissas!$C$34</f>
        <v/>
      </c>
      <c r="AC69">
        <f>D69+AC57*(1-Premissas!$C$26/12)^12</f>
        <v/>
      </c>
    </row>
    <row r="70">
      <c r="A70" t="n">
        <v>67</v>
      </c>
      <c r="B70">
        <f>B69*(1-Premissas!$C$18/12)+Premissas!$C$12</f>
        <v/>
      </c>
      <c r="C70">
        <f>IF($B$2=1,C69*(1-Premissas!$C$26/12)+D70,0)</f>
        <v/>
      </c>
      <c r="D70">
        <f>IF(AND($B$2=1,A70&gt;=Premissas!$C$23),Premissas!$C$22,0)</f>
        <v/>
      </c>
      <c r="E70">
        <f>B70*Premissas!$C$28</f>
        <v/>
      </c>
      <c r="F70">
        <f>B70*Premissas!$C$13/12*MIN(1,A70/Premissas!$C$17)</f>
        <v/>
      </c>
      <c r="G70">
        <f>F70*Premissas!$C$14</f>
        <v/>
      </c>
      <c r="H70">
        <f>IF(IF(A70-1-Premissas!$C$16&gt;=0,OFFSET($J$4,A70-1-Premissas!$C$16,0),0)&gt;0,ROUND(IF(A70-1-Premissas!$C$16&gt;=0,OFFSET($J$4,A70-1-Premissas!$C$16,0),0)*10000/Premissas!$C$5*Premissas!$C$15,0),0)</f>
        <v/>
      </c>
      <c r="I70">
        <f>ROUND(G70*Premissas!$C$6/10000,0)</f>
        <v/>
      </c>
      <c r="J70">
        <f>ROUND(G70*Premissas!$C$5/10000,0)</f>
        <v/>
      </c>
      <c r="K70">
        <f>IF(IF(A70-1-Premissas!$C$16&gt;=0,OFFSET($A$4,A70-1-Premissas!$C$16,0)&gt;=Premissas!$C$19,FALSE),ROUND(IF(A70-1-Premissas!$C$16&gt;=0,OFFSET($J$4,A70-1-Premissas!$C$16,0),0)*Premissas!$C$15,0),0)</f>
        <v/>
      </c>
      <c r="L70">
        <f>ROUND(C70*Premissas!$C$24/12,0)</f>
        <v/>
      </c>
      <c r="M70">
        <f>ROUND(D70*Premissas!$C$25,0)</f>
        <v/>
      </c>
      <c r="N70">
        <f>ROUND(E70*Premissas!$C$29+B70*Premissas!$C$30,0)</f>
        <v/>
      </c>
      <c r="O70">
        <f>K70+L70+M70+N70</f>
        <v/>
      </c>
      <c r="P70">
        <f>K70+ROUND(AC70*Premissas!$C$24,0)+M70+N70</f>
        <v/>
      </c>
      <c r="Q70">
        <f>ROUND(IF(A70-1-Premissas!$C$21&gt;=0,OFFSET($P$4,A70-1-Premissas!$C$21,0),0)*(1-Premissas!$C$20/100),0)</f>
        <v/>
      </c>
      <c r="R70">
        <f>ROUND(F70*Premissas!$C$11+N70*Premissas!$C$31/100,0)+ROUND((E70+B70)*Premissas!$C$10,0)+ROUND(Q70*Premissas!$C$8/100,0)+ROUND(Premissas!$C$35+(B70+C70)*Premissas!$C$36,0)</f>
        <v/>
      </c>
      <c r="S70">
        <f>O70-R70</f>
        <v/>
      </c>
      <c r="T70">
        <f>ROUND(O70*Premissas!$C$9/100,0)</f>
        <v/>
      </c>
      <c r="U70">
        <f>ROUND(AB70*Premissas!$C$33,0)</f>
        <v/>
      </c>
      <c r="V70">
        <f>Premissas!$C$37+ROUND(Premissas!$C$12*Premissas!$C$38+D70*Premissas!$C$27,0)</f>
        <v/>
      </c>
      <c r="W70">
        <f>Premissas!$C$39</f>
        <v/>
      </c>
      <c r="X70">
        <f>S70-T70-ROUND(Premissas!$C$12*Premissas!$C$38+D70*Premissas!$C$27,0)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Premissas!$C$32+(B70+C70)/Premissas!$C$34</f>
        <v/>
      </c>
      <c r="AC70">
        <f>D70+AC58*(1-Premissas!$C$26/12)^12</f>
        <v/>
      </c>
    </row>
    <row r="71">
      <c r="A71" t="n">
        <v>68</v>
      </c>
      <c r="B71">
        <f>B70*(1-Premissas!$C$18/12)+Premissas!$C$12</f>
        <v/>
      </c>
      <c r="C71">
        <f>IF($B$2=1,C70*(1-Premissas!$C$26/12)+D71,0)</f>
        <v/>
      </c>
      <c r="D71">
        <f>IF(AND($B$2=1,A71&gt;=Premissas!$C$23),Premissas!$C$22,0)</f>
        <v/>
      </c>
      <c r="E71">
        <f>B71*Premissas!$C$28</f>
        <v/>
      </c>
      <c r="F71">
        <f>B71*Premissas!$C$13/12*MIN(1,A71/Premissas!$C$17)</f>
        <v/>
      </c>
      <c r="G71">
        <f>F71*Premissas!$C$14</f>
        <v/>
      </c>
      <c r="H71">
        <f>IF(IF(A71-1-Premissas!$C$16&gt;=0,OFFSET($J$4,A71-1-Premissas!$C$16,0),0)&gt;0,ROUND(IF(A71-1-Premissas!$C$16&gt;=0,OFFSET($J$4,A71-1-Premissas!$C$16,0),0)*10000/Premissas!$C$5*Premissas!$C$15,0),0)</f>
        <v/>
      </c>
      <c r="I71">
        <f>ROUND(G71*Premissas!$C$6/10000,0)</f>
        <v/>
      </c>
      <c r="J71">
        <f>ROUND(G71*Premissas!$C$5/10000,0)</f>
        <v/>
      </c>
      <c r="K71">
        <f>IF(IF(A71-1-Premissas!$C$16&gt;=0,OFFSET($A$4,A71-1-Premissas!$C$16,0)&gt;=Premissas!$C$19,FALSE),ROUND(IF(A71-1-Premissas!$C$16&gt;=0,OFFSET($J$4,A71-1-Premissas!$C$16,0),0)*Premissas!$C$15,0),0)</f>
        <v/>
      </c>
      <c r="L71">
        <f>ROUND(C71*Premissas!$C$24/12,0)</f>
        <v/>
      </c>
      <c r="M71">
        <f>ROUND(D71*Premissas!$C$25,0)</f>
        <v/>
      </c>
      <c r="N71">
        <f>ROUND(E71*Premissas!$C$29+B71*Premissas!$C$30,0)</f>
        <v/>
      </c>
      <c r="O71">
        <f>K71+L71+M71+N71</f>
        <v/>
      </c>
      <c r="P71">
        <f>K71+ROUND(AC71*Premissas!$C$24,0)+M71+N71</f>
        <v/>
      </c>
      <c r="Q71">
        <f>ROUND(IF(A71-1-Premissas!$C$21&gt;=0,OFFSET($P$4,A71-1-Premissas!$C$21,0),0)*(1-Premissas!$C$20/100),0)</f>
        <v/>
      </c>
      <c r="R71">
        <f>ROUND(F71*Premissas!$C$11+N71*Premissas!$C$31/100,0)+ROUND((E71+B71)*Premissas!$C$10,0)+ROUND(Q71*Premissas!$C$8/100,0)+ROUND(Premissas!$C$35+(B71+C71)*Premissas!$C$36,0)</f>
        <v/>
      </c>
      <c r="S71">
        <f>O71-R71</f>
        <v/>
      </c>
      <c r="T71">
        <f>ROUND(O71*Premissas!$C$9/100,0)</f>
        <v/>
      </c>
      <c r="U71">
        <f>ROUND(AB71*Premissas!$C$33,0)</f>
        <v/>
      </c>
      <c r="V71">
        <f>Premissas!$C$37+ROUND(Premissas!$C$12*Premissas!$C$38+D71*Premissas!$C$27,0)</f>
        <v/>
      </c>
      <c r="W71">
        <f>Premissas!$C$39</f>
        <v/>
      </c>
      <c r="X71">
        <f>S71-T71-ROUND(Premissas!$C$12*Premissas!$C$38+D71*Premissas!$C$27,0)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Premissas!$C$32+(B71+C71)/Premissas!$C$34</f>
        <v/>
      </c>
      <c r="AC71">
        <f>D71+AC59*(1-Premissas!$C$26/12)^12</f>
        <v/>
      </c>
    </row>
    <row r="72">
      <c r="A72" t="n">
        <v>69</v>
      </c>
      <c r="B72">
        <f>B71*(1-Premissas!$C$18/12)+Premissas!$C$12</f>
        <v/>
      </c>
      <c r="C72">
        <f>IF($B$2=1,C71*(1-Premissas!$C$26/12)+D72,0)</f>
        <v/>
      </c>
      <c r="D72">
        <f>IF(AND($B$2=1,A72&gt;=Premissas!$C$23),Premissas!$C$22,0)</f>
        <v/>
      </c>
      <c r="E72">
        <f>B72*Premissas!$C$28</f>
        <v/>
      </c>
      <c r="F72">
        <f>B72*Premissas!$C$13/12*MIN(1,A72/Premissas!$C$17)</f>
        <v/>
      </c>
      <c r="G72">
        <f>F72*Premissas!$C$14</f>
        <v/>
      </c>
      <c r="H72">
        <f>IF(IF(A72-1-Premissas!$C$16&gt;=0,OFFSET($J$4,A72-1-Premissas!$C$16,0),0)&gt;0,ROUND(IF(A72-1-Premissas!$C$16&gt;=0,OFFSET($J$4,A72-1-Premissas!$C$16,0),0)*10000/Premissas!$C$5*Premissas!$C$15,0),0)</f>
        <v/>
      </c>
      <c r="I72">
        <f>ROUND(G72*Premissas!$C$6/10000,0)</f>
        <v/>
      </c>
      <c r="J72">
        <f>ROUND(G72*Premissas!$C$5/10000,0)</f>
        <v/>
      </c>
      <c r="K72">
        <f>IF(IF(A72-1-Premissas!$C$16&gt;=0,OFFSET($A$4,A72-1-Premissas!$C$16,0)&gt;=Premissas!$C$19,FALSE),ROUND(IF(A72-1-Premissas!$C$16&gt;=0,OFFSET($J$4,A72-1-Premissas!$C$16,0),0)*Premissas!$C$15,0),0)</f>
        <v/>
      </c>
      <c r="L72">
        <f>ROUND(C72*Premissas!$C$24/12,0)</f>
        <v/>
      </c>
      <c r="M72">
        <f>ROUND(D72*Premissas!$C$25,0)</f>
        <v/>
      </c>
      <c r="N72">
        <f>ROUND(E72*Premissas!$C$29+B72*Premissas!$C$30,0)</f>
        <v/>
      </c>
      <c r="O72">
        <f>K72+L72+M72+N72</f>
        <v/>
      </c>
      <c r="P72">
        <f>K72+ROUND(AC72*Premissas!$C$24,0)+M72+N72</f>
        <v/>
      </c>
      <c r="Q72">
        <f>ROUND(IF(A72-1-Premissas!$C$21&gt;=0,OFFSET($P$4,A72-1-Premissas!$C$21,0),0)*(1-Premissas!$C$20/100),0)</f>
        <v/>
      </c>
      <c r="R72">
        <f>ROUND(F72*Premissas!$C$11+N72*Premissas!$C$31/100,0)+ROUND((E72+B72)*Premissas!$C$10,0)+ROUND(Q72*Premissas!$C$8/100,0)+ROUND(Premissas!$C$35+(B72+C72)*Premissas!$C$36,0)</f>
        <v/>
      </c>
      <c r="S72">
        <f>O72-R72</f>
        <v/>
      </c>
      <c r="T72">
        <f>ROUND(O72*Premissas!$C$9/100,0)</f>
        <v/>
      </c>
      <c r="U72">
        <f>ROUND(AB72*Premissas!$C$33,0)</f>
        <v/>
      </c>
      <c r="V72">
        <f>Premissas!$C$37+ROUND(Premissas!$C$12*Premissas!$C$38+D72*Premissas!$C$27,0)</f>
        <v/>
      </c>
      <c r="W72">
        <f>Premissas!$C$39</f>
        <v/>
      </c>
      <c r="X72">
        <f>S72-T72-ROUND(Premissas!$C$12*Premissas!$C$38+D72*Premissas!$C$27,0)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Premissas!$C$32+(B72+C72)/Premissas!$C$34</f>
        <v/>
      </c>
      <c r="AC72">
        <f>D72+AC60*(1-Premissas!$C$26/12)^12</f>
        <v/>
      </c>
    </row>
    <row r="73">
      <c r="A73" t="n">
        <v>70</v>
      </c>
      <c r="B73">
        <f>B72*(1-Premissas!$C$18/12)+Premissas!$C$12</f>
        <v/>
      </c>
      <c r="C73">
        <f>IF($B$2=1,C72*(1-Premissas!$C$26/12)+D73,0)</f>
        <v/>
      </c>
      <c r="D73">
        <f>IF(AND($B$2=1,A73&gt;=Premissas!$C$23),Premissas!$C$22,0)</f>
        <v/>
      </c>
      <c r="E73">
        <f>B73*Premissas!$C$28</f>
        <v/>
      </c>
      <c r="F73">
        <f>B73*Premissas!$C$13/12*MIN(1,A73/Premissas!$C$17)</f>
        <v/>
      </c>
      <c r="G73">
        <f>F73*Premissas!$C$14</f>
        <v/>
      </c>
      <c r="H73">
        <f>IF(IF(A73-1-Premissas!$C$16&gt;=0,OFFSET($J$4,A73-1-Premissas!$C$16,0),0)&gt;0,ROUND(IF(A73-1-Premissas!$C$16&gt;=0,OFFSET($J$4,A73-1-Premissas!$C$16,0),0)*10000/Premissas!$C$5*Premissas!$C$15,0),0)</f>
        <v/>
      </c>
      <c r="I73">
        <f>ROUND(G73*Premissas!$C$6/10000,0)</f>
        <v/>
      </c>
      <c r="J73">
        <f>ROUND(G73*Premissas!$C$5/10000,0)</f>
        <v/>
      </c>
      <c r="K73">
        <f>IF(IF(A73-1-Premissas!$C$16&gt;=0,OFFSET($A$4,A73-1-Premissas!$C$16,0)&gt;=Premissas!$C$19,FALSE),ROUND(IF(A73-1-Premissas!$C$16&gt;=0,OFFSET($J$4,A73-1-Premissas!$C$16,0),0)*Premissas!$C$15,0),0)</f>
        <v/>
      </c>
      <c r="L73">
        <f>ROUND(C73*Premissas!$C$24/12,0)</f>
        <v/>
      </c>
      <c r="M73">
        <f>ROUND(D73*Premissas!$C$25,0)</f>
        <v/>
      </c>
      <c r="N73">
        <f>ROUND(E73*Premissas!$C$29+B73*Premissas!$C$30,0)</f>
        <v/>
      </c>
      <c r="O73">
        <f>K73+L73+M73+N73</f>
        <v/>
      </c>
      <c r="P73">
        <f>K73+ROUND(AC73*Premissas!$C$24,0)+M73+N73</f>
        <v/>
      </c>
      <c r="Q73">
        <f>ROUND(IF(A73-1-Premissas!$C$21&gt;=0,OFFSET($P$4,A73-1-Premissas!$C$21,0),0)*(1-Premissas!$C$20/100),0)</f>
        <v/>
      </c>
      <c r="R73">
        <f>ROUND(F73*Premissas!$C$11+N73*Premissas!$C$31/100,0)+ROUND((E73+B73)*Premissas!$C$10,0)+ROUND(Q73*Premissas!$C$8/100,0)+ROUND(Premissas!$C$35+(B73+C73)*Premissas!$C$36,0)</f>
        <v/>
      </c>
      <c r="S73">
        <f>O73-R73</f>
        <v/>
      </c>
      <c r="T73">
        <f>ROUND(O73*Premissas!$C$9/100,0)</f>
        <v/>
      </c>
      <c r="U73">
        <f>ROUND(AB73*Premissas!$C$33,0)</f>
        <v/>
      </c>
      <c r="V73">
        <f>Premissas!$C$37+ROUND(Premissas!$C$12*Premissas!$C$38+D73*Premissas!$C$27,0)</f>
        <v/>
      </c>
      <c r="W73">
        <f>Premissas!$C$39</f>
        <v/>
      </c>
      <c r="X73">
        <f>S73-T73-ROUND(Premissas!$C$12*Premissas!$C$38+D73*Premissas!$C$27,0)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Premissas!$C$32+(B73+C73)/Premissas!$C$34</f>
        <v/>
      </c>
      <c r="AC73">
        <f>D73+AC61*(1-Premissas!$C$26/12)^12</f>
        <v/>
      </c>
    </row>
    <row r="74">
      <c r="A74" t="n">
        <v>71</v>
      </c>
      <c r="B74">
        <f>B73*(1-Premissas!$C$18/12)+Premissas!$C$12</f>
        <v/>
      </c>
      <c r="C74">
        <f>IF($B$2=1,C73*(1-Premissas!$C$26/12)+D74,0)</f>
        <v/>
      </c>
      <c r="D74">
        <f>IF(AND($B$2=1,A74&gt;=Premissas!$C$23),Premissas!$C$22,0)</f>
        <v/>
      </c>
      <c r="E74">
        <f>B74*Premissas!$C$28</f>
        <v/>
      </c>
      <c r="F74">
        <f>B74*Premissas!$C$13/12*MIN(1,A74/Premissas!$C$17)</f>
        <v/>
      </c>
      <c r="G74">
        <f>F74*Premissas!$C$14</f>
        <v/>
      </c>
      <c r="H74">
        <f>IF(IF(A74-1-Premissas!$C$16&gt;=0,OFFSET($J$4,A74-1-Premissas!$C$16,0),0)&gt;0,ROUND(IF(A74-1-Premissas!$C$16&gt;=0,OFFSET($J$4,A74-1-Premissas!$C$16,0),0)*10000/Premissas!$C$5*Premissas!$C$15,0),0)</f>
        <v/>
      </c>
      <c r="I74">
        <f>ROUND(G74*Premissas!$C$6/10000,0)</f>
        <v/>
      </c>
      <c r="J74">
        <f>ROUND(G74*Premissas!$C$5/10000,0)</f>
        <v/>
      </c>
      <c r="K74">
        <f>IF(IF(A74-1-Premissas!$C$16&gt;=0,OFFSET($A$4,A74-1-Premissas!$C$16,0)&gt;=Premissas!$C$19,FALSE),ROUND(IF(A74-1-Premissas!$C$16&gt;=0,OFFSET($J$4,A74-1-Premissas!$C$16,0),0)*Premissas!$C$15,0),0)</f>
        <v/>
      </c>
      <c r="L74">
        <f>ROUND(C74*Premissas!$C$24/12,0)</f>
        <v/>
      </c>
      <c r="M74">
        <f>ROUND(D74*Premissas!$C$25,0)</f>
        <v/>
      </c>
      <c r="N74">
        <f>ROUND(E74*Premissas!$C$29+B74*Premissas!$C$30,0)</f>
        <v/>
      </c>
      <c r="O74">
        <f>K74+L74+M74+N74</f>
        <v/>
      </c>
      <c r="P74">
        <f>K74+ROUND(AC74*Premissas!$C$24,0)+M74+N74</f>
        <v/>
      </c>
      <c r="Q74">
        <f>ROUND(IF(A74-1-Premissas!$C$21&gt;=0,OFFSET($P$4,A74-1-Premissas!$C$21,0),0)*(1-Premissas!$C$20/100),0)</f>
        <v/>
      </c>
      <c r="R74">
        <f>ROUND(F74*Premissas!$C$11+N74*Premissas!$C$31/100,0)+ROUND((E74+B74)*Premissas!$C$10,0)+ROUND(Q74*Premissas!$C$8/100,0)+ROUND(Premissas!$C$35+(B74+C74)*Premissas!$C$36,0)</f>
        <v/>
      </c>
      <c r="S74">
        <f>O74-R74</f>
        <v/>
      </c>
      <c r="T74">
        <f>ROUND(O74*Premissas!$C$9/100,0)</f>
        <v/>
      </c>
      <c r="U74">
        <f>ROUND(AB74*Premissas!$C$33,0)</f>
        <v/>
      </c>
      <c r="V74">
        <f>Premissas!$C$37+ROUND(Premissas!$C$12*Premissas!$C$38+D74*Premissas!$C$27,0)</f>
        <v/>
      </c>
      <c r="W74">
        <f>Premissas!$C$39</f>
        <v/>
      </c>
      <c r="X74">
        <f>S74-T74-ROUND(Premissas!$C$12*Premissas!$C$38+D74*Premissas!$C$27,0)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Premissas!$C$32+(B74+C74)/Premissas!$C$34</f>
        <v/>
      </c>
      <c r="AC74">
        <f>D74+AC62*(1-Premissas!$C$26/12)^12</f>
        <v/>
      </c>
    </row>
    <row r="75">
      <c r="A75" t="n">
        <v>72</v>
      </c>
      <c r="B75">
        <f>B74*(1-Premissas!$C$18/12)+Premissas!$C$12</f>
        <v/>
      </c>
      <c r="C75">
        <f>IF($B$2=1,C74*(1-Premissas!$C$26/12)+D75,0)</f>
        <v/>
      </c>
      <c r="D75">
        <f>IF(AND($B$2=1,A75&gt;=Premissas!$C$23),Premissas!$C$22,0)</f>
        <v/>
      </c>
      <c r="E75">
        <f>B75*Premissas!$C$28</f>
        <v/>
      </c>
      <c r="F75">
        <f>B75*Premissas!$C$13/12*MIN(1,A75/Premissas!$C$17)</f>
        <v/>
      </c>
      <c r="G75">
        <f>F75*Premissas!$C$14</f>
        <v/>
      </c>
      <c r="H75">
        <f>IF(IF(A75-1-Premissas!$C$16&gt;=0,OFFSET($J$4,A75-1-Premissas!$C$16,0),0)&gt;0,ROUND(IF(A75-1-Premissas!$C$16&gt;=0,OFFSET($J$4,A75-1-Premissas!$C$16,0),0)*10000/Premissas!$C$5*Premissas!$C$15,0),0)</f>
        <v/>
      </c>
      <c r="I75">
        <f>ROUND(G75*Premissas!$C$6/10000,0)</f>
        <v/>
      </c>
      <c r="J75">
        <f>ROUND(G75*Premissas!$C$5/10000,0)</f>
        <v/>
      </c>
      <c r="K75">
        <f>IF(IF(A75-1-Premissas!$C$16&gt;=0,OFFSET($A$4,A75-1-Premissas!$C$16,0)&gt;=Premissas!$C$19,FALSE),ROUND(IF(A75-1-Premissas!$C$16&gt;=0,OFFSET($J$4,A75-1-Premissas!$C$16,0),0)*Premissas!$C$15,0),0)</f>
        <v/>
      </c>
      <c r="L75">
        <f>ROUND(C75*Premissas!$C$24/12,0)</f>
        <v/>
      </c>
      <c r="M75">
        <f>ROUND(D75*Premissas!$C$25,0)</f>
        <v/>
      </c>
      <c r="N75">
        <f>ROUND(E75*Premissas!$C$29+B75*Premissas!$C$30,0)</f>
        <v/>
      </c>
      <c r="O75">
        <f>K75+L75+M75+N75</f>
        <v/>
      </c>
      <c r="P75">
        <f>K75+ROUND(AC75*Premissas!$C$24,0)+M75+N75</f>
        <v/>
      </c>
      <c r="Q75">
        <f>ROUND(IF(A75-1-Premissas!$C$21&gt;=0,OFFSET($P$4,A75-1-Premissas!$C$21,0),0)*(1-Premissas!$C$20/100),0)</f>
        <v/>
      </c>
      <c r="R75">
        <f>ROUND(F75*Premissas!$C$11+N75*Premissas!$C$31/100,0)+ROUND((E75+B75)*Premissas!$C$10,0)+ROUND(Q75*Premissas!$C$8/100,0)+ROUND(Premissas!$C$35+(B75+C75)*Premissas!$C$36,0)</f>
        <v/>
      </c>
      <c r="S75">
        <f>O75-R75</f>
        <v/>
      </c>
      <c r="T75">
        <f>ROUND(O75*Premissas!$C$9/100,0)</f>
        <v/>
      </c>
      <c r="U75">
        <f>ROUND(AB75*Premissas!$C$33,0)</f>
        <v/>
      </c>
      <c r="V75">
        <f>Premissas!$C$37+ROUND(Premissas!$C$12*Premissas!$C$38+D75*Premissas!$C$27,0)</f>
        <v/>
      </c>
      <c r="W75">
        <f>Premissas!$C$39</f>
        <v/>
      </c>
      <c r="X75">
        <f>S75-T75-ROUND(Premissas!$C$12*Premissas!$C$38+D75*Premissas!$C$27,0)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Premissas!$C$32+(B75+C75)/Premissas!$C$34</f>
        <v/>
      </c>
      <c r="AC75">
        <f>D75+AC63*(1-Premissas!$C$26/12)^12</f>
        <v/>
      </c>
    </row>
    <row r="76">
      <c r="A76" t="n">
        <v>73</v>
      </c>
      <c r="B76">
        <f>B75*(1-Premissas!$C$18/12)+Premissas!$C$12</f>
        <v/>
      </c>
      <c r="C76">
        <f>IF($B$2=1,C75*(1-Premissas!$C$26/12)+D76,0)</f>
        <v/>
      </c>
      <c r="D76">
        <f>IF(AND($B$2=1,A76&gt;=Premissas!$C$23),Premissas!$C$22,0)</f>
        <v/>
      </c>
      <c r="E76">
        <f>B76*Premissas!$C$28</f>
        <v/>
      </c>
      <c r="F76">
        <f>B76*Premissas!$C$13/12*MIN(1,A76/Premissas!$C$17)</f>
        <v/>
      </c>
      <c r="G76">
        <f>F76*Premissas!$C$14</f>
        <v/>
      </c>
      <c r="H76">
        <f>IF(IF(A76-1-Premissas!$C$16&gt;=0,OFFSET($J$4,A76-1-Premissas!$C$16,0),0)&gt;0,ROUND(IF(A76-1-Premissas!$C$16&gt;=0,OFFSET($J$4,A76-1-Premissas!$C$16,0),0)*10000/Premissas!$C$5*Premissas!$C$15,0),0)</f>
        <v/>
      </c>
      <c r="I76">
        <f>ROUND(G76*Premissas!$C$6/10000,0)</f>
        <v/>
      </c>
      <c r="J76">
        <f>ROUND(G76*Premissas!$C$5/10000,0)</f>
        <v/>
      </c>
      <c r="K76">
        <f>IF(IF(A76-1-Premissas!$C$16&gt;=0,OFFSET($A$4,A76-1-Premissas!$C$16,0)&gt;=Premissas!$C$19,FALSE),ROUND(IF(A76-1-Premissas!$C$16&gt;=0,OFFSET($J$4,A76-1-Premissas!$C$16,0),0)*Premissas!$C$15,0),0)</f>
        <v/>
      </c>
      <c r="L76">
        <f>ROUND(C76*Premissas!$C$24/12,0)</f>
        <v/>
      </c>
      <c r="M76">
        <f>ROUND(D76*Premissas!$C$25,0)</f>
        <v/>
      </c>
      <c r="N76">
        <f>ROUND(E76*Premissas!$C$29+B76*Premissas!$C$30,0)</f>
        <v/>
      </c>
      <c r="O76">
        <f>K76+L76+M76+N76</f>
        <v/>
      </c>
      <c r="P76">
        <f>K76+ROUND(AC76*Premissas!$C$24,0)+M76+N76</f>
        <v/>
      </c>
      <c r="Q76">
        <f>ROUND(IF(A76-1-Premissas!$C$21&gt;=0,OFFSET($P$4,A76-1-Premissas!$C$21,0),0)*(1-Premissas!$C$20/100),0)</f>
        <v/>
      </c>
      <c r="R76">
        <f>ROUND(F76*Premissas!$C$11+N76*Premissas!$C$31/100,0)+ROUND((E76+B76)*Premissas!$C$10,0)+ROUND(Q76*Premissas!$C$8/100,0)+ROUND(Premissas!$C$35+(B76+C76)*Premissas!$C$36,0)</f>
        <v/>
      </c>
      <c r="S76">
        <f>O76-R76</f>
        <v/>
      </c>
      <c r="T76">
        <f>ROUND(O76*Premissas!$C$9/100,0)</f>
        <v/>
      </c>
      <c r="U76">
        <f>ROUND(AB76*Premissas!$C$33,0)</f>
        <v/>
      </c>
      <c r="V76">
        <f>Premissas!$C$37+ROUND(Premissas!$C$12*Premissas!$C$38+D76*Premissas!$C$27,0)</f>
        <v/>
      </c>
      <c r="W76">
        <f>Premissas!$C$39</f>
        <v/>
      </c>
      <c r="X76">
        <f>S76-T76-ROUND(Premissas!$C$12*Premissas!$C$38+D76*Premissas!$C$27,0)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Premissas!$C$32+(B76+C76)/Premissas!$C$34</f>
        <v/>
      </c>
      <c r="AC76">
        <f>D76+AC64*(1-Premissas!$C$26/12)^12</f>
        <v/>
      </c>
    </row>
    <row r="77">
      <c r="A77" t="n">
        <v>74</v>
      </c>
      <c r="B77">
        <f>B76*(1-Premissas!$C$18/12)+Premissas!$C$12</f>
        <v/>
      </c>
      <c r="C77">
        <f>IF($B$2=1,C76*(1-Premissas!$C$26/12)+D77,0)</f>
        <v/>
      </c>
      <c r="D77">
        <f>IF(AND($B$2=1,A77&gt;=Premissas!$C$23),Premissas!$C$22,0)</f>
        <v/>
      </c>
      <c r="E77">
        <f>B77*Premissas!$C$28</f>
        <v/>
      </c>
      <c r="F77">
        <f>B77*Premissas!$C$13/12*MIN(1,A77/Premissas!$C$17)</f>
        <v/>
      </c>
      <c r="G77">
        <f>F77*Premissas!$C$14</f>
        <v/>
      </c>
      <c r="H77">
        <f>IF(IF(A77-1-Premissas!$C$16&gt;=0,OFFSET($J$4,A77-1-Premissas!$C$16,0),0)&gt;0,ROUND(IF(A77-1-Premissas!$C$16&gt;=0,OFFSET($J$4,A77-1-Premissas!$C$16,0),0)*10000/Premissas!$C$5*Premissas!$C$15,0),0)</f>
        <v/>
      </c>
      <c r="I77">
        <f>ROUND(G77*Premissas!$C$6/10000,0)</f>
        <v/>
      </c>
      <c r="J77">
        <f>ROUND(G77*Premissas!$C$5/10000,0)</f>
        <v/>
      </c>
      <c r="K77">
        <f>IF(IF(A77-1-Premissas!$C$16&gt;=0,OFFSET($A$4,A77-1-Premissas!$C$16,0)&gt;=Premissas!$C$19,FALSE),ROUND(IF(A77-1-Premissas!$C$16&gt;=0,OFFSET($J$4,A77-1-Premissas!$C$16,0),0)*Premissas!$C$15,0),0)</f>
        <v/>
      </c>
      <c r="L77">
        <f>ROUND(C77*Premissas!$C$24/12,0)</f>
        <v/>
      </c>
      <c r="M77">
        <f>ROUND(D77*Premissas!$C$25,0)</f>
        <v/>
      </c>
      <c r="N77">
        <f>ROUND(E77*Premissas!$C$29+B77*Premissas!$C$30,0)</f>
        <v/>
      </c>
      <c r="O77">
        <f>K77+L77+M77+N77</f>
        <v/>
      </c>
      <c r="P77">
        <f>K77+ROUND(AC77*Premissas!$C$24,0)+M77+N77</f>
        <v/>
      </c>
      <c r="Q77">
        <f>ROUND(IF(A77-1-Premissas!$C$21&gt;=0,OFFSET($P$4,A77-1-Premissas!$C$21,0),0)*(1-Premissas!$C$20/100),0)</f>
        <v/>
      </c>
      <c r="R77">
        <f>ROUND(F77*Premissas!$C$11+N77*Premissas!$C$31/100,0)+ROUND((E77+B77)*Premissas!$C$10,0)+ROUND(Q77*Premissas!$C$8/100,0)+ROUND(Premissas!$C$35+(B77+C77)*Premissas!$C$36,0)</f>
        <v/>
      </c>
      <c r="S77">
        <f>O77-R77</f>
        <v/>
      </c>
      <c r="T77">
        <f>ROUND(O77*Premissas!$C$9/100,0)</f>
        <v/>
      </c>
      <c r="U77">
        <f>ROUND(AB77*Premissas!$C$33,0)</f>
        <v/>
      </c>
      <c r="V77">
        <f>Premissas!$C$37+ROUND(Premissas!$C$12*Premissas!$C$38+D77*Premissas!$C$27,0)</f>
        <v/>
      </c>
      <c r="W77">
        <f>Premissas!$C$39</f>
        <v/>
      </c>
      <c r="X77">
        <f>S77-T77-ROUND(Premissas!$C$12*Premissas!$C$38+D77*Premissas!$C$27,0)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Premissas!$C$32+(B77+C77)/Premissas!$C$34</f>
        <v/>
      </c>
      <c r="AC77">
        <f>D77+AC65*(1-Premissas!$C$26/12)^12</f>
        <v/>
      </c>
    </row>
    <row r="78">
      <c r="A78" t="n">
        <v>75</v>
      </c>
      <c r="B78">
        <f>B77*(1-Premissas!$C$18/12)+Premissas!$C$12</f>
        <v/>
      </c>
      <c r="C78">
        <f>IF($B$2=1,C77*(1-Premissas!$C$26/12)+D78,0)</f>
        <v/>
      </c>
      <c r="D78">
        <f>IF(AND($B$2=1,A78&gt;=Premissas!$C$23),Premissas!$C$22,0)</f>
        <v/>
      </c>
      <c r="E78">
        <f>B78*Premissas!$C$28</f>
        <v/>
      </c>
      <c r="F78">
        <f>B78*Premissas!$C$13/12*MIN(1,A78/Premissas!$C$17)</f>
        <v/>
      </c>
      <c r="G78">
        <f>F78*Premissas!$C$14</f>
        <v/>
      </c>
      <c r="H78">
        <f>IF(IF(A78-1-Premissas!$C$16&gt;=0,OFFSET($J$4,A78-1-Premissas!$C$16,0),0)&gt;0,ROUND(IF(A78-1-Premissas!$C$16&gt;=0,OFFSET($J$4,A78-1-Premissas!$C$16,0),0)*10000/Premissas!$C$5*Premissas!$C$15,0),0)</f>
        <v/>
      </c>
      <c r="I78">
        <f>ROUND(G78*Premissas!$C$6/10000,0)</f>
        <v/>
      </c>
      <c r="J78">
        <f>ROUND(G78*Premissas!$C$5/10000,0)</f>
        <v/>
      </c>
      <c r="K78">
        <f>IF(IF(A78-1-Premissas!$C$16&gt;=0,OFFSET($A$4,A78-1-Premissas!$C$16,0)&gt;=Premissas!$C$19,FALSE),ROUND(IF(A78-1-Premissas!$C$16&gt;=0,OFFSET($J$4,A78-1-Premissas!$C$16,0),0)*Premissas!$C$15,0),0)</f>
        <v/>
      </c>
      <c r="L78">
        <f>ROUND(C78*Premissas!$C$24/12,0)</f>
        <v/>
      </c>
      <c r="M78">
        <f>ROUND(D78*Premissas!$C$25,0)</f>
        <v/>
      </c>
      <c r="N78">
        <f>ROUND(E78*Premissas!$C$29+B78*Premissas!$C$30,0)</f>
        <v/>
      </c>
      <c r="O78">
        <f>K78+L78+M78+N78</f>
        <v/>
      </c>
      <c r="P78">
        <f>K78+ROUND(AC78*Premissas!$C$24,0)+M78+N78</f>
        <v/>
      </c>
      <c r="Q78">
        <f>ROUND(IF(A78-1-Premissas!$C$21&gt;=0,OFFSET($P$4,A78-1-Premissas!$C$21,0),0)*(1-Premissas!$C$20/100),0)</f>
        <v/>
      </c>
      <c r="R78">
        <f>ROUND(F78*Premissas!$C$11+N78*Premissas!$C$31/100,0)+ROUND((E78+B78)*Premissas!$C$10,0)+ROUND(Q78*Premissas!$C$8/100,0)+ROUND(Premissas!$C$35+(B78+C78)*Premissas!$C$36,0)</f>
        <v/>
      </c>
      <c r="S78">
        <f>O78-R78</f>
        <v/>
      </c>
      <c r="T78">
        <f>ROUND(O78*Premissas!$C$9/100,0)</f>
        <v/>
      </c>
      <c r="U78">
        <f>ROUND(AB78*Premissas!$C$33,0)</f>
        <v/>
      </c>
      <c r="V78">
        <f>Premissas!$C$37+ROUND(Premissas!$C$12*Premissas!$C$38+D78*Premissas!$C$27,0)</f>
        <v/>
      </c>
      <c r="W78">
        <f>Premissas!$C$39</f>
        <v/>
      </c>
      <c r="X78">
        <f>S78-T78-ROUND(Premissas!$C$12*Premissas!$C$38+D78*Premissas!$C$27,0)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Premissas!$C$32+(B78+C78)/Premissas!$C$34</f>
        <v/>
      </c>
      <c r="AC78">
        <f>D78+AC66*(1-Premissas!$C$26/12)^12</f>
        <v/>
      </c>
    </row>
    <row r="79">
      <c r="A79" t="n">
        <v>76</v>
      </c>
      <c r="B79">
        <f>B78*(1-Premissas!$C$18/12)+Premissas!$C$12</f>
        <v/>
      </c>
      <c r="C79">
        <f>IF($B$2=1,C78*(1-Premissas!$C$26/12)+D79,0)</f>
        <v/>
      </c>
      <c r="D79">
        <f>IF(AND($B$2=1,A79&gt;=Premissas!$C$23),Premissas!$C$22,0)</f>
        <v/>
      </c>
      <c r="E79">
        <f>B79*Premissas!$C$28</f>
        <v/>
      </c>
      <c r="F79">
        <f>B79*Premissas!$C$13/12*MIN(1,A79/Premissas!$C$17)</f>
        <v/>
      </c>
      <c r="G79">
        <f>F79*Premissas!$C$14</f>
        <v/>
      </c>
      <c r="H79">
        <f>IF(IF(A79-1-Premissas!$C$16&gt;=0,OFFSET($J$4,A79-1-Premissas!$C$16,0),0)&gt;0,ROUND(IF(A79-1-Premissas!$C$16&gt;=0,OFFSET($J$4,A79-1-Premissas!$C$16,0),0)*10000/Premissas!$C$5*Premissas!$C$15,0),0)</f>
        <v/>
      </c>
      <c r="I79">
        <f>ROUND(G79*Premissas!$C$6/10000,0)</f>
        <v/>
      </c>
      <c r="J79">
        <f>ROUND(G79*Premissas!$C$5/10000,0)</f>
        <v/>
      </c>
      <c r="K79">
        <f>IF(IF(A79-1-Premissas!$C$16&gt;=0,OFFSET($A$4,A79-1-Premissas!$C$16,0)&gt;=Premissas!$C$19,FALSE),ROUND(IF(A79-1-Premissas!$C$16&gt;=0,OFFSET($J$4,A79-1-Premissas!$C$16,0),0)*Premissas!$C$15,0),0)</f>
        <v/>
      </c>
      <c r="L79">
        <f>ROUND(C79*Premissas!$C$24/12,0)</f>
        <v/>
      </c>
      <c r="M79">
        <f>ROUND(D79*Premissas!$C$25,0)</f>
        <v/>
      </c>
      <c r="N79">
        <f>ROUND(E79*Premissas!$C$29+B79*Premissas!$C$30,0)</f>
        <v/>
      </c>
      <c r="O79">
        <f>K79+L79+M79+N79</f>
        <v/>
      </c>
      <c r="P79">
        <f>K79+ROUND(AC79*Premissas!$C$24,0)+M79+N79</f>
        <v/>
      </c>
      <c r="Q79">
        <f>ROUND(IF(A79-1-Premissas!$C$21&gt;=0,OFFSET($P$4,A79-1-Premissas!$C$21,0),0)*(1-Premissas!$C$20/100),0)</f>
        <v/>
      </c>
      <c r="R79">
        <f>ROUND(F79*Premissas!$C$11+N79*Premissas!$C$31/100,0)+ROUND((E79+B79)*Premissas!$C$10,0)+ROUND(Q79*Premissas!$C$8/100,0)+ROUND(Premissas!$C$35+(B79+C79)*Premissas!$C$36,0)</f>
        <v/>
      </c>
      <c r="S79">
        <f>O79-R79</f>
        <v/>
      </c>
      <c r="T79">
        <f>ROUND(O79*Premissas!$C$9/100,0)</f>
        <v/>
      </c>
      <c r="U79">
        <f>ROUND(AB79*Premissas!$C$33,0)</f>
        <v/>
      </c>
      <c r="V79">
        <f>Premissas!$C$37+ROUND(Premissas!$C$12*Premissas!$C$38+D79*Premissas!$C$27,0)</f>
        <v/>
      </c>
      <c r="W79">
        <f>Premissas!$C$39</f>
        <v/>
      </c>
      <c r="X79">
        <f>S79-T79-ROUND(Premissas!$C$12*Premissas!$C$38+D79*Premissas!$C$27,0)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Premissas!$C$32+(B79+C79)/Premissas!$C$34</f>
        <v/>
      </c>
      <c r="AC79">
        <f>D79+AC67*(1-Premissas!$C$26/12)^12</f>
        <v/>
      </c>
    </row>
    <row r="80">
      <c r="A80" t="n">
        <v>77</v>
      </c>
      <c r="B80">
        <f>B79*(1-Premissas!$C$18/12)+Premissas!$C$12</f>
        <v/>
      </c>
      <c r="C80">
        <f>IF($B$2=1,C79*(1-Premissas!$C$26/12)+D80,0)</f>
        <v/>
      </c>
      <c r="D80">
        <f>IF(AND($B$2=1,A80&gt;=Premissas!$C$23),Premissas!$C$22,0)</f>
        <v/>
      </c>
      <c r="E80">
        <f>B80*Premissas!$C$28</f>
        <v/>
      </c>
      <c r="F80">
        <f>B80*Premissas!$C$13/12*MIN(1,A80/Premissas!$C$17)</f>
        <v/>
      </c>
      <c r="G80">
        <f>F80*Premissas!$C$14</f>
        <v/>
      </c>
      <c r="H80">
        <f>IF(IF(A80-1-Premissas!$C$16&gt;=0,OFFSET($J$4,A80-1-Premissas!$C$16,0),0)&gt;0,ROUND(IF(A80-1-Premissas!$C$16&gt;=0,OFFSET($J$4,A80-1-Premissas!$C$16,0),0)*10000/Premissas!$C$5*Premissas!$C$15,0),0)</f>
        <v/>
      </c>
      <c r="I80">
        <f>ROUND(G80*Premissas!$C$6/10000,0)</f>
        <v/>
      </c>
      <c r="J80">
        <f>ROUND(G80*Premissas!$C$5/10000,0)</f>
        <v/>
      </c>
      <c r="K80">
        <f>IF(IF(A80-1-Premissas!$C$16&gt;=0,OFFSET($A$4,A80-1-Premissas!$C$16,0)&gt;=Premissas!$C$19,FALSE),ROUND(IF(A80-1-Premissas!$C$16&gt;=0,OFFSET($J$4,A80-1-Premissas!$C$16,0),0)*Premissas!$C$15,0),0)</f>
        <v/>
      </c>
      <c r="L80">
        <f>ROUND(C80*Premissas!$C$24/12,0)</f>
        <v/>
      </c>
      <c r="M80">
        <f>ROUND(D80*Premissas!$C$25,0)</f>
        <v/>
      </c>
      <c r="N80">
        <f>ROUND(E80*Premissas!$C$29+B80*Premissas!$C$30,0)</f>
        <v/>
      </c>
      <c r="O80">
        <f>K80+L80+M80+N80</f>
        <v/>
      </c>
      <c r="P80">
        <f>K80+ROUND(AC80*Premissas!$C$24,0)+M80+N80</f>
        <v/>
      </c>
      <c r="Q80">
        <f>ROUND(IF(A80-1-Premissas!$C$21&gt;=0,OFFSET($P$4,A80-1-Premissas!$C$21,0),0)*(1-Premissas!$C$20/100),0)</f>
        <v/>
      </c>
      <c r="R80">
        <f>ROUND(F80*Premissas!$C$11+N80*Premissas!$C$31/100,0)+ROUND((E80+B80)*Premissas!$C$10,0)+ROUND(Q80*Premissas!$C$8/100,0)+ROUND(Premissas!$C$35+(B80+C80)*Premissas!$C$36,0)</f>
        <v/>
      </c>
      <c r="S80">
        <f>O80-R80</f>
        <v/>
      </c>
      <c r="T80">
        <f>ROUND(O80*Premissas!$C$9/100,0)</f>
        <v/>
      </c>
      <c r="U80">
        <f>ROUND(AB80*Premissas!$C$33,0)</f>
        <v/>
      </c>
      <c r="V80">
        <f>Premissas!$C$37+ROUND(Premissas!$C$12*Premissas!$C$38+D80*Premissas!$C$27,0)</f>
        <v/>
      </c>
      <c r="W80">
        <f>Premissas!$C$39</f>
        <v/>
      </c>
      <c r="X80">
        <f>S80-T80-ROUND(Premissas!$C$12*Premissas!$C$38+D80*Premissas!$C$27,0)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Premissas!$C$32+(B80+C80)/Premissas!$C$34</f>
        <v/>
      </c>
      <c r="AC80">
        <f>D80+AC68*(1-Premissas!$C$26/12)^12</f>
        <v/>
      </c>
    </row>
    <row r="81">
      <c r="A81" t="n">
        <v>78</v>
      </c>
      <c r="B81">
        <f>B80*(1-Premissas!$C$18/12)+Premissas!$C$12</f>
        <v/>
      </c>
      <c r="C81">
        <f>IF($B$2=1,C80*(1-Premissas!$C$26/12)+D81,0)</f>
        <v/>
      </c>
      <c r="D81">
        <f>IF(AND($B$2=1,A81&gt;=Premissas!$C$23),Premissas!$C$22,0)</f>
        <v/>
      </c>
      <c r="E81">
        <f>B81*Premissas!$C$28</f>
        <v/>
      </c>
      <c r="F81">
        <f>B81*Premissas!$C$13/12*MIN(1,A81/Premissas!$C$17)</f>
        <v/>
      </c>
      <c r="G81">
        <f>F81*Premissas!$C$14</f>
        <v/>
      </c>
      <c r="H81">
        <f>IF(IF(A81-1-Premissas!$C$16&gt;=0,OFFSET($J$4,A81-1-Premissas!$C$16,0),0)&gt;0,ROUND(IF(A81-1-Premissas!$C$16&gt;=0,OFFSET($J$4,A81-1-Premissas!$C$16,0),0)*10000/Premissas!$C$5*Premissas!$C$15,0),0)</f>
        <v/>
      </c>
      <c r="I81">
        <f>ROUND(G81*Premissas!$C$6/10000,0)</f>
        <v/>
      </c>
      <c r="J81">
        <f>ROUND(G81*Premissas!$C$5/10000,0)</f>
        <v/>
      </c>
      <c r="K81">
        <f>IF(IF(A81-1-Premissas!$C$16&gt;=0,OFFSET($A$4,A81-1-Premissas!$C$16,0)&gt;=Premissas!$C$19,FALSE),ROUND(IF(A81-1-Premissas!$C$16&gt;=0,OFFSET($J$4,A81-1-Premissas!$C$16,0),0)*Premissas!$C$15,0),0)</f>
        <v/>
      </c>
      <c r="L81">
        <f>ROUND(C81*Premissas!$C$24/12,0)</f>
        <v/>
      </c>
      <c r="M81">
        <f>ROUND(D81*Premissas!$C$25,0)</f>
        <v/>
      </c>
      <c r="N81">
        <f>ROUND(E81*Premissas!$C$29+B81*Premissas!$C$30,0)</f>
        <v/>
      </c>
      <c r="O81">
        <f>K81+L81+M81+N81</f>
        <v/>
      </c>
      <c r="P81">
        <f>K81+ROUND(AC81*Premissas!$C$24,0)+M81+N81</f>
        <v/>
      </c>
      <c r="Q81">
        <f>ROUND(IF(A81-1-Premissas!$C$21&gt;=0,OFFSET($P$4,A81-1-Premissas!$C$21,0),0)*(1-Premissas!$C$20/100),0)</f>
        <v/>
      </c>
      <c r="R81">
        <f>ROUND(F81*Premissas!$C$11+N81*Premissas!$C$31/100,0)+ROUND((E81+B81)*Premissas!$C$10,0)+ROUND(Q81*Premissas!$C$8/100,0)+ROUND(Premissas!$C$35+(B81+C81)*Premissas!$C$36,0)</f>
        <v/>
      </c>
      <c r="S81">
        <f>O81-R81</f>
        <v/>
      </c>
      <c r="T81">
        <f>ROUND(O81*Premissas!$C$9/100,0)</f>
        <v/>
      </c>
      <c r="U81">
        <f>ROUND(AB81*Premissas!$C$33,0)</f>
        <v/>
      </c>
      <c r="V81">
        <f>Premissas!$C$37+ROUND(Premissas!$C$12*Premissas!$C$38+D81*Premissas!$C$27,0)</f>
        <v/>
      </c>
      <c r="W81">
        <f>Premissas!$C$39</f>
        <v/>
      </c>
      <c r="X81">
        <f>S81-T81-ROUND(Premissas!$C$12*Premissas!$C$38+D81*Premissas!$C$27,0)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Premissas!$C$32+(B81+C81)/Premissas!$C$34</f>
        <v/>
      </c>
      <c r="AC81">
        <f>D81+AC69*(1-Premissas!$C$26/12)^12</f>
        <v/>
      </c>
    </row>
    <row r="82">
      <c r="A82" t="n">
        <v>79</v>
      </c>
      <c r="B82">
        <f>B81*(1-Premissas!$C$18/12)+Premissas!$C$12</f>
        <v/>
      </c>
      <c r="C82">
        <f>IF($B$2=1,C81*(1-Premissas!$C$26/12)+D82,0)</f>
        <v/>
      </c>
      <c r="D82">
        <f>IF(AND($B$2=1,A82&gt;=Premissas!$C$23),Premissas!$C$22,0)</f>
        <v/>
      </c>
      <c r="E82">
        <f>B82*Premissas!$C$28</f>
        <v/>
      </c>
      <c r="F82">
        <f>B82*Premissas!$C$13/12*MIN(1,A82/Premissas!$C$17)</f>
        <v/>
      </c>
      <c r="G82">
        <f>F82*Premissas!$C$14</f>
        <v/>
      </c>
      <c r="H82">
        <f>IF(IF(A82-1-Premissas!$C$16&gt;=0,OFFSET($J$4,A82-1-Premissas!$C$16,0),0)&gt;0,ROUND(IF(A82-1-Premissas!$C$16&gt;=0,OFFSET($J$4,A82-1-Premissas!$C$16,0),0)*10000/Premissas!$C$5*Premissas!$C$15,0),0)</f>
        <v/>
      </c>
      <c r="I82">
        <f>ROUND(G82*Premissas!$C$6/10000,0)</f>
        <v/>
      </c>
      <c r="J82">
        <f>ROUND(G82*Premissas!$C$5/10000,0)</f>
        <v/>
      </c>
      <c r="K82">
        <f>IF(IF(A82-1-Premissas!$C$16&gt;=0,OFFSET($A$4,A82-1-Premissas!$C$16,0)&gt;=Premissas!$C$19,FALSE),ROUND(IF(A82-1-Premissas!$C$16&gt;=0,OFFSET($J$4,A82-1-Premissas!$C$16,0),0)*Premissas!$C$15,0),0)</f>
        <v/>
      </c>
      <c r="L82">
        <f>ROUND(C82*Premissas!$C$24/12,0)</f>
        <v/>
      </c>
      <c r="M82">
        <f>ROUND(D82*Premissas!$C$25,0)</f>
        <v/>
      </c>
      <c r="N82">
        <f>ROUND(E82*Premissas!$C$29+B82*Premissas!$C$30,0)</f>
        <v/>
      </c>
      <c r="O82">
        <f>K82+L82+M82+N82</f>
        <v/>
      </c>
      <c r="P82">
        <f>K82+ROUND(AC82*Premissas!$C$24,0)+M82+N82</f>
        <v/>
      </c>
      <c r="Q82">
        <f>ROUND(IF(A82-1-Premissas!$C$21&gt;=0,OFFSET($P$4,A82-1-Premissas!$C$21,0),0)*(1-Premissas!$C$20/100),0)</f>
        <v/>
      </c>
      <c r="R82">
        <f>ROUND(F82*Premissas!$C$11+N82*Premissas!$C$31/100,0)+ROUND((E82+B82)*Premissas!$C$10,0)+ROUND(Q82*Premissas!$C$8/100,0)+ROUND(Premissas!$C$35+(B82+C82)*Premissas!$C$36,0)</f>
        <v/>
      </c>
      <c r="S82">
        <f>O82-R82</f>
        <v/>
      </c>
      <c r="T82">
        <f>ROUND(O82*Premissas!$C$9/100,0)</f>
        <v/>
      </c>
      <c r="U82">
        <f>ROUND(AB82*Premissas!$C$33,0)</f>
        <v/>
      </c>
      <c r="V82">
        <f>Premissas!$C$37+ROUND(Premissas!$C$12*Premissas!$C$38+D82*Premissas!$C$27,0)</f>
        <v/>
      </c>
      <c r="W82">
        <f>Premissas!$C$39</f>
        <v/>
      </c>
      <c r="X82">
        <f>S82-T82-ROUND(Premissas!$C$12*Premissas!$C$38+D82*Premissas!$C$27,0)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Premissas!$C$32+(B82+C82)/Premissas!$C$34</f>
        <v/>
      </c>
      <c r="AC82">
        <f>D82+AC70*(1-Premissas!$C$26/12)^12</f>
        <v/>
      </c>
    </row>
    <row r="83">
      <c r="A83" t="n">
        <v>80</v>
      </c>
      <c r="B83">
        <f>B82*(1-Premissas!$C$18/12)+Premissas!$C$12</f>
        <v/>
      </c>
      <c r="C83">
        <f>IF($B$2=1,C82*(1-Premissas!$C$26/12)+D83,0)</f>
        <v/>
      </c>
      <c r="D83">
        <f>IF(AND($B$2=1,A83&gt;=Premissas!$C$23),Premissas!$C$22,0)</f>
        <v/>
      </c>
      <c r="E83">
        <f>B83*Premissas!$C$28</f>
        <v/>
      </c>
      <c r="F83">
        <f>B83*Premissas!$C$13/12*MIN(1,A83/Premissas!$C$17)</f>
        <v/>
      </c>
      <c r="G83">
        <f>F83*Premissas!$C$14</f>
        <v/>
      </c>
      <c r="H83">
        <f>IF(IF(A83-1-Premissas!$C$16&gt;=0,OFFSET($J$4,A83-1-Premissas!$C$16,0),0)&gt;0,ROUND(IF(A83-1-Premissas!$C$16&gt;=0,OFFSET($J$4,A83-1-Premissas!$C$16,0),0)*10000/Premissas!$C$5*Premissas!$C$15,0),0)</f>
        <v/>
      </c>
      <c r="I83">
        <f>ROUND(G83*Premissas!$C$6/10000,0)</f>
        <v/>
      </c>
      <c r="J83">
        <f>ROUND(G83*Premissas!$C$5/10000,0)</f>
        <v/>
      </c>
      <c r="K83">
        <f>IF(IF(A83-1-Premissas!$C$16&gt;=0,OFFSET($A$4,A83-1-Premissas!$C$16,0)&gt;=Premissas!$C$19,FALSE),ROUND(IF(A83-1-Premissas!$C$16&gt;=0,OFFSET($J$4,A83-1-Premissas!$C$16,0),0)*Premissas!$C$15,0),0)</f>
        <v/>
      </c>
      <c r="L83">
        <f>ROUND(C83*Premissas!$C$24/12,0)</f>
        <v/>
      </c>
      <c r="M83">
        <f>ROUND(D83*Premissas!$C$25,0)</f>
        <v/>
      </c>
      <c r="N83">
        <f>ROUND(E83*Premissas!$C$29+B83*Premissas!$C$30,0)</f>
        <v/>
      </c>
      <c r="O83">
        <f>K83+L83+M83+N83</f>
        <v/>
      </c>
      <c r="P83">
        <f>K83+ROUND(AC83*Premissas!$C$24,0)+M83+N83</f>
        <v/>
      </c>
      <c r="Q83">
        <f>ROUND(IF(A83-1-Premissas!$C$21&gt;=0,OFFSET($P$4,A83-1-Premissas!$C$21,0),0)*(1-Premissas!$C$20/100),0)</f>
        <v/>
      </c>
      <c r="R83">
        <f>ROUND(F83*Premissas!$C$11+N83*Premissas!$C$31/100,0)+ROUND((E83+B83)*Premissas!$C$10,0)+ROUND(Q83*Premissas!$C$8/100,0)+ROUND(Premissas!$C$35+(B83+C83)*Premissas!$C$36,0)</f>
        <v/>
      </c>
      <c r="S83">
        <f>O83-R83</f>
        <v/>
      </c>
      <c r="T83">
        <f>ROUND(O83*Premissas!$C$9/100,0)</f>
        <v/>
      </c>
      <c r="U83">
        <f>ROUND(AB83*Premissas!$C$33,0)</f>
        <v/>
      </c>
      <c r="V83">
        <f>Premissas!$C$37+ROUND(Premissas!$C$12*Premissas!$C$38+D83*Premissas!$C$27,0)</f>
        <v/>
      </c>
      <c r="W83">
        <f>Premissas!$C$39</f>
        <v/>
      </c>
      <c r="X83">
        <f>S83-T83-ROUND(Premissas!$C$12*Premissas!$C$38+D83*Premissas!$C$27,0)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Premissas!$C$32+(B83+C83)/Premissas!$C$34</f>
        <v/>
      </c>
      <c r="AC83">
        <f>D83+AC71*(1-Premissas!$C$26/12)^12</f>
        <v/>
      </c>
    </row>
    <row r="84">
      <c r="A84" t="n">
        <v>81</v>
      </c>
      <c r="B84">
        <f>B83*(1-Premissas!$C$18/12)+Premissas!$C$12</f>
        <v/>
      </c>
      <c r="C84">
        <f>IF($B$2=1,C83*(1-Premissas!$C$26/12)+D84,0)</f>
        <v/>
      </c>
      <c r="D84">
        <f>IF(AND($B$2=1,A84&gt;=Premissas!$C$23),Premissas!$C$22,0)</f>
        <v/>
      </c>
      <c r="E84">
        <f>B84*Premissas!$C$28</f>
        <v/>
      </c>
      <c r="F84">
        <f>B84*Premissas!$C$13/12*MIN(1,A84/Premissas!$C$17)</f>
        <v/>
      </c>
      <c r="G84">
        <f>F84*Premissas!$C$14</f>
        <v/>
      </c>
      <c r="H84">
        <f>IF(IF(A84-1-Premissas!$C$16&gt;=0,OFFSET($J$4,A84-1-Premissas!$C$16,0),0)&gt;0,ROUND(IF(A84-1-Premissas!$C$16&gt;=0,OFFSET($J$4,A84-1-Premissas!$C$16,0),0)*10000/Premissas!$C$5*Premissas!$C$15,0),0)</f>
        <v/>
      </c>
      <c r="I84">
        <f>ROUND(G84*Premissas!$C$6/10000,0)</f>
        <v/>
      </c>
      <c r="J84">
        <f>ROUND(G84*Premissas!$C$5/10000,0)</f>
        <v/>
      </c>
      <c r="K84">
        <f>IF(IF(A84-1-Premissas!$C$16&gt;=0,OFFSET($A$4,A84-1-Premissas!$C$16,0)&gt;=Premissas!$C$19,FALSE),ROUND(IF(A84-1-Premissas!$C$16&gt;=0,OFFSET($J$4,A84-1-Premissas!$C$16,0),0)*Premissas!$C$15,0),0)</f>
        <v/>
      </c>
      <c r="L84">
        <f>ROUND(C84*Premissas!$C$24/12,0)</f>
        <v/>
      </c>
      <c r="M84">
        <f>ROUND(D84*Premissas!$C$25,0)</f>
        <v/>
      </c>
      <c r="N84">
        <f>ROUND(E84*Premissas!$C$29+B84*Premissas!$C$30,0)</f>
        <v/>
      </c>
      <c r="O84">
        <f>K84+L84+M84+N84</f>
        <v/>
      </c>
      <c r="P84">
        <f>K84+ROUND(AC84*Premissas!$C$24,0)+M84+N84</f>
        <v/>
      </c>
      <c r="Q84">
        <f>ROUND(IF(A84-1-Premissas!$C$21&gt;=0,OFFSET($P$4,A84-1-Premissas!$C$21,0),0)*(1-Premissas!$C$20/100),0)</f>
        <v/>
      </c>
      <c r="R84">
        <f>ROUND(F84*Premissas!$C$11+N84*Premissas!$C$31/100,0)+ROUND((E84+B84)*Premissas!$C$10,0)+ROUND(Q84*Premissas!$C$8/100,0)+ROUND(Premissas!$C$35+(B84+C84)*Premissas!$C$36,0)</f>
        <v/>
      </c>
      <c r="S84">
        <f>O84-R84</f>
        <v/>
      </c>
      <c r="T84">
        <f>ROUND(O84*Premissas!$C$9/100,0)</f>
        <v/>
      </c>
      <c r="U84">
        <f>ROUND(AB84*Premissas!$C$33,0)</f>
        <v/>
      </c>
      <c r="V84">
        <f>Premissas!$C$37+ROUND(Premissas!$C$12*Premissas!$C$38+D84*Premissas!$C$27,0)</f>
        <v/>
      </c>
      <c r="W84">
        <f>Premissas!$C$39</f>
        <v/>
      </c>
      <c r="X84">
        <f>S84-T84-ROUND(Premissas!$C$12*Premissas!$C$38+D84*Premissas!$C$27,0)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Premissas!$C$32+(B84+C84)/Premissas!$C$34</f>
        <v/>
      </c>
      <c r="AC84">
        <f>D84+AC72*(1-Premissas!$C$26/12)^12</f>
        <v/>
      </c>
    </row>
    <row r="85">
      <c r="A85" t="n">
        <v>82</v>
      </c>
      <c r="B85">
        <f>B84*(1-Premissas!$C$18/12)+Premissas!$C$12</f>
        <v/>
      </c>
      <c r="C85">
        <f>IF($B$2=1,C84*(1-Premissas!$C$26/12)+D85,0)</f>
        <v/>
      </c>
      <c r="D85">
        <f>IF(AND($B$2=1,A85&gt;=Premissas!$C$23),Premissas!$C$22,0)</f>
        <v/>
      </c>
      <c r="E85">
        <f>B85*Premissas!$C$28</f>
        <v/>
      </c>
      <c r="F85">
        <f>B85*Premissas!$C$13/12*MIN(1,A85/Premissas!$C$17)</f>
        <v/>
      </c>
      <c r="G85">
        <f>F85*Premissas!$C$14</f>
        <v/>
      </c>
      <c r="H85">
        <f>IF(IF(A85-1-Premissas!$C$16&gt;=0,OFFSET($J$4,A85-1-Premissas!$C$16,0),0)&gt;0,ROUND(IF(A85-1-Premissas!$C$16&gt;=0,OFFSET($J$4,A85-1-Premissas!$C$16,0),0)*10000/Premissas!$C$5*Premissas!$C$15,0),0)</f>
        <v/>
      </c>
      <c r="I85">
        <f>ROUND(G85*Premissas!$C$6/10000,0)</f>
        <v/>
      </c>
      <c r="J85">
        <f>ROUND(G85*Premissas!$C$5/10000,0)</f>
        <v/>
      </c>
      <c r="K85">
        <f>IF(IF(A85-1-Premissas!$C$16&gt;=0,OFFSET($A$4,A85-1-Premissas!$C$16,0)&gt;=Premissas!$C$19,FALSE),ROUND(IF(A85-1-Premissas!$C$16&gt;=0,OFFSET($J$4,A85-1-Premissas!$C$16,0),0)*Premissas!$C$15,0),0)</f>
        <v/>
      </c>
      <c r="L85">
        <f>ROUND(C85*Premissas!$C$24/12,0)</f>
        <v/>
      </c>
      <c r="M85">
        <f>ROUND(D85*Premissas!$C$25,0)</f>
        <v/>
      </c>
      <c r="N85">
        <f>ROUND(E85*Premissas!$C$29+B85*Premissas!$C$30,0)</f>
        <v/>
      </c>
      <c r="O85">
        <f>K85+L85+M85+N85</f>
        <v/>
      </c>
      <c r="P85">
        <f>K85+ROUND(AC85*Premissas!$C$24,0)+M85+N85</f>
        <v/>
      </c>
      <c r="Q85">
        <f>ROUND(IF(A85-1-Premissas!$C$21&gt;=0,OFFSET($P$4,A85-1-Premissas!$C$21,0),0)*(1-Premissas!$C$20/100),0)</f>
        <v/>
      </c>
      <c r="R85">
        <f>ROUND(F85*Premissas!$C$11+N85*Premissas!$C$31/100,0)+ROUND((E85+B85)*Premissas!$C$10,0)+ROUND(Q85*Premissas!$C$8/100,0)+ROUND(Premissas!$C$35+(B85+C85)*Premissas!$C$36,0)</f>
        <v/>
      </c>
      <c r="S85">
        <f>O85-R85</f>
        <v/>
      </c>
      <c r="T85">
        <f>ROUND(O85*Premissas!$C$9/100,0)</f>
        <v/>
      </c>
      <c r="U85">
        <f>ROUND(AB85*Premissas!$C$33,0)</f>
        <v/>
      </c>
      <c r="V85">
        <f>Premissas!$C$37+ROUND(Premissas!$C$12*Premissas!$C$38+D85*Premissas!$C$27,0)</f>
        <v/>
      </c>
      <c r="W85">
        <f>Premissas!$C$39</f>
        <v/>
      </c>
      <c r="X85">
        <f>S85-T85-ROUND(Premissas!$C$12*Premissas!$C$38+D85*Premissas!$C$27,0)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Premissas!$C$32+(B85+C85)/Premissas!$C$34</f>
        <v/>
      </c>
      <c r="AC85">
        <f>D85+AC73*(1-Premissas!$C$26/12)^12</f>
        <v/>
      </c>
    </row>
    <row r="86">
      <c r="A86" t="n">
        <v>83</v>
      </c>
      <c r="B86">
        <f>B85*(1-Premissas!$C$18/12)+Premissas!$C$12</f>
        <v/>
      </c>
      <c r="C86">
        <f>IF($B$2=1,C85*(1-Premissas!$C$26/12)+D86,0)</f>
        <v/>
      </c>
      <c r="D86">
        <f>IF(AND($B$2=1,A86&gt;=Premissas!$C$23),Premissas!$C$22,0)</f>
        <v/>
      </c>
      <c r="E86">
        <f>B86*Premissas!$C$28</f>
        <v/>
      </c>
      <c r="F86">
        <f>B86*Premissas!$C$13/12*MIN(1,A86/Premissas!$C$17)</f>
        <v/>
      </c>
      <c r="G86">
        <f>F86*Premissas!$C$14</f>
        <v/>
      </c>
      <c r="H86">
        <f>IF(IF(A86-1-Premissas!$C$16&gt;=0,OFFSET($J$4,A86-1-Premissas!$C$16,0),0)&gt;0,ROUND(IF(A86-1-Premissas!$C$16&gt;=0,OFFSET($J$4,A86-1-Premissas!$C$16,0),0)*10000/Premissas!$C$5*Premissas!$C$15,0),0)</f>
        <v/>
      </c>
      <c r="I86">
        <f>ROUND(G86*Premissas!$C$6/10000,0)</f>
        <v/>
      </c>
      <c r="J86">
        <f>ROUND(G86*Premissas!$C$5/10000,0)</f>
        <v/>
      </c>
      <c r="K86">
        <f>IF(IF(A86-1-Premissas!$C$16&gt;=0,OFFSET($A$4,A86-1-Premissas!$C$16,0)&gt;=Premissas!$C$19,FALSE),ROUND(IF(A86-1-Premissas!$C$16&gt;=0,OFFSET($J$4,A86-1-Premissas!$C$16,0),0)*Premissas!$C$15,0),0)</f>
        <v/>
      </c>
      <c r="L86">
        <f>ROUND(C86*Premissas!$C$24/12,0)</f>
        <v/>
      </c>
      <c r="M86">
        <f>ROUND(D86*Premissas!$C$25,0)</f>
        <v/>
      </c>
      <c r="N86">
        <f>ROUND(E86*Premissas!$C$29+B86*Premissas!$C$30,0)</f>
        <v/>
      </c>
      <c r="O86">
        <f>K86+L86+M86+N86</f>
        <v/>
      </c>
      <c r="P86">
        <f>K86+ROUND(AC86*Premissas!$C$24,0)+M86+N86</f>
        <v/>
      </c>
      <c r="Q86">
        <f>ROUND(IF(A86-1-Premissas!$C$21&gt;=0,OFFSET($P$4,A86-1-Premissas!$C$21,0),0)*(1-Premissas!$C$20/100),0)</f>
        <v/>
      </c>
      <c r="R86">
        <f>ROUND(F86*Premissas!$C$11+N86*Premissas!$C$31/100,0)+ROUND((E86+B86)*Premissas!$C$10,0)+ROUND(Q86*Premissas!$C$8/100,0)+ROUND(Premissas!$C$35+(B86+C86)*Premissas!$C$36,0)</f>
        <v/>
      </c>
      <c r="S86">
        <f>O86-R86</f>
        <v/>
      </c>
      <c r="T86">
        <f>ROUND(O86*Premissas!$C$9/100,0)</f>
        <v/>
      </c>
      <c r="U86">
        <f>ROUND(AB86*Premissas!$C$33,0)</f>
        <v/>
      </c>
      <c r="V86">
        <f>Premissas!$C$37+ROUND(Premissas!$C$12*Premissas!$C$38+D86*Premissas!$C$27,0)</f>
        <v/>
      </c>
      <c r="W86">
        <f>Premissas!$C$39</f>
        <v/>
      </c>
      <c r="X86">
        <f>S86-T86-ROUND(Premissas!$C$12*Premissas!$C$38+D86*Premissas!$C$27,0)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Premissas!$C$32+(B86+C86)/Premissas!$C$34</f>
        <v/>
      </c>
      <c r="AC86">
        <f>D86+AC74*(1-Premissas!$C$26/12)^12</f>
        <v/>
      </c>
    </row>
    <row r="87">
      <c r="A87" t="n">
        <v>84</v>
      </c>
      <c r="B87">
        <f>B86*(1-Premissas!$C$18/12)+Premissas!$C$12</f>
        <v/>
      </c>
      <c r="C87">
        <f>IF($B$2=1,C86*(1-Premissas!$C$26/12)+D87,0)</f>
        <v/>
      </c>
      <c r="D87">
        <f>IF(AND($B$2=1,A87&gt;=Premissas!$C$23),Premissas!$C$22,0)</f>
        <v/>
      </c>
      <c r="E87">
        <f>B87*Premissas!$C$28</f>
        <v/>
      </c>
      <c r="F87">
        <f>B87*Premissas!$C$13/12*MIN(1,A87/Premissas!$C$17)</f>
        <v/>
      </c>
      <c r="G87">
        <f>F87*Premissas!$C$14</f>
        <v/>
      </c>
      <c r="H87">
        <f>IF(IF(A87-1-Premissas!$C$16&gt;=0,OFFSET($J$4,A87-1-Premissas!$C$16,0),0)&gt;0,ROUND(IF(A87-1-Premissas!$C$16&gt;=0,OFFSET($J$4,A87-1-Premissas!$C$16,0),0)*10000/Premissas!$C$5*Premissas!$C$15,0),0)</f>
        <v/>
      </c>
      <c r="I87">
        <f>ROUND(G87*Premissas!$C$6/10000,0)</f>
        <v/>
      </c>
      <c r="J87">
        <f>ROUND(G87*Premissas!$C$5/10000,0)</f>
        <v/>
      </c>
      <c r="K87">
        <f>IF(IF(A87-1-Premissas!$C$16&gt;=0,OFFSET($A$4,A87-1-Premissas!$C$16,0)&gt;=Premissas!$C$19,FALSE),ROUND(IF(A87-1-Premissas!$C$16&gt;=0,OFFSET($J$4,A87-1-Premissas!$C$16,0),0)*Premissas!$C$15,0),0)</f>
        <v/>
      </c>
      <c r="L87">
        <f>ROUND(C87*Premissas!$C$24/12,0)</f>
        <v/>
      </c>
      <c r="M87">
        <f>ROUND(D87*Premissas!$C$25,0)</f>
        <v/>
      </c>
      <c r="N87">
        <f>ROUND(E87*Premissas!$C$29+B87*Premissas!$C$30,0)</f>
        <v/>
      </c>
      <c r="O87">
        <f>K87+L87+M87+N87</f>
        <v/>
      </c>
      <c r="P87">
        <f>K87+ROUND(AC87*Premissas!$C$24,0)+M87+N87</f>
        <v/>
      </c>
      <c r="Q87">
        <f>ROUND(IF(A87-1-Premissas!$C$21&gt;=0,OFFSET($P$4,A87-1-Premissas!$C$21,0),0)*(1-Premissas!$C$20/100),0)</f>
        <v/>
      </c>
      <c r="R87">
        <f>ROUND(F87*Premissas!$C$11+N87*Premissas!$C$31/100,0)+ROUND((E87+B87)*Premissas!$C$10,0)+ROUND(Q87*Premissas!$C$8/100,0)+ROUND(Premissas!$C$35+(B87+C87)*Premissas!$C$36,0)</f>
        <v/>
      </c>
      <c r="S87">
        <f>O87-R87</f>
        <v/>
      </c>
      <c r="T87">
        <f>ROUND(O87*Premissas!$C$9/100,0)</f>
        <v/>
      </c>
      <c r="U87">
        <f>ROUND(AB87*Premissas!$C$33,0)</f>
        <v/>
      </c>
      <c r="V87">
        <f>Premissas!$C$37+ROUND(Premissas!$C$12*Premissas!$C$38+D87*Premissas!$C$27,0)</f>
        <v/>
      </c>
      <c r="W87">
        <f>Premissas!$C$39</f>
        <v/>
      </c>
      <c r="X87">
        <f>S87-T87-ROUND(Premissas!$C$12*Premissas!$C$38+D87*Premissas!$C$27,0)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Premissas!$C$32+(B87+C87)/Premissas!$C$34</f>
        <v/>
      </c>
      <c r="AC87">
        <f>D87+AC75*(1-Premissas!$C$26/12)^12</f>
        <v/>
      </c>
    </row>
    <row r="88">
      <c r="A88" t="n">
        <v>85</v>
      </c>
      <c r="B88">
        <f>B87*(1-Premissas!$C$18/12)+Premissas!$C$12</f>
        <v/>
      </c>
      <c r="C88">
        <f>IF($B$2=1,C87*(1-Premissas!$C$26/12)+D88,0)</f>
        <v/>
      </c>
      <c r="D88">
        <f>IF(AND($B$2=1,A88&gt;=Premissas!$C$23),Premissas!$C$22,0)</f>
        <v/>
      </c>
      <c r="E88">
        <f>B88*Premissas!$C$28</f>
        <v/>
      </c>
      <c r="F88">
        <f>B88*Premissas!$C$13/12*MIN(1,A88/Premissas!$C$17)</f>
        <v/>
      </c>
      <c r="G88">
        <f>F88*Premissas!$C$14</f>
        <v/>
      </c>
      <c r="H88">
        <f>IF(IF(A88-1-Premissas!$C$16&gt;=0,OFFSET($J$4,A88-1-Premissas!$C$16,0),0)&gt;0,ROUND(IF(A88-1-Premissas!$C$16&gt;=0,OFFSET($J$4,A88-1-Premissas!$C$16,0),0)*10000/Premissas!$C$5*Premissas!$C$15,0),0)</f>
        <v/>
      </c>
      <c r="I88">
        <f>ROUND(G88*Premissas!$C$6/10000,0)</f>
        <v/>
      </c>
      <c r="J88">
        <f>ROUND(G88*Premissas!$C$5/10000,0)</f>
        <v/>
      </c>
      <c r="K88">
        <f>IF(IF(A88-1-Premissas!$C$16&gt;=0,OFFSET($A$4,A88-1-Premissas!$C$16,0)&gt;=Premissas!$C$19,FALSE),ROUND(IF(A88-1-Premissas!$C$16&gt;=0,OFFSET($J$4,A88-1-Premissas!$C$16,0),0)*Premissas!$C$15,0),0)</f>
        <v/>
      </c>
      <c r="L88">
        <f>ROUND(C88*Premissas!$C$24/12,0)</f>
        <v/>
      </c>
      <c r="M88">
        <f>ROUND(D88*Premissas!$C$25,0)</f>
        <v/>
      </c>
      <c r="N88">
        <f>ROUND(E88*Premissas!$C$29+B88*Premissas!$C$30,0)</f>
        <v/>
      </c>
      <c r="O88">
        <f>K88+L88+M88+N88</f>
        <v/>
      </c>
      <c r="P88">
        <f>K88+ROUND(AC88*Premissas!$C$24,0)+M88+N88</f>
        <v/>
      </c>
      <c r="Q88">
        <f>ROUND(IF(A88-1-Premissas!$C$21&gt;=0,OFFSET($P$4,A88-1-Premissas!$C$21,0),0)*(1-Premissas!$C$20/100),0)</f>
        <v/>
      </c>
      <c r="R88">
        <f>ROUND(F88*Premissas!$C$11+N88*Premissas!$C$31/100,0)+ROUND((E88+B88)*Premissas!$C$10,0)+ROUND(Q88*Premissas!$C$8/100,0)+ROUND(Premissas!$C$35+(B88+C88)*Premissas!$C$36,0)</f>
        <v/>
      </c>
      <c r="S88">
        <f>O88-R88</f>
        <v/>
      </c>
      <c r="T88">
        <f>ROUND(O88*Premissas!$C$9/100,0)</f>
        <v/>
      </c>
      <c r="U88">
        <f>ROUND(AB88*Premissas!$C$33,0)</f>
        <v/>
      </c>
      <c r="V88">
        <f>Premissas!$C$37+ROUND(Premissas!$C$12*Premissas!$C$38+D88*Premissas!$C$27,0)</f>
        <v/>
      </c>
      <c r="W88">
        <f>Premissas!$C$39</f>
        <v/>
      </c>
      <c r="X88">
        <f>S88-T88-ROUND(Premissas!$C$12*Premissas!$C$38+D88*Premissas!$C$27,0)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Premissas!$C$32+(B88+C88)/Premissas!$C$34</f>
        <v/>
      </c>
      <c r="AC88">
        <f>D88+AC76*(1-Premissas!$C$26/12)^12</f>
        <v/>
      </c>
    </row>
    <row r="89">
      <c r="A89" t="n">
        <v>86</v>
      </c>
      <c r="B89">
        <f>B88*(1-Premissas!$C$18/12)+Premissas!$C$12</f>
        <v/>
      </c>
      <c r="C89">
        <f>IF($B$2=1,C88*(1-Premissas!$C$26/12)+D89,0)</f>
        <v/>
      </c>
      <c r="D89">
        <f>IF(AND($B$2=1,A89&gt;=Premissas!$C$23),Premissas!$C$22,0)</f>
        <v/>
      </c>
      <c r="E89">
        <f>B89*Premissas!$C$28</f>
        <v/>
      </c>
      <c r="F89">
        <f>B89*Premissas!$C$13/12*MIN(1,A89/Premissas!$C$17)</f>
        <v/>
      </c>
      <c r="G89">
        <f>F89*Premissas!$C$14</f>
        <v/>
      </c>
      <c r="H89">
        <f>IF(IF(A89-1-Premissas!$C$16&gt;=0,OFFSET($J$4,A89-1-Premissas!$C$16,0),0)&gt;0,ROUND(IF(A89-1-Premissas!$C$16&gt;=0,OFFSET($J$4,A89-1-Premissas!$C$16,0),0)*10000/Premissas!$C$5*Premissas!$C$15,0),0)</f>
        <v/>
      </c>
      <c r="I89">
        <f>ROUND(G89*Premissas!$C$6/10000,0)</f>
        <v/>
      </c>
      <c r="J89">
        <f>ROUND(G89*Premissas!$C$5/10000,0)</f>
        <v/>
      </c>
      <c r="K89">
        <f>IF(IF(A89-1-Premissas!$C$16&gt;=0,OFFSET($A$4,A89-1-Premissas!$C$16,0)&gt;=Premissas!$C$19,FALSE),ROUND(IF(A89-1-Premissas!$C$16&gt;=0,OFFSET($J$4,A89-1-Premissas!$C$16,0),0)*Premissas!$C$15,0),0)</f>
        <v/>
      </c>
      <c r="L89">
        <f>ROUND(C89*Premissas!$C$24/12,0)</f>
        <v/>
      </c>
      <c r="M89">
        <f>ROUND(D89*Premissas!$C$25,0)</f>
        <v/>
      </c>
      <c r="N89">
        <f>ROUND(E89*Premissas!$C$29+B89*Premissas!$C$30,0)</f>
        <v/>
      </c>
      <c r="O89">
        <f>K89+L89+M89+N89</f>
        <v/>
      </c>
      <c r="P89">
        <f>K89+ROUND(AC89*Premissas!$C$24,0)+M89+N89</f>
        <v/>
      </c>
      <c r="Q89">
        <f>ROUND(IF(A89-1-Premissas!$C$21&gt;=0,OFFSET($P$4,A89-1-Premissas!$C$21,0),0)*(1-Premissas!$C$20/100),0)</f>
        <v/>
      </c>
      <c r="R89">
        <f>ROUND(F89*Premissas!$C$11+N89*Premissas!$C$31/100,0)+ROUND((E89+B89)*Premissas!$C$10,0)+ROUND(Q89*Premissas!$C$8/100,0)+ROUND(Premissas!$C$35+(B89+C89)*Premissas!$C$36,0)</f>
        <v/>
      </c>
      <c r="S89">
        <f>O89-R89</f>
        <v/>
      </c>
      <c r="T89">
        <f>ROUND(O89*Premissas!$C$9/100,0)</f>
        <v/>
      </c>
      <c r="U89">
        <f>ROUND(AB89*Premissas!$C$33,0)</f>
        <v/>
      </c>
      <c r="V89">
        <f>Premissas!$C$37+ROUND(Premissas!$C$12*Premissas!$C$38+D89*Premissas!$C$27,0)</f>
        <v/>
      </c>
      <c r="W89">
        <f>Premissas!$C$39</f>
        <v/>
      </c>
      <c r="X89">
        <f>S89-T89-ROUND(Premissas!$C$12*Premissas!$C$38+D89*Premissas!$C$27,0)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Premissas!$C$32+(B89+C89)/Premissas!$C$34</f>
        <v/>
      </c>
      <c r="AC89">
        <f>D89+AC77*(1-Premissas!$C$26/12)^12</f>
        <v/>
      </c>
    </row>
    <row r="90">
      <c r="A90" t="n">
        <v>87</v>
      </c>
      <c r="B90">
        <f>B89*(1-Premissas!$C$18/12)+Premissas!$C$12</f>
        <v/>
      </c>
      <c r="C90">
        <f>IF($B$2=1,C89*(1-Premissas!$C$26/12)+D90,0)</f>
        <v/>
      </c>
      <c r="D90">
        <f>IF(AND($B$2=1,A90&gt;=Premissas!$C$23),Premissas!$C$22,0)</f>
        <v/>
      </c>
      <c r="E90">
        <f>B90*Premissas!$C$28</f>
        <v/>
      </c>
      <c r="F90">
        <f>B90*Premissas!$C$13/12*MIN(1,A90/Premissas!$C$17)</f>
        <v/>
      </c>
      <c r="G90">
        <f>F90*Premissas!$C$14</f>
        <v/>
      </c>
      <c r="H90">
        <f>IF(IF(A90-1-Premissas!$C$16&gt;=0,OFFSET($J$4,A90-1-Premissas!$C$16,0),0)&gt;0,ROUND(IF(A90-1-Premissas!$C$16&gt;=0,OFFSET($J$4,A90-1-Premissas!$C$16,0),0)*10000/Premissas!$C$5*Premissas!$C$15,0),0)</f>
        <v/>
      </c>
      <c r="I90">
        <f>ROUND(G90*Premissas!$C$6/10000,0)</f>
        <v/>
      </c>
      <c r="J90">
        <f>ROUND(G90*Premissas!$C$5/10000,0)</f>
        <v/>
      </c>
      <c r="K90">
        <f>IF(IF(A90-1-Premissas!$C$16&gt;=0,OFFSET($A$4,A90-1-Premissas!$C$16,0)&gt;=Premissas!$C$19,FALSE),ROUND(IF(A90-1-Premissas!$C$16&gt;=0,OFFSET($J$4,A90-1-Premissas!$C$16,0),0)*Premissas!$C$15,0),0)</f>
        <v/>
      </c>
      <c r="L90">
        <f>ROUND(C90*Premissas!$C$24/12,0)</f>
        <v/>
      </c>
      <c r="M90">
        <f>ROUND(D90*Premissas!$C$25,0)</f>
        <v/>
      </c>
      <c r="N90">
        <f>ROUND(E90*Premissas!$C$29+B90*Premissas!$C$30,0)</f>
        <v/>
      </c>
      <c r="O90">
        <f>K90+L90+M90+N90</f>
        <v/>
      </c>
      <c r="P90">
        <f>K90+ROUND(AC90*Premissas!$C$24,0)+M90+N90</f>
        <v/>
      </c>
      <c r="Q90">
        <f>ROUND(IF(A90-1-Premissas!$C$21&gt;=0,OFFSET($P$4,A90-1-Premissas!$C$21,0),0)*(1-Premissas!$C$20/100),0)</f>
        <v/>
      </c>
      <c r="R90">
        <f>ROUND(F90*Premissas!$C$11+N90*Premissas!$C$31/100,0)+ROUND((E90+B90)*Premissas!$C$10,0)+ROUND(Q90*Premissas!$C$8/100,0)+ROUND(Premissas!$C$35+(B90+C90)*Premissas!$C$36,0)</f>
        <v/>
      </c>
      <c r="S90">
        <f>O90-R90</f>
        <v/>
      </c>
      <c r="T90">
        <f>ROUND(O90*Premissas!$C$9/100,0)</f>
        <v/>
      </c>
      <c r="U90">
        <f>ROUND(AB90*Premissas!$C$33,0)</f>
        <v/>
      </c>
      <c r="V90">
        <f>Premissas!$C$37+ROUND(Premissas!$C$12*Premissas!$C$38+D90*Premissas!$C$27,0)</f>
        <v/>
      </c>
      <c r="W90">
        <f>Premissas!$C$39</f>
        <v/>
      </c>
      <c r="X90">
        <f>S90-T90-ROUND(Premissas!$C$12*Premissas!$C$38+D90*Premissas!$C$27,0)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Premissas!$C$32+(B90+C90)/Premissas!$C$34</f>
        <v/>
      </c>
      <c r="AC90">
        <f>D90+AC78*(1-Premissas!$C$26/12)^12</f>
        <v/>
      </c>
    </row>
    <row r="91">
      <c r="A91" t="n">
        <v>88</v>
      </c>
      <c r="B91">
        <f>B90*(1-Premissas!$C$18/12)+Premissas!$C$12</f>
        <v/>
      </c>
      <c r="C91">
        <f>IF($B$2=1,C90*(1-Premissas!$C$26/12)+D91,0)</f>
        <v/>
      </c>
      <c r="D91">
        <f>IF(AND($B$2=1,A91&gt;=Premissas!$C$23),Premissas!$C$22,0)</f>
        <v/>
      </c>
      <c r="E91">
        <f>B91*Premissas!$C$28</f>
        <v/>
      </c>
      <c r="F91">
        <f>B91*Premissas!$C$13/12*MIN(1,A91/Premissas!$C$17)</f>
        <v/>
      </c>
      <c r="G91">
        <f>F91*Premissas!$C$14</f>
        <v/>
      </c>
      <c r="H91">
        <f>IF(IF(A91-1-Premissas!$C$16&gt;=0,OFFSET($J$4,A91-1-Premissas!$C$16,0),0)&gt;0,ROUND(IF(A91-1-Premissas!$C$16&gt;=0,OFFSET($J$4,A91-1-Premissas!$C$16,0),0)*10000/Premissas!$C$5*Premissas!$C$15,0),0)</f>
        <v/>
      </c>
      <c r="I91">
        <f>ROUND(G91*Premissas!$C$6/10000,0)</f>
        <v/>
      </c>
      <c r="J91">
        <f>ROUND(G91*Premissas!$C$5/10000,0)</f>
        <v/>
      </c>
      <c r="K91">
        <f>IF(IF(A91-1-Premissas!$C$16&gt;=0,OFFSET($A$4,A91-1-Premissas!$C$16,0)&gt;=Premissas!$C$19,FALSE),ROUND(IF(A91-1-Premissas!$C$16&gt;=0,OFFSET($J$4,A91-1-Premissas!$C$16,0),0)*Premissas!$C$15,0),0)</f>
        <v/>
      </c>
      <c r="L91">
        <f>ROUND(C91*Premissas!$C$24/12,0)</f>
        <v/>
      </c>
      <c r="M91">
        <f>ROUND(D91*Premissas!$C$25,0)</f>
        <v/>
      </c>
      <c r="N91">
        <f>ROUND(E91*Premissas!$C$29+B91*Premissas!$C$30,0)</f>
        <v/>
      </c>
      <c r="O91">
        <f>K91+L91+M91+N91</f>
        <v/>
      </c>
      <c r="P91">
        <f>K91+ROUND(AC91*Premissas!$C$24,0)+M91+N91</f>
        <v/>
      </c>
      <c r="Q91">
        <f>ROUND(IF(A91-1-Premissas!$C$21&gt;=0,OFFSET($P$4,A91-1-Premissas!$C$21,0),0)*(1-Premissas!$C$20/100),0)</f>
        <v/>
      </c>
      <c r="R91">
        <f>ROUND(F91*Premissas!$C$11+N91*Premissas!$C$31/100,0)+ROUND((E91+B91)*Premissas!$C$10,0)+ROUND(Q91*Premissas!$C$8/100,0)+ROUND(Premissas!$C$35+(B91+C91)*Premissas!$C$36,0)</f>
        <v/>
      </c>
      <c r="S91">
        <f>O91-R91</f>
        <v/>
      </c>
      <c r="T91">
        <f>ROUND(O91*Premissas!$C$9/100,0)</f>
        <v/>
      </c>
      <c r="U91">
        <f>ROUND(AB91*Premissas!$C$33,0)</f>
        <v/>
      </c>
      <c r="V91">
        <f>Premissas!$C$37+ROUND(Premissas!$C$12*Premissas!$C$38+D91*Premissas!$C$27,0)</f>
        <v/>
      </c>
      <c r="W91">
        <f>Premissas!$C$39</f>
        <v/>
      </c>
      <c r="X91">
        <f>S91-T91-ROUND(Premissas!$C$12*Premissas!$C$38+D91*Premissas!$C$27,0)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Premissas!$C$32+(B91+C91)/Premissas!$C$34</f>
        <v/>
      </c>
      <c r="AC91">
        <f>D91+AC79*(1-Premissas!$C$26/12)^12</f>
        <v/>
      </c>
    </row>
    <row r="92">
      <c r="A92" t="n">
        <v>89</v>
      </c>
      <c r="B92">
        <f>B91*(1-Premissas!$C$18/12)+Premissas!$C$12</f>
        <v/>
      </c>
      <c r="C92">
        <f>IF($B$2=1,C91*(1-Premissas!$C$26/12)+D92,0)</f>
        <v/>
      </c>
      <c r="D92">
        <f>IF(AND($B$2=1,A92&gt;=Premissas!$C$23),Premissas!$C$22,0)</f>
        <v/>
      </c>
      <c r="E92">
        <f>B92*Premissas!$C$28</f>
        <v/>
      </c>
      <c r="F92">
        <f>B92*Premissas!$C$13/12*MIN(1,A92/Premissas!$C$17)</f>
        <v/>
      </c>
      <c r="G92">
        <f>F92*Premissas!$C$14</f>
        <v/>
      </c>
      <c r="H92">
        <f>IF(IF(A92-1-Premissas!$C$16&gt;=0,OFFSET($J$4,A92-1-Premissas!$C$16,0),0)&gt;0,ROUND(IF(A92-1-Premissas!$C$16&gt;=0,OFFSET($J$4,A92-1-Premissas!$C$16,0),0)*10000/Premissas!$C$5*Premissas!$C$15,0),0)</f>
        <v/>
      </c>
      <c r="I92">
        <f>ROUND(G92*Premissas!$C$6/10000,0)</f>
        <v/>
      </c>
      <c r="J92">
        <f>ROUND(G92*Premissas!$C$5/10000,0)</f>
        <v/>
      </c>
      <c r="K92">
        <f>IF(IF(A92-1-Premissas!$C$16&gt;=0,OFFSET($A$4,A92-1-Premissas!$C$16,0)&gt;=Premissas!$C$19,FALSE),ROUND(IF(A92-1-Premissas!$C$16&gt;=0,OFFSET($J$4,A92-1-Premissas!$C$16,0),0)*Premissas!$C$15,0),0)</f>
        <v/>
      </c>
      <c r="L92">
        <f>ROUND(C92*Premissas!$C$24/12,0)</f>
        <v/>
      </c>
      <c r="M92">
        <f>ROUND(D92*Premissas!$C$25,0)</f>
        <v/>
      </c>
      <c r="N92">
        <f>ROUND(E92*Premissas!$C$29+B92*Premissas!$C$30,0)</f>
        <v/>
      </c>
      <c r="O92">
        <f>K92+L92+M92+N92</f>
        <v/>
      </c>
      <c r="P92">
        <f>K92+ROUND(AC92*Premissas!$C$24,0)+M92+N92</f>
        <v/>
      </c>
      <c r="Q92">
        <f>ROUND(IF(A92-1-Premissas!$C$21&gt;=0,OFFSET($P$4,A92-1-Premissas!$C$21,0),0)*(1-Premissas!$C$20/100),0)</f>
        <v/>
      </c>
      <c r="R92">
        <f>ROUND(F92*Premissas!$C$11+N92*Premissas!$C$31/100,0)+ROUND((E92+B92)*Premissas!$C$10,0)+ROUND(Q92*Premissas!$C$8/100,0)+ROUND(Premissas!$C$35+(B92+C92)*Premissas!$C$36,0)</f>
        <v/>
      </c>
      <c r="S92">
        <f>O92-R92</f>
        <v/>
      </c>
      <c r="T92">
        <f>ROUND(O92*Premissas!$C$9/100,0)</f>
        <v/>
      </c>
      <c r="U92">
        <f>ROUND(AB92*Premissas!$C$33,0)</f>
        <v/>
      </c>
      <c r="V92">
        <f>Premissas!$C$37+ROUND(Premissas!$C$12*Premissas!$C$38+D92*Premissas!$C$27,0)</f>
        <v/>
      </c>
      <c r="W92">
        <f>Premissas!$C$39</f>
        <v/>
      </c>
      <c r="X92">
        <f>S92-T92-ROUND(Premissas!$C$12*Premissas!$C$38+D92*Premissas!$C$27,0)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Premissas!$C$32+(B92+C92)/Premissas!$C$34</f>
        <v/>
      </c>
      <c r="AC92">
        <f>D92+AC80*(1-Premissas!$C$26/12)^12</f>
        <v/>
      </c>
    </row>
    <row r="93">
      <c r="A93" t="n">
        <v>90</v>
      </c>
      <c r="B93">
        <f>B92*(1-Premissas!$C$18/12)+Premissas!$C$12</f>
        <v/>
      </c>
      <c r="C93">
        <f>IF($B$2=1,C92*(1-Premissas!$C$26/12)+D93,0)</f>
        <v/>
      </c>
      <c r="D93">
        <f>IF(AND($B$2=1,A93&gt;=Premissas!$C$23),Premissas!$C$22,0)</f>
        <v/>
      </c>
      <c r="E93">
        <f>B93*Premissas!$C$28</f>
        <v/>
      </c>
      <c r="F93">
        <f>B93*Premissas!$C$13/12*MIN(1,A93/Premissas!$C$17)</f>
        <v/>
      </c>
      <c r="G93">
        <f>F93*Premissas!$C$14</f>
        <v/>
      </c>
      <c r="H93">
        <f>IF(IF(A93-1-Premissas!$C$16&gt;=0,OFFSET($J$4,A93-1-Premissas!$C$16,0),0)&gt;0,ROUND(IF(A93-1-Premissas!$C$16&gt;=0,OFFSET($J$4,A93-1-Premissas!$C$16,0),0)*10000/Premissas!$C$5*Premissas!$C$15,0),0)</f>
        <v/>
      </c>
      <c r="I93">
        <f>ROUND(G93*Premissas!$C$6/10000,0)</f>
        <v/>
      </c>
      <c r="J93">
        <f>ROUND(G93*Premissas!$C$5/10000,0)</f>
        <v/>
      </c>
      <c r="K93">
        <f>IF(IF(A93-1-Premissas!$C$16&gt;=0,OFFSET($A$4,A93-1-Premissas!$C$16,0)&gt;=Premissas!$C$19,FALSE),ROUND(IF(A93-1-Premissas!$C$16&gt;=0,OFFSET($J$4,A93-1-Premissas!$C$16,0),0)*Premissas!$C$15,0),0)</f>
        <v/>
      </c>
      <c r="L93">
        <f>ROUND(C93*Premissas!$C$24/12,0)</f>
        <v/>
      </c>
      <c r="M93">
        <f>ROUND(D93*Premissas!$C$25,0)</f>
        <v/>
      </c>
      <c r="N93">
        <f>ROUND(E93*Premissas!$C$29+B93*Premissas!$C$30,0)</f>
        <v/>
      </c>
      <c r="O93">
        <f>K93+L93+M93+N93</f>
        <v/>
      </c>
      <c r="P93">
        <f>K93+ROUND(AC93*Premissas!$C$24,0)+M93+N93</f>
        <v/>
      </c>
      <c r="Q93">
        <f>ROUND(IF(A93-1-Premissas!$C$21&gt;=0,OFFSET($P$4,A93-1-Premissas!$C$21,0),0)*(1-Premissas!$C$20/100),0)</f>
        <v/>
      </c>
      <c r="R93">
        <f>ROUND(F93*Premissas!$C$11+N93*Premissas!$C$31/100,0)+ROUND((E93+B93)*Premissas!$C$10,0)+ROUND(Q93*Premissas!$C$8/100,0)+ROUND(Premissas!$C$35+(B93+C93)*Premissas!$C$36,0)</f>
        <v/>
      </c>
      <c r="S93">
        <f>O93-R93</f>
        <v/>
      </c>
      <c r="T93">
        <f>ROUND(O93*Premissas!$C$9/100,0)</f>
        <v/>
      </c>
      <c r="U93">
        <f>ROUND(AB93*Premissas!$C$33,0)</f>
        <v/>
      </c>
      <c r="V93">
        <f>Premissas!$C$37+ROUND(Premissas!$C$12*Premissas!$C$38+D93*Premissas!$C$27,0)</f>
        <v/>
      </c>
      <c r="W93">
        <f>Premissas!$C$39</f>
        <v/>
      </c>
      <c r="X93">
        <f>S93-T93-ROUND(Premissas!$C$12*Premissas!$C$38+D93*Premissas!$C$27,0)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Premissas!$C$32+(B93+C93)/Premissas!$C$34</f>
        <v/>
      </c>
      <c r="AC93">
        <f>D93+AC81*(1-Premissas!$C$26/12)^12</f>
        <v/>
      </c>
    </row>
    <row r="94">
      <c r="A94" t="n">
        <v>91</v>
      </c>
      <c r="B94">
        <f>B93*(1-Premissas!$C$18/12)+Premissas!$C$12</f>
        <v/>
      </c>
      <c r="C94">
        <f>IF($B$2=1,C93*(1-Premissas!$C$26/12)+D94,0)</f>
        <v/>
      </c>
      <c r="D94">
        <f>IF(AND($B$2=1,A94&gt;=Premissas!$C$23),Premissas!$C$22,0)</f>
        <v/>
      </c>
      <c r="E94">
        <f>B94*Premissas!$C$28</f>
        <v/>
      </c>
      <c r="F94">
        <f>B94*Premissas!$C$13/12*MIN(1,A94/Premissas!$C$17)</f>
        <v/>
      </c>
      <c r="G94">
        <f>F94*Premissas!$C$14</f>
        <v/>
      </c>
      <c r="H94">
        <f>IF(IF(A94-1-Premissas!$C$16&gt;=0,OFFSET($J$4,A94-1-Premissas!$C$16,0),0)&gt;0,ROUND(IF(A94-1-Premissas!$C$16&gt;=0,OFFSET($J$4,A94-1-Premissas!$C$16,0),0)*10000/Premissas!$C$5*Premissas!$C$15,0),0)</f>
        <v/>
      </c>
      <c r="I94">
        <f>ROUND(G94*Premissas!$C$6/10000,0)</f>
        <v/>
      </c>
      <c r="J94">
        <f>ROUND(G94*Premissas!$C$5/10000,0)</f>
        <v/>
      </c>
      <c r="K94">
        <f>IF(IF(A94-1-Premissas!$C$16&gt;=0,OFFSET($A$4,A94-1-Premissas!$C$16,0)&gt;=Premissas!$C$19,FALSE),ROUND(IF(A94-1-Premissas!$C$16&gt;=0,OFFSET($J$4,A94-1-Premissas!$C$16,0),0)*Premissas!$C$15,0),0)</f>
        <v/>
      </c>
      <c r="L94">
        <f>ROUND(C94*Premissas!$C$24/12,0)</f>
        <v/>
      </c>
      <c r="M94">
        <f>ROUND(D94*Premissas!$C$25,0)</f>
        <v/>
      </c>
      <c r="N94">
        <f>ROUND(E94*Premissas!$C$29+B94*Premissas!$C$30,0)</f>
        <v/>
      </c>
      <c r="O94">
        <f>K94+L94+M94+N94</f>
        <v/>
      </c>
      <c r="P94">
        <f>K94+ROUND(AC94*Premissas!$C$24,0)+M94+N94</f>
        <v/>
      </c>
      <c r="Q94">
        <f>ROUND(IF(A94-1-Premissas!$C$21&gt;=0,OFFSET($P$4,A94-1-Premissas!$C$21,0),0)*(1-Premissas!$C$20/100),0)</f>
        <v/>
      </c>
      <c r="R94">
        <f>ROUND(F94*Premissas!$C$11+N94*Premissas!$C$31/100,0)+ROUND((E94+B94)*Premissas!$C$10,0)+ROUND(Q94*Premissas!$C$8/100,0)+ROUND(Premissas!$C$35+(B94+C94)*Premissas!$C$36,0)</f>
        <v/>
      </c>
      <c r="S94">
        <f>O94-R94</f>
        <v/>
      </c>
      <c r="T94">
        <f>ROUND(O94*Premissas!$C$9/100,0)</f>
        <v/>
      </c>
      <c r="U94">
        <f>ROUND(AB94*Premissas!$C$33,0)</f>
        <v/>
      </c>
      <c r="V94">
        <f>Premissas!$C$37+ROUND(Premissas!$C$12*Premissas!$C$38+D94*Premissas!$C$27,0)</f>
        <v/>
      </c>
      <c r="W94">
        <f>Premissas!$C$39</f>
        <v/>
      </c>
      <c r="X94">
        <f>S94-T94-ROUND(Premissas!$C$12*Premissas!$C$38+D94*Premissas!$C$27,0)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Premissas!$C$32+(B94+C94)/Premissas!$C$34</f>
        <v/>
      </c>
      <c r="AC94">
        <f>D94+AC82*(1-Premissas!$C$26/12)^12</f>
        <v/>
      </c>
    </row>
    <row r="95">
      <c r="A95" t="n">
        <v>92</v>
      </c>
      <c r="B95">
        <f>B94*(1-Premissas!$C$18/12)+Premissas!$C$12</f>
        <v/>
      </c>
      <c r="C95">
        <f>IF($B$2=1,C94*(1-Premissas!$C$26/12)+D95,0)</f>
        <v/>
      </c>
      <c r="D95">
        <f>IF(AND($B$2=1,A95&gt;=Premissas!$C$23),Premissas!$C$22,0)</f>
        <v/>
      </c>
      <c r="E95">
        <f>B95*Premissas!$C$28</f>
        <v/>
      </c>
      <c r="F95">
        <f>B95*Premissas!$C$13/12*MIN(1,A95/Premissas!$C$17)</f>
        <v/>
      </c>
      <c r="G95">
        <f>F95*Premissas!$C$14</f>
        <v/>
      </c>
      <c r="H95">
        <f>IF(IF(A95-1-Premissas!$C$16&gt;=0,OFFSET($J$4,A95-1-Premissas!$C$16,0),0)&gt;0,ROUND(IF(A95-1-Premissas!$C$16&gt;=0,OFFSET($J$4,A95-1-Premissas!$C$16,0),0)*10000/Premissas!$C$5*Premissas!$C$15,0),0)</f>
        <v/>
      </c>
      <c r="I95">
        <f>ROUND(G95*Premissas!$C$6/10000,0)</f>
        <v/>
      </c>
      <c r="J95">
        <f>ROUND(G95*Premissas!$C$5/10000,0)</f>
        <v/>
      </c>
      <c r="K95">
        <f>IF(IF(A95-1-Premissas!$C$16&gt;=0,OFFSET($A$4,A95-1-Premissas!$C$16,0)&gt;=Premissas!$C$19,FALSE),ROUND(IF(A95-1-Premissas!$C$16&gt;=0,OFFSET($J$4,A95-1-Premissas!$C$16,0),0)*Premissas!$C$15,0),0)</f>
        <v/>
      </c>
      <c r="L95">
        <f>ROUND(C95*Premissas!$C$24/12,0)</f>
        <v/>
      </c>
      <c r="M95">
        <f>ROUND(D95*Premissas!$C$25,0)</f>
        <v/>
      </c>
      <c r="N95">
        <f>ROUND(E95*Premissas!$C$29+B95*Premissas!$C$30,0)</f>
        <v/>
      </c>
      <c r="O95">
        <f>K95+L95+M95+N95</f>
        <v/>
      </c>
      <c r="P95">
        <f>K95+ROUND(AC95*Premissas!$C$24,0)+M95+N95</f>
        <v/>
      </c>
      <c r="Q95">
        <f>ROUND(IF(A95-1-Premissas!$C$21&gt;=0,OFFSET($P$4,A95-1-Premissas!$C$21,0),0)*(1-Premissas!$C$20/100),0)</f>
        <v/>
      </c>
      <c r="R95">
        <f>ROUND(F95*Premissas!$C$11+N95*Premissas!$C$31/100,0)+ROUND((E95+B95)*Premissas!$C$10,0)+ROUND(Q95*Premissas!$C$8/100,0)+ROUND(Premissas!$C$35+(B95+C95)*Premissas!$C$36,0)</f>
        <v/>
      </c>
      <c r="S95">
        <f>O95-R95</f>
        <v/>
      </c>
      <c r="T95">
        <f>ROUND(O95*Premissas!$C$9/100,0)</f>
        <v/>
      </c>
      <c r="U95">
        <f>ROUND(AB95*Premissas!$C$33,0)</f>
        <v/>
      </c>
      <c r="V95">
        <f>Premissas!$C$37+ROUND(Premissas!$C$12*Premissas!$C$38+D95*Premissas!$C$27,0)</f>
        <v/>
      </c>
      <c r="W95">
        <f>Premissas!$C$39</f>
        <v/>
      </c>
      <c r="X95">
        <f>S95-T95-ROUND(Premissas!$C$12*Premissas!$C$38+D95*Premissas!$C$27,0)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Premissas!$C$32+(B95+C95)/Premissas!$C$34</f>
        <v/>
      </c>
      <c r="AC95">
        <f>D95+AC83*(1-Premissas!$C$26/12)^12</f>
        <v/>
      </c>
    </row>
    <row r="96">
      <c r="A96" t="n">
        <v>93</v>
      </c>
      <c r="B96">
        <f>B95*(1-Premissas!$C$18/12)+Premissas!$C$12</f>
        <v/>
      </c>
      <c r="C96">
        <f>IF($B$2=1,C95*(1-Premissas!$C$26/12)+D96,0)</f>
        <v/>
      </c>
      <c r="D96">
        <f>IF(AND($B$2=1,A96&gt;=Premissas!$C$23),Premissas!$C$22,0)</f>
        <v/>
      </c>
      <c r="E96">
        <f>B96*Premissas!$C$28</f>
        <v/>
      </c>
      <c r="F96">
        <f>B96*Premissas!$C$13/12*MIN(1,A96/Premissas!$C$17)</f>
        <v/>
      </c>
      <c r="G96">
        <f>F96*Premissas!$C$14</f>
        <v/>
      </c>
      <c r="H96">
        <f>IF(IF(A96-1-Premissas!$C$16&gt;=0,OFFSET($J$4,A96-1-Premissas!$C$16,0),0)&gt;0,ROUND(IF(A96-1-Premissas!$C$16&gt;=0,OFFSET($J$4,A96-1-Premissas!$C$16,0),0)*10000/Premissas!$C$5*Premissas!$C$15,0),0)</f>
        <v/>
      </c>
      <c r="I96">
        <f>ROUND(G96*Premissas!$C$6/10000,0)</f>
        <v/>
      </c>
      <c r="J96">
        <f>ROUND(G96*Premissas!$C$5/10000,0)</f>
        <v/>
      </c>
      <c r="K96">
        <f>IF(IF(A96-1-Premissas!$C$16&gt;=0,OFFSET($A$4,A96-1-Premissas!$C$16,0)&gt;=Premissas!$C$19,FALSE),ROUND(IF(A96-1-Premissas!$C$16&gt;=0,OFFSET($J$4,A96-1-Premissas!$C$16,0),0)*Premissas!$C$15,0),0)</f>
        <v/>
      </c>
      <c r="L96">
        <f>ROUND(C96*Premissas!$C$24/12,0)</f>
        <v/>
      </c>
      <c r="M96">
        <f>ROUND(D96*Premissas!$C$25,0)</f>
        <v/>
      </c>
      <c r="N96">
        <f>ROUND(E96*Premissas!$C$29+B96*Premissas!$C$30,0)</f>
        <v/>
      </c>
      <c r="O96">
        <f>K96+L96+M96+N96</f>
        <v/>
      </c>
      <c r="P96">
        <f>K96+ROUND(AC96*Premissas!$C$24,0)+M96+N96</f>
        <v/>
      </c>
      <c r="Q96">
        <f>ROUND(IF(A96-1-Premissas!$C$21&gt;=0,OFFSET($P$4,A96-1-Premissas!$C$21,0),0)*(1-Premissas!$C$20/100),0)</f>
        <v/>
      </c>
      <c r="R96">
        <f>ROUND(F96*Premissas!$C$11+N96*Premissas!$C$31/100,0)+ROUND((E96+B96)*Premissas!$C$10,0)+ROUND(Q96*Premissas!$C$8/100,0)+ROUND(Premissas!$C$35+(B96+C96)*Premissas!$C$36,0)</f>
        <v/>
      </c>
      <c r="S96">
        <f>O96-R96</f>
        <v/>
      </c>
      <c r="T96">
        <f>ROUND(O96*Premissas!$C$9/100,0)</f>
        <v/>
      </c>
      <c r="U96">
        <f>ROUND(AB96*Premissas!$C$33,0)</f>
        <v/>
      </c>
      <c r="V96">
        <f>Premissas!$C$37+ROUND(Premissas!$C$12*Premissas!$C$38+D96*Premissas!$C$27,0)</f>
        <v/>
      </c>
      <c r="W96">
        <f>Premissas!$C$39</f>
        <v/>
      </c>
      <c r="X96">
        <f>S96-T96-ROUND(Premissas!$C$12*Premissas!$C$38+D96*Premissas!$C$27,0)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Premissas!$C$32+(B96+C96)/Premissas!$C$34</f>
        <v/>
      </c>
      <c r="AC96">
        <f>D96+AC84*(1-Premissas!$C$26/12)^12</f>
        <v/>
      </c>
    </row>
    <row r="97">
      <c r="A97" t="n">
        <v>94</v>
      </c>
      <c r="B97">
        <f>B96*(1-Premissas!$C$18/12)+Premissas!$C$12</f>
        <v/>
      </c>
      <c r="C97">
        <f>IF($B$2=1,C96*(1-Premissas!$C$26/12)+D97,0)</f>
        <v/>
      </c>
      <c r="D97">
        <f>IF(AND($B$2=1,A97&gt;=Premissas!$C$23),Premissas!$C$22,0)</f>
        <v/>
      </c>
      <c r="E97">
        <f>B97*Premissas!$C$28</f>
        <v/>
      </c>
      <c r="F97">
        <f>B97*Premissas!$C$13/12*MIN(1,A97/Premissas!$C$17)</f>
        <v/>
      </c>
      <c r="G97">
        <f>F97*Premissas!$C$14</f>
        <v/>
      </c>
      <c r="H97">
        <f>IF(IF(A97-1-Premissas!$C$16&gt;=0,OFFSET($J$4,A97-1-Premissas!$C$16,0),0)&gt;0,ROUND(IF(A97-1-Premissas!$C$16&gt;=0,OFFSET($J$4,A97-1-Premissas!$C$16,0),0)*10000/Premissas!$C$5*Premissas!$C$15,0),0)</f>
        <v/>
      </c>
      <c r="I97">
        <f>ROUND(G97*Premissas!$C$6/10000,0)</f>
        <v/>
      </c>
      <c r="J97">
        <f>ROUND(G97*Premissas!$C$5/10000,0)</f>
        <v/>
      </c>
      <c r="K97">
        <f>IF(IF(A97-1-Premissas!$C$16&gt;=0,OFFSET($A$4,A97-1-Premissas!$C$16,0)&gt;=Premissas!$C$19,FALSE),ROUND(IF(A97-1-Premissas!$C$16&gt;=0,OFFSET($J$4,A97-1-Premissas!$C$16,0),0)*Premissas!$C$15,0),0)</f>
        <v/>
      </c>
      <c r="L97">
        <f>ROUND(C97*Premissas!$C$24/12,0)</f>
        <v/>
      </c>
      <c r="M97">
        <f>ROUND(D97*Premissas!$C$25,0)</f>
        <v/>
      </c>
      <c r="N97">
        <f>ROUND(E97*Premissas!$C$29+B97*Premissas!$C$30,0)</f>
        <v/>
      </c>
      <c r="O97">
        <f>K97+L97+M97+N97</f>
        <v/>
      </c>
      <c r="P97">
        <f>K97+ROUND(AC97*Premissas!$C$24,0)+M97+N97</f>
        <v/>
      </c>
      <c r="Q97">
        <f>ROUND(IF(A97-1-Premissas!$C$21&gt;=0,OFFSET($P$4,A97-1-Premissas!$C$21,0),0)*(1-Premissas!$C$20/100),0)</f>
        <v/>
      </c>
      <c r="R97">
        <f>ROUND(F97*Premissas!$C$11+N97*Premissas!$C$31/100,0)+ROUND((E97+B97)*Premissas!$C$10,0)+ROUND(Q97*Premissas!$C$8/100,0)+ROUND(Premissas!$C$35+(B97+C97)*Premissas!$C$36,0)</f>
        <v/>
      </c>
      <c r="S97">
        <f>O97-R97</f>
        <v/>
      </c>
      <c r="T97">
        <f>ROUND(O97*Premissas!$C$9/100,0)</f>
        <v/>
      </c>
      <c r="U97">
        <f>ROUND(AB97*Premissas!$C$33,0)</f>
        <v/>
      </c>
      <c r="V97">
        <f>Premissas!$C$37+ROUND(Premissas!$C$12*Premissas!$C$38+D97*Premissas!$C$27,0)</f>
        <v/>
      </c>
      <c r="W97">
        <f>Premissas!$C$39</f>
        <v/>
      </c>
      <c r="X97">
        <f>S97-T97-ROUND(Premissas!$C$12*Premissas!$C$38+D97*Premissas!$C$27,0)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Premissas!$C$32+(B97+C97)/Premissas!$C$34</f>
        <v/>
      </c>
      <c r="AC97">
        <f>D97+AC85*(1-Premissas!$C$26/12)^12</f>
        <v/>
      </c>
    </row>
    <row r="98">
      <c r="A98" t="n">
        <v>95</v>
      </c>
      <c r="B98">
        <f>B97*(1-Premissas!$C$18/12)+Premissas!$C$12</f>
        <v/>
      </c>
      <c r="C98">
        <f>IF($B$2=1,C97*(1-Premissas!$C$26/12)+D98,0)</f>
        <v/>
      </c>
      <c r="D98">
        <f>IF(AND($B$2=1,A98&gt;=Premissas!$C$23),Premissas!$C$22,0)</f>
        <v/>
      </c>
      <c r="E98">
        <f>B98*Premissas!$C$28</f>
        <v/>
      </c>
      <c r="F98">
        <f>B98*Premissas!$C$13/12*MIN(1,A98/Premissas!$C$17)</f>
        <v/>
      </c>
      <c r="G98">
        <f>F98*Premissas!$C$14</f>
        <v/>
      </c>
      <c r="H98">
        <f>IF(IF(A98-1-Premissas!$C$16&gt;=0,OFFSET($J$4,A98-1-Premissas!$C$16,0),0)&gt;0,ROUND(IF(A98-1-Premissas!$C$16&gt;=0,OFFSET($J$4,A98-1-Premissas!$C$16,0),0)*10000/Premissas!$C$5*Premissas!$C$15,0),0)</f>
        <v/>
      </c>
      <c r="I98">
        <f>ROUND(G98*Premissas!$C$6/10000,0)</f>
        <v/>
      </c>
      <c r="J98">
        <f>ROUND(G98*Premissas!$C$5/10000,0)</f>
        <v/>
      </c>
      <c r="K98">
        <f>IF(IF(A98-1-Premissas!$C$16&gt;=0,OFFSET($A$4,A98-1-Premissas!$C$16,0)&gt;=Premissas!$C$19,FALSE),ROUND(IF(A98-1-Premissas!$C$16&gt;=0,OFFSET($J$4,A98-1-Premissas!$C$16,0),0)*Premissas!$C$15,0),0)</f>
        <v/>
      </c>
      <c r="L98">
        <f>ROUND(C98*Premissas!$C$24/12,0)</f>
        <v/>
      </c>
      <c r="M98">
        <f>ROUND(D98*Premissas!$C$25,0)</f>
        <v/>
      </c>
      <c r="N98">
        <f>ROUND(E98*Premissas!$C$29+B98*Premissas!$C$30,0)</f>
        <v/>
      </c>
      <c r="O98">
        <f>K98+L98+M98+N98</f>
        <v/>
      </c>
      <c r="P98">
        <f>K98+ROUND(AC98*Premissas!$C$24,0)+M98+N98</f>
        <v/>
      </c>
      <c r="Q98">
        <f>ROUND(IF(A98-1-Premissas!$C$21&gt;=0,OFFSET($P$4,A98-1-Premissas!$C$21,0),0)*(1-Premissas!$C$20/100),0)</f>
        <v/>
      </c>
      <c r="R98">
        <f>ROUND(F98*Premissas!$C$11+N98*Premissas!$C$31/100,0)+ROUND((E98+B98)*Premissas!$C$10,0)+ROUND(Q98*Premissas!$C$8/100,0)+ROUND(Premissas!$C$35+(B98+C98)*Premissas!$C$36,0)</f>
        <v/>
      </c>
      <c r="S98">
        <f>O98-R98</f>
        <v/>
      </c>
      <c r="T98">
        <f>ROUND(O98*Premissas!$C$9/100,0)</f>
        <v/>
      </c>
      <c r="U98">
        <f>ROUND(AB98*Premissas!$C$33,0)</f>
        <v/>
      </c>
      <c r="V98">
        <f>Premissas!$C$37+ROUND(Premissas!$C$12*Premissas!$C$38+D98*Premissas!$C$27,0)</f>
        <v/>
      </c>
      <c r="W98">
        <f>Premissas!$C$39</f>
        <v/>
      </c>
      <c r="X98">
        <f>S98-T98-ROUND(Premissas!$C$12*Premissas!$C$38+D98*Premissas!$C$27,0)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Premissas!$C$32+(B98+C98)/Premissas!$C$34</f>
        <v/>
      </c>
      <c r="AC98">
        <f>D98+AC86*(1-Premissas!$C$26/12)^12</f>
        <v/>
      </c>
    </row>
    <row r="99">
      <c r="A99" t="n">
        <v>96</v>
      </c>
      <c r="B99">
        <f>B98*(1-Premissas!$C$18/12)+Premissas!$C$12</f>
        <v/>
      </c>
      <c r="C99">
        <f>IF($B$2=1,C98*(1-Premissas!$C$26/12)+D99,0)</f>
        <v/>
      </c>
      <c r="D99">
        <f>IF(AND($B$2=1,A99&gt;=Premissas!$C$23),Premissas!$C$22,0)</f>
        <v/>
      </c>
      <c r="E99">
        <f>B99*Premissas!$C$28</f>
        <v/>
      </c>
      <c r="F99">
        <f>B99*Premissas!$C$13/12*MIN(1,A99/Premissas!$C$17)</f>
        <v/>
      </c>
      <c r="G99">
        <f>F99*Premissas!$C$14</f>
        <v/>
      </c>
      <c r="H99">
        <f>IF(IF(A99-1-Premissas!$C$16&gt;=0,OFFSET($J$4,A99-1-Premissas!$C$16,0),0)&gt;0,ROUND(IF(A99-1-Premissas!$C$16&gt;=0,OFFSET($J$4,A99-1-Premissas!$C$16,0),0)*10000/Premissas!$C$5*Premissas!$C$15,0),0)</f>
        <v/>
      </c>
      <c r="I99">
        <f>ROUND(G99*Premissas!$C$6/10000,0)</f>
        <v/>
      </c>
      <c r="J99">
        <f>ROUND(G99*Premissas!$C$5/10000,0)</f>
        <v/>
      </c>
      <c r="K99">
        <f>IF(IF(A99-1-Premissas!$C$16&gt;=0,OFFSET($A$4,A99-1-Premissas!$C$16,0)&gt;=Premissas!$C$19,FALSE),ROUND(IF(A99-1-Premissas!$C$16&gt;=0,OFFSET($J$4,A99-1-Premissas!$C$16,0),0)*Premissas!$C$15,0),0)</f>
        <v/>
      </c>
      <c r="L99">
        <f>ROUND(C99*Premissas!$C$24/12,0)</f>
        <v/>
      </c>
      <c r="M99">
        <f>ROUND(D99*Premissas!$C$25,0)</f>
        <v/>
      </c>
      <c r="N99">
        <f>ROUND(E99*Premissas!$C$29+B99*Premissas!$C$30,0)</f>
        <v/>
      </c>
      <c r="O99">
        <f>K99+L99+M99+N99</f>
        <v/>
      </c>
      <c r="P99">
        <f>K99+ROUND(AC99*Premissas!$C$24,0)+M99+N99</f>
        <v/>
      </c>
      <c r="Q99">
        <f>ROUND(IF(A99-1-Premissas!$C$21&gt;=0,OFFSET($P$4,A99-1-Premissas!$C$21,0),0)*(1-Premissas!$C$20/100),0)</f>
        <v/>
      </c>
      <c r="R99">
        <f>ROUND(F99*Premissas!$C$11+N99*Premissas!$C$31/100,0)+ROUND((E99+B99)*Premissas!$C$10,0)+ROUND(Q99*Premissas!$C$8/100,0)+ROUND(Premissas!$C$35+(B99+C99)*Premissas!$C$36,0)</f>
        <v/>
      </c>
      <c r="S99">
        <f>O99-R99</f>
        <v/>
      </c>
      <c r="T99">
        <f>ROUND(O99*Premissas!$C$9/100,0)</f>
        <v/>
      </c>
      <c r="U99">
        <f>ROUND(AB99*Premissas!$C$33,0)</f>
        <v/>
      </c>
      <c r="V99">
        <f>Premissas!$C$37+ROUND(Premissas!$C$12*Premissas!$C$38+D99*Premissas!$C$27,0)</f>
        <v/>
      </c>
      <c r="W99">
        <f>Premissas!$C$39</f>
        <v/>
      </c>
      <c r="X99">
        <f>S99-T99-ROUND(Premissas!$C$12*Premissas!$C$38+D99*Premissas!$C$27,0)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Premissas!$C$32+(B99+C99)/Premissas!$C$34</f>
        <v/>
      </c>
      <c r="AC99">
        <f>D99+AC87*(1-Premissas!$C$26/12)^12</f>
        <v/>
      </c>
    </row>
    <row r="100">
      <c r="A100" t="n">
        <v>97</v>
      </c>
      <c r="B100">
        <f>B99*(1-Premissas!$C$18/12)+Premissas!$C$12</f>
        <v/>
      </c>
      <c r="C100">
        <f>IF($B$2=1,C99*(1-Premissas!$C$26/12)+D100,0)</f>
        <v/>
      </c>
      <c r="D100">
        <f>IF(AND($B$2=1,A100&gt;=Premissas!$C$23),Premissas!$C$22,0)</f>
        <v/>
      </c>
      <c r="E100">
        <f>B100*Premissas!$C$28</f>
        <v/>
      </c>
      <c r="F100">
        <f>B100*Premissas!$C$13/12*MIN(1,A100/Premissas!$C$17)</f>
        <v/>
      </c>
      <c r="G100">
        <f>F100*Premissas!$C$14</f>
        <v/>
      </c>
      <c r="H100">
        <f>IF(IF(A100-1-Premissas!$C$16&gt;=0,OFFSET($J$4,A100-1-Premissas!$C$16,0),0)&gt;0,ROUND(IF(A100-1-Premissas!$C$16&gt;=0,OFFSET($J$4,A100-1-Premissas!$C$16,0),0)*10000/Premissas!$C$5*Premissas!$C$15,0),0)</f>
        <v/>
      </c>
      <c r="I100">
        <f>ROUND(G100*Premissas!$C$6/10000,0)</f>
        <v/>
      </c>
      <c r="J100">
        <f>ROUND(G100*Premissas!$C$5/10000,0)</f>
        <v/>
      </c>
      <c r="K100">
        <f>IF(IF(A100-1-Premissas!$C$16&gt;=0,OFFSET($A$4,A100-1-Premissas!$C$16,0)&gt;=Premissas!$C$19,FALSE),ROUND(IF(A100-1-Premissas!$C$16&gt;=0,OFFSET($J$4,A100-1-Premissas!$C$16,0),0)*Premissas!$C$15,0),0)</f>
        <v/>
      </c>
      <c r="L100">
        <f>ROUND(C100*Premissas!$C$24/12,0)</f>
        <v/>
      </c>
      <c r="M100">
        <f>ROUND(D100*Premissas!$C$25,0)</f>
        <v/>
      </c>
      <c r="N100">
        <f>ROUND(E100*Premissas!$C$29+B100*Premissas!$C$30,0)</f>
        <v/>
      </c>
      <c r="O100">
        <f>K100+L100+M100+N100</f>
        <v/>
      </c>
      <c r="P100">
        <f>K100+ROUND(AC100*Premissas!$C$24,0)+M100+N100</f>
        <v/>
      </c>
      <c r="Q100">
        <f>ROUND(IF(A100-1-Premissas!$C$21&gt;=0,OFFSET($P$4,A100-1-Premissas!$C$21,0),0)*(1-Premissas!$C$20/100),0)</f>
        <v/>
      </c>
      <c r="R100">
        <f>ROUND(F100*Premissas!$C$11+N100*Premissas!$C$31/100,0)+ROUND((E100+B100)*Premissas!$C$10,0)+ROUND(Q100*Premissas!$C$8/100,0)+ROUND(Premissas!$C$35+(B100+C100)*Premissas!$C$36,0)</f>
        <v/>
      </c>
      <c r="S100">
        <f>O100-R100</f>
        <v/>
      </c>
      <c r="T100">
        <f>ROUND(O100*Premissas!$C$9/100,0)</f>
        <v/>
      </c>
      <c r="U100">
        <f>ROUND(AB100*Premissas!$C$33,0)</f>
        <v/>
      </c>
      <c r="V100">
        <f>Premissas!$C$37+ROUND(Premissas!$C$12*Premissas!$C$38+D100*Premissas!$C$27,0)</f>
        <v/>
      </c>
      <c r="W100">
        <f>Premissas!$C$39</f>
        <v/>
      </c>
      <c r="X100">
        <f>S100-T100-ROUND(Premissas!$C$12*Premissas!$C$38+D100*Premissas!$C$27,0)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Premissas!$C$32+(B100+C100)/Premissas!$C$34</f>
        <v/>
      </c>
      <c r="AC100">
        <f>D100+AC88*(1-Premissas!$C$26/12)^12</f>
        <v/>
      </c>
    </row>
    <row r="101">
      <c r="A101" t="n">
        <v>98</v>
      </c>
      <c r="B101">
        <f>B100*(1-Premissas!$C$18/12)+Premissas!$C$12</f>
        <v/>
      </c>
      <c r="C101">
        <f>IF($B$2=1,C100*(1-Premissas!$C$26/12)+D101,0)</f>
        <v/>
      </c>
      <c r="D101">
        <f>IF(AND($B$2=1,A101&gt;=Premissas!$C$23),Premissas!$C$22,0)</f>
        <v/>
      </c>
      <c r="E101">
        <f>B101*Premissas!$C$28</f>
        <v/>
      </c>
      <c r="F101">
        <f>B101*Premissas!$C$13/12*MIN(1,A101/Premissas!$C$17)</f>
        <v/>
      </c>
      <c r="G101">
        <f>F101*Premissas!$C$14</f>
        <v/>
      </c>
      <c r="H101">
        <f>IF(IF(A101-1-Premissas!$C$16&gt;=0,OFFSET($J$4,A101-1-Premissas!$C$16,0),0)&gt;0,ROUND(IF(A101-1-Premissas!$C$16&gt;=0,OFFSET($J$4,A101-1-Premissas!$C$16,0),0)*10000/Premissas!$C$5*Premissas!$C$15,0),0)</f>
        <v/>
      </c>
      <c r="I101">
        <f>ROUND(G101*Premissas!$C$6/10000,0)</f>
        <v/>
      </c>
      <c r="J101">
        <f>ROUND(G101*Premissas!$C$5/10000,0)</f>
        <v/>
      </c>
      <c r="K101">
        <f>IF(IF(A101-1-Premissas!$C$16&gt;=0,OFFSET($A$4,A101-1-Premissas!$C$16,0)&gt;=Premissas!$C$19,FALSE),ROUND(IF(A101-1-Premissas!$C$16&gt;=0,OFFSET($J$4,A101-1-Premissas!$C$16,0),0)*Premissas!$C$15,0),0)</f>
        <v/>
      </c>
      <c r="L101">
        <f>ROUND(C101*Premissas!$C$24/12,0)</f>
        <v/>
      </c>
      <c r="M101">
        <f>ROUND(D101*Premissas!$C$25,0)</f>
        <v/>
      </c>
      <c r="N101">
        <f>ROUND(E101*Premissas!$C$29+B101*Premissas!$C$30,0)</f>
        <v/>
      </c>
      <c r="O101">
        <f>K101+L101+M101+N101</f>
        <v/>
      </c>
      <c r="P101">
        <f>K101+ROUND(AC101*Premissas!$C$24,0)+M101+N101</f>
        <v/>
      </c>
      <c r="Q101">
        <f>ROUND(IF(A101-1-Premissas!$C$21&gt;=0,OFFSET($P$4,A101-1-Premissas!$C$21,0),0)*(1-Premissas!$C$20/100),0)</f>
        <v/>
      </c>
      <c r="R101">
        <f>ROUND(F101*Premissas!$C$11+N101*Premissas!$C$31/100,0)+ROUND((E101+B101)*Premissas!$C$10,0)+ROUND(Q101*Premissas!$C$8/100,0)+ROUND(Premissas!$C$35+(B101+C101)*Premissas!$C$36,0)</f>
        <v/>
      </c>
      <c r="S101">
        <f>O101-R101</f>
        <v/>
      </c>
      <c r="T101">
        <f>ROUND(O101*Premissas!$C$9/100,0)</f>
        <v/>
      </c>
      <c r="U101">
        <f>ROUND(AB101*Premissas!$C$33,0)</f>
        <v/>
      </c>
      <c r="V101">
        <f>Premissas!$C$37+ROUND(Premissas!$C$12*Premissas!$C$38+D101*Premissas!$C$27,0)</f>
        <v/>
      </c>
      <c r="W101">
        <f>Premissas!$C$39</f>
        <v/>
      </c>
      <c r="X101">
        <f>S101-T101-ROUND(Premissas!$C$12*Premissas!$C$38+D101*Premissas!$C$27,0)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Premissas!$C$32+(B101+C101)/Premissas!$C$34</f>
        <v/>
      </c>
      <c r="AC101">
        <f>D101+AC89*(1-Premissas!$C$26/12)^12</f>
        <v/>
      </c>
    </row>
    <row r="102">
      <c r="A102" t="n">
        <v>99</v>
      </c>
      <c r="B102">
        <f>B101*(1-Premissas!$C$18/12)+Premissas!$C$12</f>
        <v/>
      </c>
      <c r="C102">
        <f>IF($B$2=1,C101*(1-Premissas!$C$26/12)+D102,0)</f>
        <v/>
      </c>
      <c r="D102">
        <f>IF(AND($B$2=1,A102&gt;=Premissas!$C$23),Premissas!$C$22,0)</f>
        <v/>
      </c>
      <c r="E102">
        <f>B102*Premissas!$C$28</f>
        <v/>
      </c>
      <c r="F102">
        <f>B102*Premissas!$C$13/12*MIN(1,A102/Premissas!$C$17)</f>
        <v/>
      </c>
      <c r="G102">
        <f>F102*Premissas!$C$14</f>
        <v/>
      </c>
      <c r="H102">
        <f>IF(IF(A102-1-Premissas!$C$16&gt;=0,OFFSET($J$4,A102-1-Premissas!$C$16,0),0)&gt;0,ROUND(IF(A102-1-Premissas!$C$16&gt;=0,OFFSET($J$4,A102-1-Premissas!$C$16,0),0)*10000/Premissas!$C$5*Premissas!$C$15,0),0)</f>
        <v/>
      </c>
      <c r="I102">
        <f>ROUND(G102*Premissas!$C$6/10000,0)</f>
        <v/>
      </c>
      <c r="J102">
        <f>ROUND(G102*Premissas!$C$5/10000,0)</f>
        <v/>
      </c>
      <c r="K102">
        <f>IF(IF(A102-1-Premissas!$C$16&gt;=0,OFFSET($A$4,A102-1-Premissas!$C$16,0)&gt;=Premissas!$C$19,FALSE),ROUND(IF(A102-1-Premissas!$C$16&gt;=0,OFFSET($J$4,A102-1-Premissas!$C$16,0),0)*Premissas!$C$15,0),0)</f>
        <v/>
      </c>
      <c r="L102">
        <f>ROUND(C102*Premissas!$C$24/12,0)</f>
        <v/>
      </c>
      <c r="M102">
        <f>ROUND(D102*Premissas!$C$25,0)</f>
        <v/>
      </c>
      <c r="N102">
        <f>ROUND(E102*Premissas!$C$29+B102*Premissas!$C$30,0)</f>
        <v/>
      </c>
      <c r="O102">
        <f>K102+L102+M102+N102</f>
        <v/>
      </c>
      <c r="P102">
        <f>K102+ROUND(AC102*Premissas!$C$24,0)+M102+N102</f>
        <v/>
      </c>
      <c r="Q102">
        <f>ROUND(IF(A102-1-Premissas!$C$21&gt;=0,OFFSET($P$4,A102-1-Premissas!$C$21,0),0)*(1-Premissas!$C$20/100),0)</f>
        <v/>
      </c>
      <c r="R102">
        <f>ROUND(F102*Premissas!$C$11+N102*Premissas!$C$31/100,0)+ROUND((E102+B102)*Premissas!$C$10,0)+ROUND(Q102*Premissas!$C$8/100,0)+ROUND(Premissas!$C$35+(B102+C102)*Premissas!$C$36,0)</f>
        <v/>
      </c>
      <c r="S102">
        <f>O102-R102</f>
        <v/>
      </c>
      <c r="T102">
        <f>ROUND(O102*Premissas!$C$9/100,0)</f>
        <v/>
      </c>
      <c r="U102">
        <f>ROUND(AB102*Premissas!$C$33,0)</f>
        <v/>
      </c>
      <c r="V102">
        <f>Premissas!$C$37+ROUND(Premissas!$C$12*Premissas!$C$38+D102*Premissas!$C$27,0)</f>
        <v/>
      </c>
      <c r="W102">
        <f>Premissas!$C$39</f>
        <v/>
      </c>
      <c r="X102">
        <f>S102-T102-ROUND(Premissas!$C$12*Premissas!$C$38+D102*Premissas!$C$27,0)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Premissas!$C$32+(B102+C102)/Premissas!$C$34</f>
        <v/>
      </c>
      <c r="AC102">
        <f>D102+AC90*(1-Premissas!$C$26/12)^12</f>
        <v/>
      </c>
    </row>
    <row r="103">
      <c r="A103" t="n">
        <v>100</v>
      </c>
      <c r="B103">
        <f>B102*(1-Premissas!$C$18/12)+Premissas!$C$12</f>
        <v/>
      </c>
      <c r="C103">
        <f>IF($B$2=1,C102*(1-Premissas!$C$26/12)+D103,0)</f>
        <v/>
      </c>
      <c r="D103">
        <f>IF(AND($B$2=1,A103&gt;=Premissas!$C$23),Premissas!$C$22,0)</f>
        <v/>
      </c>
      <c r="E103">
        <f>B103*Premissas!$C$28</f>
        <v/>
      </c>
      <c r="F103">
        <f>B103*Premissas!$C$13/12*MIN(1,A103/Premissas!$C$17)</f>
        <v/>
      </c>
      <c r="G103">
        <f>F103*Premissas!$C$14</f>
        <v/>
      </c>
      <c r="H103">
        <f>IF(IF(A103-1-Premissas!$C$16&gt;=0,OFFSET($J$4,A103-1-Premissas!$C$16,0),0)&gt;0,ROUND(IF(A103-1-Premissas!$C$16&gt;=0,OFFSET($J$4,A103-1-Premissas!$C$16,0),0)*10000/Premissas!$C$5*Premissas!$C$15,0),0)</f>
        <v/>
      </c>
      <c r="I103">
        <f>ROUND(G103*Premissas!$C$6/10000,0)</f>
        <v/>
      </c>
      <c r="J103">
        <f>ROUND(G103*Premissas!$C$5/10000,0)</f>
        <v/>
      </c>
      <c r="K103">
        <f>IF(IF(A103-1-Premissas!$C$16&gt;=0,OFFSET($A$4,A103-1-Premissas!$C$16,0)&gt;=Premissas!$C$19,FALSE),ROUND(IF(A103-1-Premissas!$C$16&gt;=0,OFFSET($J$4,A103-1-Premissas!$C$16,0),0)*Premissas!$C$15,0),0)</f>
        <v/>
      </c>
      <c r="L103">
        <f>ROUND(C103*Premissas!$C$24/12,0)</f>
        <v/>
      </c>
      <c r="M103">
        <f>ROUND(D103*Premissas!$C$25,0)</f>
        <v/>
      </c>
      <c r="N103">
        <f>ROUND(E103*Premissas!$C$29+B103*Premissas!$C$30,0)</f>
        <v/>
      </c>
      <c r="O103">
        <f>K103+L103+M103+N103</f>
        <v/>
      </c>
      <c r="P103">
        <f>K103+ROUND(AC103*Premissas!$C$24,0)+M103+N103</f>
        <v/>
      </c>
      <c r="Q103">
        <f>ROUND(IF(A103-1-Premissas!$C$21&gt;=0,OFFSET($P$4,A103-1-Premissas!$C$21,0),0)*(1-Premissas!$C$20/100),0)</f>
        <v/>
      </c>
      <c r="R103">
        <f>ROUND(F103*Premissas!$C$11+N103*Premissas!$C$31/100,0)+ROUND((E103+B103)*Premissas!$C$10,0)+ROUND(Q103*Premissas!$C$8/100,0)+ROUND(Premissas!$C$35+(B103+C103)*Premissas!$C$36,0)</f>
        <v/>
      </c>
      <c r="S103">
        <f>O103-R103</f>
        <v/>
      </c>
      <c r="T103">
        <f>ROUND(O103*Premissas!$C$9/100,0)</f>
        <v/>
      </c>
      <c r="U103">
        <f>ROUND(AB103*Premissas!$C$33,0)</f>
        <v/>
      </c>
      <c r="V103">
        <f>Premissas!$C$37+ROUND(Premissas!$C$12*Premissas!$C$38+D103*Premissas!$C$27,0)</f>
        <v/>
      </c>
      <c r="W103">
        <f>Premissas!$C$39</f>
        <v/>
      </c>
      <c r="X103">
        <f>S103-T103-ROUND(Premissas!$C$12*Premissas!$C$38+D103*Premissas!$C$27,0)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Premissas!$C$32+(B103+C103)/Premissas!$C$34</f>
        <v/>
      </c>
      <c r="AC103">
        <f>D103+AC91*(1-Premissas!$C$26/12)^12</f>
        <v/>
      </c>
    </row>
    <row r="104">
      <c r="A104" t="n">
        <v>101</v>
      </c>
      <c r="B104">
        <f>B103*(1-Premissas!$C$18/12)+Premissas!$C$12</f>
        <v/>
      </c>
      <c r="C104">
        <f>IF($B$2=1,C103*(1-Premissas!$C$26/12)+D104,0)</f>
        <v/>
      </c>
      <c r="D104">
        <f>IF(AND($B$2=1,A104&gt;=Premissas!$C$23),Premissas!$C$22,0)</f>
        <v/>
      </c>
      <c r="E104">
        <f>B104*Premissas!$C$28</f>
        <v/>
      </c>
      <c r="F104">
        <f>B104*Premissas!$C$13/12*MIN(1,A104/Premissas!$C$17)</f>
        <v/>
      </c>
      <c r="G104">
        <f>F104*Premissas!$C$14</f>
        <v/>
      </c>
      <c r="H104">
        <f>IF(IF(A104-1-Premissas!$C$16&gt;=0,OFFSET($J$4,A104-1-Premissas!$C$16,0),0)&gt;0,ROUND(IF(A104-1-Premissas!$C$16&gt;=0,OFFSET($J$4,A104-1-Premissas!$C$16,0),0)*10000/Premissas!$C$5*Premissas!$C$15,0),0)</f>
        <v/>
      </c>
      <c r="I104">
        <f>ROUND(G104*Premissas!$C$6/10000,0)</f>
        <v/>
      </c>
      <c r="J104">
        <f>ROUND(G104*Premissas!$C$5/10000,0)</f>
        <v/>
      </c>
      <c r="K104">
        <f>IF(IF(A104-1-Premissas!$C$16&gt;=0,OFFSET($A$4,A104-1-Premissas!$C$16,0)&gt;=Premissas!$C$19,FALSE),ROUND(IF(A104-1-Premissas!$C$16&gt;=0,OFFSET($J$4,A104-1-Premissas!$C$16,0),0)*Premissas!$C$15,0),0)</f>
        <v/>
      </c>
      <c r="L104">
        <f>ROUND(C104*Premissas!$C$24/12,0)</f>
        <v/>
      </c>
      <c r="M104">
        <f>ROUND(D104*Premissas!$C$25,0)</f>
        <v/>
      </c>
      <c r="N104">
        <f>ROUND(E104*Premissas!$C$29+B104*Premissas!$C$30,0)</f>
        <v/>
      </c>
      <c r="O104">
        <f>K104+L104+M104+N104</f>
        <v/>
      </c>
      <c r="P104">
        <f>K104+ROUND(AC104*Premissas!$C$24,0)+M104+N104</f>
        <v/>
      </c>
      <c r="Q104">
        <f>ROUND(IF(A104-1-Premissas!$C$21&gt;=0,OFFSET($P$4,A104-1-Premissas!$C$21,0),0)*(1-Premissas!$C$20/100),0)</f>
        <v/>
      </c>
      <c r="R104">
        <f>ROUND(F104*Premissas!$C$11+N104*Premissas!$C$31/100,0)+ROUND((E104+B104)*Premissas!$C$10,0)+ROUND(Q104*Premissas!$C$8/100,0)+ROUND(Premissas!$C$35+(B104+C104)*Premissas!$C$36,0)</f>
        <v/>
      </c>
      <c r="S104">
        <f>O104-R104</f>
        <v/>
      </c>
      <c r="T104">
        <f>ROUND(O104*Premissas!$C$9/100,0)</f>
        <v/>
      </c>
      <c r="U104">
        <f>ROUND(AB104*Premissas!$C$33,0)</f>
        <v/>
      </c>
      <c r="V104">
        <f>Premissas!$C$37+ROUND(Premissas!$C$12*Premissas!$C$38+D104*Premissas!$C$27,0)</f>
        <v/>
      </c>
      <c r="W104">
        <f>Premissas!$C$39</f>
        <v/>
      </c>
      <c r="X104">
        <f>S104-T104-ROUND(Premissas!$C$12*Premissas!$C$38+D104*Premissas!$C$27,0)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Premissas!$C$32+(B104+C104)/Premissas!$C$34</f>
        <v/>
      </c>
      <c r="AC104">
        <f>D104+AC92*(1-Premissas!$C$26/12)^12</f>
        <v/>
      </c>
    </row>
    <row r="105">
      <c r="A105" t="n">
        <v>102</v>
      </c>
      <c r="B105">
        <f>B104*(1-Premissas!$C$18/12)+Premissas!$C$12</f>
        <v/>
      </c>
      <c r="C105">
        <f>IF($B$2=1,C104*(1-Premissas!$C$26/12)+D105,0)</f>
        <v/>
      </c>
      <c r="D105">
        <f>IF(AND($B$2=1,A105&gt;=Premissas!$C$23),Premissas!$C$22,0)</f>
        <v/>
      </c>
      <c r="E105">
        <f>B105*Premissas!$C$28</f>
        <v/>
      </c>
      <c r="F105">
        <f>B105*Premissas!$C$13/12*MIN(1,A105/Premissas!$C$17)</f>
        <v/>
      </c>
      <c r="G105">
        <f>F105*Premissas!$C$14</f>
        <v/>
      </c>
      <c r="H105">
        <f>IF(IF(A105-1-Premissas!$C$16&gt;=0,OFFSET($J$4,A105-1-Premissas!$C$16,0),0)&gt;0,ROUND(IF(A105-1-Premissas!$C$16&gt;=0,OFFSET($J$4,A105-1-Premissas!$C$16,0),0)*10000/Premissas!$C$5*Premissas!$C$15,0),0)</f>
        <v/>
      </c>
      <c r="I105">
        <f>ROUND(G105*Premissas!$C$6/10000,0)</f>
        <v/>
      </c>
      <c r="J105">
        <f>ROUND(G105*Premissas!$C$5/10000,0)</f>
        <v/>
      </c>
      <c r="K105">
        <f>IF(IF(A105-1-Premissas!$C$16&gt;=0,OFFSET($A$4,A105-1-Premissas!$C$16,0)&gt;=Premissas!$C$19,FALSE),ROUND(IF(A105-1-Premissas!$C$16&gt;=0,OFFSET($J$4,A105-1-Premissas!$C$16,0),0)*Premissas!$C$15,0),0)</f>
        <v/>
      </c>
      <c r="L105">
        <f>ROUND(C105*Premissas!$C$24/12,0)</f>
        <v/>
      </c>
      <c r="M105">
        <f>ROUND(D105*Premissas!$C$25,0)</f>
        <v/>
      </c>
      <c r="N105">
        <f>ROUND(E105*Premissas!$C$29+B105*Premissas!$C$30,0)</f>
        <v/>
      </c>
      <c r="O105">
        <f>K105+L105+M105+N105</f>
        <v/>
      </c>
      <c r="P105">
        <f>K105+ROUND(AC105*Premissas!$C$24,0)+M105+N105</f>
        <v/>
      </c>
      <c r="Q105">
        <f>ROUND(IF(A105-1-Premissas!$C$21&gt;=0,OFFSET($P$4,A105-1-Premissas!$C$21,0),0)*(1-Premissas!$C$20/100),0)</f>
        <v/>
      </c>
      <c r="R105">
        <f>ROUND(F105*Premissas!$C$11+N105*Premissas!$C$31/100,0)+ROUND((E105+B105)*Premissas!$C$10,0)+ROUND(Q105*Premissas!$C$8/100,0)+ROUND(Premissas!$C$35+(B105+C105)*Premissas!$C$36,0)</f>
        <v/>
      </c>
      <c r="S105">
        <f>O105-R105</f>
        <v/>
      </c>
      <c r="T105">
        <f>ROUND(O105*Premissas!$C$9/100,0)</f>
        <v/>
      </c>
      <c r="U105">
        <f>ROUND(AB105*Premissas!$C$33,0)</f>
        <v/>
      </c>
      <c r="V105">
        <f>Premissas!$C$37+ROUND(Premissas!$C$12*Premissas!$C$38+D105*Premissas!$C$27,0)</f>
        <v/>
      </c>
      <c r="W105">
        <f>Premissas!$C$39</f>
        <v/>
      </c>
      <c r="X105">
        <f>S105-T105-ROUND(Premissas!$C$12*Premissas!$C$38+D105*Premissas!$C$27,0)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Premissas!$C$32+(B105+C105)/Premissas!$C$34</f>
        <v/>
      </c>
      <c r="AC105">
        <f>D105+AC93*(1-Premissas!$C$26/12)^12</f>
        <v/>
      </c>
    </row>
    <row r="106">
      <c r="A106" t="n">
        <v>103</v>
      </c>
      <c r="B106">
        <f>B105*(1-Premissas!$C$18/12)+Premissas!$C$12</f>
        <v/>
      </c>
      <c r="C106">
        <f>IF($B$2=1,C105*(1-Premissas!$C$26/12)+D106,0)</f>
        <v/>
      </c>
      <c r="D106">
        <f>IF(AND($B$2=1,A106&gt;=Premissas!$C$23),Premissas!$C$22,0)</f>
        <v/>
      </c>
      <c r="E106">
        <f>B106*Premissas!$C$28</f>
        <v/>
      </c>
      <c r="F106">
        <f>B106*Premissas!$C$13/12*MIN(1,A106/Premissas!$C$17)</f>
        <v/>
      </c>
      <c r="G106">
        <f>F106*Premissas!$C$14</f>
        <v/>
      </c>
      <c r="H106">
        <f>IF(IF(A106-1-Premissas!$C$16&gt;=0,OFFSET($J$4,A106-1-Premissas!$C$16,0),0)&gt;0,ROUND(IF(A106-1-Premissas!$C$16&gt;=0,OFFSET($J$4,A106-1-Premissas!$C$16,0),0)*10000/Premissas!$C$5*Premissas!$C$15,0),0)</f>
        <v/>
      </c>
      <c r="I106">
        <f>ROUND(G106*Premissas!$C$6/10000,0)</f>
        <v/>
      </c>
      <c r="J106">
        <f>ROUND(G106*Premissas!$C$5/10000,0)</f>
        <v/>
      </c>
      <c r="K106">
        <f>IF(IF(A106-1-Premissas!$C$16&gt;=0,OFFSET($A$4,A106-1-Premissas!$C$16,0)&gt;=Premissas!$C$19,FALSE),ROUND(IF(A106-1-Premissas!$C$16&gt;=0,OFFSET($J$4,A106-1-Premissas!$C$16,0),0)*Premissas!$C$15,0),0)</f>
        <v/>
      </c>
      <c r="L106">
        <f>ROUND(C106*Premissas!$C$24/12,0)</f>
        <v/>
      </c>
      <c r="M106">
        <f>ROUND(D106*Premissas!$C$25,0)</f>
        <v/>
      </c>
      <c r="N106">
        <f>ROUND(E106*Premissas!$C$29+B106*Premissas!$C$30,0)</f>
        <v/>
      </c>
      <c r="O106">
        <f>K106+L106+M106+N106</f>
        <v/>
      </c>
      <c r="P106">
        <f>K106+ROUND(AC106*Premissas!$C$24,0)+M106+N106</f>
        <v/>
      </c>
      <c r="Q106">
        <f>ROUND(IF(A106-1-Premissas!$C$21&gt;=0,OFFSET($P$4,A106-1-Premissas!$C$21,0),0)*(1-Premissas!$C$20/100),0)</f>
        <v/>
      </c>
      <c r="R106">
        <f>ROUND(F106*Premissas!$C$11+N106*Premissas!$C$31/100,0)+ROUND((E106+B106)*Premissas!$C$10,0)+ROUND(Q106*Premissas!$C$8/100,0)+ROUND(Premissas!$C$35+(B106+C106)*Premissas!$C$36,0)</f>
        <v/>
      </c>
      <c r="S106">
        <f>O106-R106</f>
        <v/>
      </c>
      <c r="T106">
        <f>ROUND(O106*Premissas!$C$9/100,0)</f>
        <v/>
      </c>
      <c r="U106">
        <f>ROUND(AB106*Premissas!$C$33,0)</f>
        <v/>
      </c>
      <c r="V106">
        <f>Premissas!$C$37+ROUND(Premissas!$C$12*Premissas!$C$38+D106*Premissas!$C$27,0)</f>
        <v/>
      </c>
      <c r="W106">
        <f>Premissas!$C$39</f>
        <v/>
      </c>
      <c r="X106">
        <f>S106-T106-ROUND(Premissas!$C$12*Premissas!$C$38+D106*Premissas!$C$27,0)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Premissas!$C$32+(B106+C106)/Premissas!$C$34</f>
        <v/>
      </c>
      <c r="AC106">
        <f>D106+AC94*(1-Premissas!$C$26/12)^12</f>
        <v/>
      </c>
    </row>
    <row r="107">
      <c r="A107" t="n">
        <v>104</v>
      </c>
      <c r="B107">
        <f>B106*(1-Premissas!$C$18/12)+Premissas!$C$12</f>
        <v/>
      </c>
      <c r="C107">
        <f>IF($B$2=1,C106*(1-Premissas!$C$26/12)+D107,0)</f>
        <v/>
      </c>
      <c r="D107">
        <f>IF(AND($B$2=1,A107&gt;=Premissas!$C$23),Premissas!$C$22,0)</f>
        <v/>
      </c>
      <c r="E107">
        <f>B107*Premissas!$C$28</f>
        <v/>
      </c>
      <c r="F107">
        <f>B107*Premissas!$C$13/12*MIN(1,A107/Premissas!$C$17)</f>
        <v/>
      </c>
      <c r="G107">
        <f>F107*Premissas!$C$14</f>
        <v/>
      </c>
      <c r="H107">
        <f>IF(IF(A107-1-Premissas!$C$16&gt;=0,OFFSET($J$4,A107-1-Premissas!$C$16,0),0)&gt;0,ROUND(IF(A107-1-Premissas!$C$16&gt;=0,OFFSET($J$4,A107-1-Premissas!$C$16,0),0)*10000/Premissas!$C$5*Premissas!$C$15,0),0)</f>
        <v/>
      </c>
      <c r="I107">
        <f>ROUND(G107*Premissas!$C$6/10000,0)</f>
        <v/>
      </c>
      <c r="J107">
        <f>ROUND(G107*Premissas!$C$5/10000,0)</f>
        <v/>
      </c>
      <c r="K107">
        <f>IF(IF(A107-1-Premissas!$C$16&gt;=0,OFFSET($A$4,A107-1-Premissas!$C$16,0)&gt;=Premissas!$C$19,FALSE),ROUND(IF(A107-1-Premissas!$C$16&gt;=0,OFFSET($J$4,A107-1-Premissas!$C$16,0),0)*Premissas!$C$15,0),0)</f>
        <v/>
      </c>
      <c r="L107">
        <f>ROUND(C107*Premissas!$C$24/12,0)</f>
        <v/>
      </c>
      <c r="M107">
        <f>ROUND(D107*Premissas!$C$25,0)</f>
        <v/>
      </c>
      <c r="N107">
        <f>ROUND(E107*Premissas!$C$29+B107*Premissas!$C$30,0)</f>
        <v/>
      </c>
      <c r="O107">
        <f>K107+L107+M107+N107</f>
        <v/>
      </c>
      <c r="P107">
        <f>K107+ROUND(AC107*Premissas!$C$24,0)+M107+N107</f>
        <v/>
      </c>
      <c r="Q107">
        <f>ROUND(IF(A107-1-Premissas!$C$21&gt;=0,OFFSET($P$4,A107-1-Premissas!$C$21,0),0)*(1-Premissas!$C$20/100),0)</f>
        <v/>
      </c>
      <c r="R107">
        <f>ROUND(F107*Premissas!$C$11+N107*Premissas!$C$31/100,0)+ROUND((E107+B107)*Premissas!$C$10,0)+ROUND(Q107*Premissas!$C$8/100,0)+ROUND(Premissas!$C$35+(B107+C107)*Premissas!$C$36,0)</f>
        <v/>
      </c>
      <c r="S107">
        <f>O107-R107</f>
        <v/>
      </c>
      <c r="T107">
        <f>ROUND(O107*Premissas!$C$9/100,0)</f>
        <v/>
      </c>
      <c r="U107">
        <f>ROUND(AB107*Premissas!$C$33,0)</f>
        <v/>
      </c>
      <c r="V107">
        <f>Premissas!$C$37+ROUND(Premissas!$C$12*Premissas!$C$38+D107*Premissas!$C$27,0)</f>
        <v/>
      </c>
      <c r="W107">
        <f>Premissas!$C$39</f>
        <v/>
      </c>
      <c r="X107">
        <f>S107-T107-ROUND(Premissas!$C$12*Premissas!$C$38+D107*Premissas!$C$27,0)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Premissas!$C$32+(B107+C107)/Premissas!$C$34</f>
        <v/>
      </c>
      <c r="AC107">
        <f>D107+AC95*(1-Premissas!$C$26/12)^12</f>
        <v/>
      </c>
    </row>
    <row r="108">
      <c r="A108" t="n">
        <v>105</v>
      </c>
      <c r="B108">
        <f>B107*(1-Premissas!$C$18/12)+Premissas!$C$12</f>
        <v/>
      </c>
      <c r="C108">
        <f>IF($B$2=1,C107*(1-Premissas!$C$26/12)+D108,0)</f>
        <v/>
      </c>
      <c r="D108">
        <f>IF(AND($B$2=1,A108&gt;=Premissas!$C$23),Premissas!$C$22,0)</f>
        <v/>
      </c>
      <c r="E108">
        <f>B108*Premissas!$C$28</f>
        <v/>
      </c>
      <c r="F108">
        <f>B108*Premissas!$C$13/12*MIN(1,A108/Premissas!$C$17)</f>
        <v/>
      </c>
      <c r="G108">
        <f>F108*Premissas!$C$14</f>
        <v/>
      </c>
      <c r="H108">
        <f>IF(IF(A108-1-Premissas!$C$16&gt;=0,OFFSET($J$4,A108-1-Premissas!$C$16,0),0)&gt;0,ROUND(IF(A108-1-Premissas!$C$16&gt;=0,OFFSET($J$4,A108-1-Premissas!$C$16,0),0)*10000/Premissas!$C$5*Premissas!$C$15,0),0)</f>
        <v/>
      </c>
      <c r="I108">
        <f>ROUND(G108*Premissas!$C$6/10000,0)</f>
        <v/>
      </c>
      <c r="J108">
        <f>ROUND(G108*Premissas!$C$5/10000,0)</f>
        <v/>
      </c>
      <c r="K108">
        <f>IF(IF(A108-1-Premissas!$C$16&gt;=0,OFFSET($A$4,A108-1-Premissas!$C$16,0)&gt;=Premissas!$C$19,FALSE),ROUND(IF(A108-1-Premissas!$C$16&gt;=0,OFFSET($J$4,A108-1-Premissas!$C$16,0),0)*Premissas!$C$15,0),0)</f>
        <v/>
      </c>
      <c r="L108">
        <f>ROUND(C108*Premissas!$C$24/12,0)</f>
        <v/>
      </c>
      <c r="M108">
        <f>ROUND(D108*Premissas!$C$25,0)</f>
        <v/>
      </c>
      <c r="N108">
        <f>ROUND(E108*Premissas!$C$29+B108*Premissas!$C$30,0)</f>
        <v/>
      </c>
      <c r="O108">
        <f>K108+L108+M108+N108</f>
        <v/>
      </c>
      <c r="P108">
        <f>K108+ROUND(AC108*Premissas!$C$24,0)+M108+N108</f>
        <v/>
      </c>
      <c r="Q108">
        <f>ROUND(IF(A108-1-Premissas!$C$21&gt;=0,OFFSET($P$4,A108-1-Premissas!$C$21,0),0)*(1-Premissas!$C$20/100),0)</f>
        <v/>
      </c>
      <c r="R108">
        <f>ROUND(F108*Premissas!$C$11+N108*Premissas!$C$31/100,0)+ROUND((E108+B108)*Premissas!$C$10,0)+ROUND(Q108*Premissas!$C$8/100,0)+ROUND(Premissas!$C$35+(B108+C108)*Premissas!$C$36,0)</f>
        <v/>
      </c>
      <c r="S108">
        <f>O108-R108</f>
        <v/>
      </c>
      <c r="T108">
        <f>ROUND(O108*Premissas!$C$9/100,0)</f>
        <v/>
      </c>
      <c r="U108">
        <f>ROUND(AB108*Premissas!$C$33,0)</f>
        <v/>
      </c>
      <c r="V108">
        <f>Premissas!$C$37+ROUND(Premissas!$C$12*Premissas!$C$38+D108*Premissas!$C$27,0)</f>
        <v/>
      </c>
      <c r="W108">
        <f>Premissas!$C$39</f>
        <v/>
      </c>
      <c r="X108">
        <f>S108-T108-ROUND(Premissas!$C$12*Premissas!$C$38+D108*Premissas!$C$27,0)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Premissas!$C$32+(B108+C108)/Premissas!$C$34</f>
        <v/>
      </c>
      <c r="AC108">
        <f>D108+AC96*(1-Premissas!$C$26/12)^12</f>
        <v/>
      </c>
    </row>
    <row r="109">
      <c r="A109" t="n">
        <v>106</v>
      </c>
      <c r="B109">
        <f>B108*(1-Premissas!$C$18/12)+Premissas!$C$12</f>
        <v/>
      </c>
      <c r="C109">
        <f>IF($B$2=1,C108*(1-Premissas!$C$26/12)+D109,0)</f>
        <v/>
      </c>
      <c r="D109">
        <f>IF(AND($B$2=1,A109&gt;=Premissas!$C$23),Premissas!$C$22,0)</f>
        <v/>
      </c>
      <c r="E109">
        <f>B109*Premissas!$C$28</f>
        <v/>
      </c>
      <c r="F109">
        <f>B109*Premissas!$C$13/12*MIN(1,A109/Premissas!$C$17)</f>
        <v/>
      </c>
      <c r="G109">
        <f>F109*Premissas!$C$14</f>
        <v/>
      </c>
      <c r="H109">
        <f>IF(IF(A109-1-Premissas!$C$16&gt;=0,OFFSET($J$4,A109-1-Premissas!$C$16,0),0)&gt;0,ROUND(IF(A109-1-Premissas!$C$16&gt;=0,OFFSET($J$4,A109-1-Premissas!$C$16,0),0)*10000/Premissas!$C$5*Premissas!$C$15,0),0)</f>
        <v/>
      </c>
      <c r="I109">
        <f>ROUND(G109*Premissas!$C$6/10000,0)</f>
        <v/>
      </c>
      <c r="J109">
        <f>ROUND(G109*Premissas!$C$5/10000,0)</f>
        <v/>
      </c>
      <c r="K109">
        <f>IF(IF(A109-1-Premissas!$C$16&gt;=0,OFFSET($A$4,A109-1-Premissas!$C$16,0)&gt;=Premissas!$C$19,FALSE),ROUND(IF(A109-1-Premissas!$C$16&gt;=0,OFFSET($J$4,A109-1-Premissas!$C$16,0),0)*Premissas!$C$15,0),0)</f>
        <v/>
      </c>
      <c r="L109">
        <f>ROUND(C109*Premissas!$C$24/12,0)</f>
        <v/>
      </c>
      <c r="M109">
        <f>ROUND(D109*Premissas!$C$25,0)</f>
        <v/>
      </c>
      <c r="N109">
        <f>ROUND(E109*Premissas!$C$29+B109*Premissas!$C$30,0)</f>
        <v/>
      </c>
      <c r="O109">
        <f>K109+L109+M109+N109</f>
        <v/>
      </c>
      <c r="P109">
        <f>K109+ROUND(AC109*Premissas!$C$24,0)+M109+N109</f>
        <v/>
      </c>
      <c r="Q109">
        <f>ROUND(IF(A109-1-Premissas!$C$21&gt;=0,OFFSET($P$4,A109-1-Premissas!$C$21,0),0)*(1-Premissas!$C$20/100),0)</f>
        <v/>
      </c>
      <c r="R109">
        <f>ROUND(F109*Premissas!$C$11+N109*Premissas!$C$31/100,0)+ROUND((E109+B109)*Premissas!$C$10,0)+ROUND(Q109*Premissas!$C$8/100,0)+ROUND(Premissas!$C$35+(B109+C109)*Premissas!$C$36,0)</f>
        <v/>
      </c>
      <c r="S109">
        <f>O109-R109</f>
        <v/>
      </c>
      <c r="T109">
        <f>ROUND(O109*Premissas!$C$9/100,0)</f>
        <v/>
      </c>
      <c r="U109">
        <f>ROUND(AB109*Premissas!$C$33,0)</f>
        <v/>
      </c>
      <c r="V109">
        <f>Premissas!$C$37+ROUND(Premissas!$C$12*Premissas!$C$38+D109*Premissas!$C$27,0)</f>
        <v/>
      </c>
      <c r="W109">
        <f>Premissas!$C$39</f>
        <v/>
      </c>
      <c r="X109">
        <f>S109-T109-ROUND(Premissas!$C$12*Premissas!$C$38+D109*Premissas!$C$27,0)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Premissas!$C$32+(B109+C109)/Premissas!$C$34</f>
        <v/>
      </c>
      <c r="AC109">
        <f>D109+AC97*(1-Premissas!$C$26/12)^12</f>
        <v/>
      </c>
    </row>
    <row r="110">
      <c r="A110" t="n">
        <v>107</v>
      </c>
      <c r="B110">
        <f>B109*(1-Premissas!$C$18/12)+Premissas!$C$12</f>
        <v/>
      </c>
      <c r="C110">
        <f>IF($B$2=1,C109*(1-Premissas!$C$26/12)+D110,0)</f>
        <v/>
      </c>
      <c r="D110">
        <f>IF(AND($B$2=1,A110&gt;=Premissas!$C$23),Premissas!$C$22,0)</f>
        <v/>
      </c>
      <c r="E110">
        <f>B110*Premissas!$C$28</f>
        <v/>
      </c>
      <c r="F110">
        <f>B110*Premissas!$C$13/12*MIN(1,A110/Premissas!$C$17)</f>
        <v/>
      </c>
      <c r="G110">
        <f>F110*Premissas!$C$14</f>
        <v/>
      </c>
      <c r="H110">
        <f>IF(IF(A110-1-Premissas!$C$16&gt;=0,OFFSET($J$4,A110-1-Premissas!$C$16,0),0)&gt;0,ROUND(IF(A110-1-Premissas!$C$16&gt;=0,OFFSET($J$4,A110-1-Premissas!$C$16,0),0)*10000/Premissas!$C$5*Premissas!$C$15,0),0)</f>
        <v/>
      </c>
      <c r="I110">
        <f>ROUND(G110*Premissas!$C$6/10000,0)</f>
        <v/>
      </c>
      <c r="J110">
        <f>ROUND(G110*Premissas!$C$5/10000,0)</f>
        <v/>
      </c>
      <c r="K110">
        <f>IF(IF(A110-1-Premissas!$C$16&gt;=0,OFFSET($A$4,A110-1-Premissas!$C$16,0)&gt;=Premissas!$C$19,FALSE),ROUND(IF(A110-1-Premissas!$C$16&gt;=0,OFFSET($J$4,A110-1-Premissas!$C$16,0),0)*Premissas!$C$15,0),0)</f>
        <v/>
      </c>
      <c r="L110">
        <f>ROUND(C110*Premissas!$C$24/12,0)</f>
        <v/>
      </c>
      <c r="M110">
        <f>ROUND(D110*Premissas!$C$25,0)</f>
        <v/>
      </c>
      <c r="N110">
        <f>ROUND(E110*Premissas!$C$29+B110*Premissas!$C$30,0)</f>
        <v/>
      </c>
      <c r="O110">
        <f>K110+L110+M110+N110</f>
        <v/>
      </c>
      <c r="P110">
        <f>K110+ROUND(AC110*Premissas!$C$24,0)+M110+N110</f>
        <v/>
      </c>
      <c r="Q110">
        <f>ROUND(IF(A110-1-Premissas!$C$21&gt;=0,OFFSET($P$4,A110-1-Premissas!$C$21,0),0)*(1-Premissas!$C$20/100),0)</f>
        <v/>
      </c>
      <c r="R110">
        <f>ROUND(F110*Premissas!$C$11+N110*Premissas!$C$31/100,0)+ROUND((E110+B110)*Premissas!$C$10,0)+ROUND(Q110*Premissas!$C$8/100,0)+ROUND(Premissas!$C$35+(B110+C110)*Premissas!$C$36,0)</f>
        <v/>
      </c>
      <c r="S110">
        <f>O110-R110</f>
        <v/>
      </c>
      <c r="T110">
        <f>ROUND(O110*Premissas!$C$9/100,0)</f>
        <v/>
      </c>
      <c r="U110">
        <f>ROUND(AB110*Premissas!$C$33,0)</f>
        <v/>
      </c>
      <c r="V110">
        <f>Premissas!$C$37+ROUND(Premissas!$C$12*Premissas!$C$38+D110*Premissas!$C$27,0)</f>
        <v/>
      </c>
      <c r="W110">
        <f>Premissas!$C$39</f>
        <v/>
      </c>
      <c r="X110">
        <f>S110-T110-ROUND(Premissas!$C$12*Premissas!$C$38+D110*Premissas!$C$27,0)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Premissas!$C$32+(B110+C110)/Premissas!$C$34</f>
        <v/>
      </c>
      <c r="AC110">
        <f>D110+AC98*(1-Premissas!$C$26/12)^12</f>
        <v/>
      </c>
    </row>
    <row r="111">
      <c r="A111" t="n">
        <v>108</v>
      </c>
      <c r="B111">
        <f>B110*(1-Premissas!$C$18/12)+Premissas!$C$12</f>
        <v/>
      </c>
      <c r="C111">
        <f>IF($B$2=1,C110*(1-Premissas!$C$26/12)+D111,0)</f>
        <v/>
      </c>
      <c r="D111">
        <f>IF(AND($B$2=1,A111&gt;=Premissas!$C$23),Premissas!$C$22,0)</f>
        <v/>
      </c>
      <c r="E111">
        <f>B111*Premissas!$C$28</f>
        <v/>
      </c>
      <c r="F111">
        <f>B111*Premissas!$C$13/12*MIN(1,A111/Premissas!$C$17)</f>
        <v/>
      </c>
      <c r="G111">
        <f>F111*Premissas!$C$14</f>
        <v/>
      </c>
      <c r="H111">
        <f>IF(IF(A111-1-Premissas!$C$16&gt;=0,OFFSET($J$4,A111-1-Premissas!$C$16,0),0)&gt;0,ROUND(IF(A111-1-Premissas!$C$16&gt;=0,OFFSET($J$4,A111-1-Premissas!$C$16,0),0)*10000/Premissas!$C$5*Premissas!$C$15,0),0)</f>
        <v/>
      </c>
      <c r="I111">
        <f>ROUND(G111*Premissas!$C$6/10000,0)</f>
        <v/>
      </c>
      <c r="J111">
        <f>ROUND(G111*Premissas!$C$5/10000,0)</f>
        <v/>
      </c>
      <c r="K111">
        <f>IF(IF(A111-1-Premissas!$C$16&gt;=0,OFFSET($A$4,A111-1-Premissas!$C$16,0)&gt;=Premissas!$C$19,FALSE),ROUND(IF(A111-1-Premissas!$C$16&gt;=0,OFFSET($J$4,A111-1-Premissas!$C$16,0),0)*Premissas!$C$15,0),0)</f>
        <v/>
      </c>
      <c r="L111">
        <f>ROUND(C111*Premissas!$C$24/12,0)</f>
        <v/>
      </c>
      <c r="M111">
        <f>ROUND(D111*Premissas!$C$25,0)</f>
        <v/>
      </c>
      <c r="N111">
        <f>ROUND(E111*Premissas!$C$29+B111*Premissas!$C$30,0)</f>
        <v/>
      </c>
      <c r="O111">
        <f>K111+L111+M111+N111</f>
        <v/>
      </c>
      <c r="P111">
        <f>K111+ROUND(AC111*Premissas!$C$24,0)+M111+N111</f>
        <v/>
      </c>
      <c r="Q111">
        <f>ROUND(IF(A111-1-Premissas!$C$21&gt;=0,OFFSET($P$4,A111-1-Premissas!$C$21,0),0)*(1-Premissas!$C$20/100),0)</f>
        <v/>
      </c>
      <c r="R111">
        <f>ROUND(F111*Premissas!$C$11+N111*Premissas!$C$31/100,0)+ROUND((E111+B111)*Premissas!$C$10,0)+ROUND(Q111*Premissas!$C$8/100,0)+ROUND(Premissas!$C$35+(B111+C111)*Premissas!$C$36,0)</f>
        <v/>
      </c>
      <c r="S111">
        <f>O111-R111</f>
        <v/>
      </c>
      <c r="T111">
        <f>ROUND(O111*Premissas!$C$9/100,0)</f>
        <v/>
      </c>
      <c r="U111">
        <f>ROUND(AB111*Premissas!$C$33,0)</f>
        <v/>
      </c>
      <c r="V111">
        <f>Premissas!$C$37+ROUND(Premissas!$C$12*Premissas!$C$38+D111*Premissas!$C$27,0)</f>
        <v/>
      </c>
      <c r="W111">
        <f>Premissas!$C$39</f>
        <v/>
      </c>
      <c r="X111">
        <f>S111-T111-ROUND(Premissas!$C$12*Premissas!$C$38+D111*Premissas!$C$27,0)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Premissas!$C$32+(B111+C111)/Premissas!$C$34</f>
        <v/>
      </c>
      <c r="AC111">
        <f>D111+AC99*(1-Premissas!$C$26/12)^12</f>
        <v/>
      </c>
    </row>
    <row r="112">
      <c r="A112" t="n">
        <v>109</v>
      </c>
      <c r="B112">
        <f>B111*(1-Premissas!$C$18/12)+Premissas!$C$12</f>
        <v/>
      </c>
      <c r="C112">
        <f>IF($B$2=1,C111*(1-Premissas!$C$26/12)+D112,0)</f>
        <v/>
      </c>
      <c r="D112">
        <f>IF(AND($B$2=1,A112&gt;=Premissas!$C$23),Premissas!$C$22,0)</f>
        <v/>
      </c>
      <c r="E112">
        <f>B112*Premissas!$C$28</f>
        <v/>
      </c>
      <c r="F112">
        <f>B112*Premissas!$C$13/12*MIN(1,A112/Premissas!$C$17)</f>
        <v/>
      </c>
      <c r="G112">
        <f>F112*Premissas!$C$14</f>
        <v/>
      </c>
      <c r="H112">
        <f>IF(IF(A112-1-Premissas!$C$16&gt;=0,OFFSET($J$4,A112-1-Premissas!$C$16,0),0)&gt;0,ROUND(IF(A112-1-Premissas!$C$16&gt;=0,OFFSET($J$4,A112-1-Premissas!$C$16,0),0)*10000/Premissas!$C$5*Premissas!$C$15,0),0)</f>
        <v/>
      </c>
      <c r="I112">
        <f>ROUND(G112*Premissas!$C$6/10000,0)</f>
        <v/>
      </c>
      <c r="J112">
        <f>ROUND(G112*Premissas!$C$5/10000,0)</f>
        <v/>
      </c>
      <c r="K112">
        <f>IF(IF(A112-1-Premissas!$C$16&gt;=0,OFFSET($A$4,A112-1-Premissas!$C$16,0)&gt;=Premissas!$C$19,FALSE),ROUND(IF(A112-1-Premissas!$C$16&gt;=0,OFFSET($J$4,A112-1-Premissas!$C$16,0),0)*Premissas!$C$15,0),0)</f>
        <v/>
      </c>
      <c r="L112">
        <f>ROUND(C112*Premissas!$C$24/12,0)</f>
        <v/>
      </c>
      <c r="M112">
        <f>ROUND(D112*Premissas!$C$25,0)</f>
        <v/>
      </c>
      <c r="N112">
        <f>ROUND(E112*Premissas!$C$29+B112*Premissas!$C$30,0)</f>
        <v/>
      </c>
      <c r="O112">
        <f>K112+L112+M112+N112</f>
        <v/>
      </c>
      <c r="P112">
        <f>K112+ROUND(AC112*Premissas!$C$24,0)+M112+N112</f>
        <v/>
      </c>
      <c r="Q112">
        <f>ROUND(IF(A112-1-Premissas!$C$21&gt;=0,OFFSET($P$4,A112-1-Premissas!$C$21,0),0)*(1-Premissas!$C$20/100),0)</f>
        <v/>
      </c>
      <c r="R112">
        <f>ROUND(F112*Premissas!$C$11+N112*Premissas!$C$31/100,0)+ROUND((E112+B112)*Premissas!$C$10,0)+ROUND(Q112*Premissas!$C$8/100,0)+ROUND(Premissas!$C$35+(B112+C112)*Premissas!$C$36,0)</f>
        <v/>
      </c>
      <c r="S112">
        <f>O112-R112</f>
        <v/>
      </c>
      <c r="T112">
        <f>ROUND(O112*Premissas!$C$9/100,0)</f>
        <v/>
      </c>
      <c r="U112">
        <f>ROUND(AB112*Premissas!$C$33,0)</f>
        <v/>
      </c>
      <c r="V112">
        <f>Premissas!$C$37+ROUND(Premissas!$C$12*Premissas!$C$38+D112*Premissas!$C$27,0)</f>
        <v/>
      </c>
      <c r="W112">
        <f>Premissas!$C$39</f>
        <v/>
      </c>
      <c r="X112">
        <f>S112-T112-ROUND(Premissas!$C$12*Premissas!$C$38+D112*Premissas!$C$27,0)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Premissas!$C$32+(B112+C112)/Premissas!$C$34</f>
        <v/>
      </c>
      <c r="AC112">
        <f>D112+AC100*(1-Premissas!$C$26/12)^12</f>
        <v/>
      </c>
    </row>
    <row r="113">
      <c r="A113" t="n">
        <v>110</v>
      </c>
      <c r="B113">
        <f>B112*(1-Premissas!$C$18/12)+Premissas!$C$12</f>
        <v/>
      </c>
      <c r="C113">
        <f>IF($B$2=1,C112*(1-Premissas!$C$26/12)+D113,0)</f>
        <v/>
      </c>
      <c r="D113">
        <f>IF(AND($B$2=1,A113&gt;=Premissas!$C$23),Premissas!$C$22,0)</f>
        <v/>
      </c>
      <c r="E113">
        <f>B113*Premissas!$C$28</f>
        <v/>
      </c>
      <c r="F113">
        <f>B113*Premissas!$C$13/12*MIN(1,A113/Premissas!$C$17)</f>
        <v/>
      </c>
      <c r="G113">
        <f>F113*Premissas!$C$14</f>
        <v/>
      </c>
      <c r="H113">
        <f>IF(IF(A113-1-Premissas!$C$16&gt;=0,OFFSET($J$4,A113-1-Premissas!$C$16,0),0)&gt;0,ROUND(IF(A113-1-Premissas!$C$16&gt;=0,OFFSET($J$4,A113-1-Premissas!$C$16,0),0)*10000/Premissas!$C$5*Premissas!$C$15,0),0)</f>
        <v/>
      </c>
      <c r="I113">
        <f>ROUND(G113*Premissas!$C$6/10000,0)</f>
        <v/>
      </c>
      <c r="J113">
        <f>ROUND(G113*Premissas!$C$5/10000,0)</f>
        <v/>
      </c>
      <c r="K113">
        <f>IF(IF(A113-1-Premissas!$C$16&gt;=0,OFFSET($A$4,A113-1-Premissas!$C$16,0)&gt;=Premissas!$C$19,FALSE),ROUND(IF(A113-1-Premissas!$C$16&gt;=0,OFFSET($J$4,A113-1-Premissas!$C$16,0),0)*Premissas!$C$15,0),0)</f>
        <v/>
      </c>
      <c r="L113">
        <f>ROUND(C113*Premissas!$C$24/12,0)</f>
        <v/>
      </c>
      <c r="M113">
        <f>ROUND(D113*Premissas!$C$25,0)</f>
        <v/>
      </c>
      <c r="N113">
        <f>ROUND(E113*Premissas!$C$29+B113*Premissas!$C$30,0)</f>
        <v/>
      </c>
      <c r="O113">
        <f>K113+L113+M113+N113</f>
        <v/>
      </c>
      <c r="P113">
        <f>K113+ROUND(AC113*Premissas!$C$24,0)+M113+N113</f>
        <v/>
      </c>
      <c r="Q113">
        <f>ROUND(IF(A113-1-Premissas!$C$21&gt;=0,OFFSET($P$4,A113-1-Premissas!$C$21,0),0)*(1-Premissas!$C$20/100),0)</f>
        <v/>
      </c>
      <c r="R113">
        <f>ROUND(F113*Premissas!$C$11+N113*Premissas!$C$31/100,0)+ROUND((E113+B113)*Premissas!$C$10,0)+ROUND(Q113*Premissas!$C$8/100,0)+ROUND(Premissas!$C$35+(B113+C113)*Premissas!$C$36,0)</f>
        <v/>
      </c>
      <c r="S113">
        <f>O113-R113</f>
        <v/>
      </c>
      <c r="T113">
        <f>ROUND(O113*Premissas!$C$9/100,0)</f>
        <v/>
      </c>
      <c r="U113">
        <f>ROUND(AB113*Premissas!$C$33,0)</f>
        <v/>
      </c>
      <c r="V113">
        <f>Premissas!$C$37+ROUND(Premissas!$C$12*Premissas!$C$38+D113*Premissas!$C$27,0)</f>
        <v/>
      </c>
      <c r="W113">
        <f>Premissas!$C$39</f>
        <v/>
      </c>
      <c r="X113">
        <f>S113-T113-ROUND(Premissas!$C$12*Premissas!$C$38+D113*Premissas!$C$27,0)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Premissas!$C$32+(B113+C113)/Premissas!$C$34</f>
        <v/>
      </c>
      <c r="AC113">
        <f>D113+AC101*(1-Premissas!$C$26/12)^12</f>
        <v/>
      </c>
    </row>
    <row r="114">
      <c r="A114" t="n">
        <v>111</v>
      </c>
      <c r="B114">
        <f>B113*(1-Premissas!$C$18/12)+Premissas!$C$12</f>
        <v/>
      </c>
      <c r="C114">
        <f>IF($B$2=1,C113*(1-Premissas!$C$26/12)+D114,0)</f>
        <v/>
      </c>
      <c r="D114">
        <f>IF(AND($B$2=1,A114&gt;=Premissas!$C$23),Premissas!$C$22,0)</f>
        <v/>
      </c>
      <c r="E114">
        <f>B114*Premissas!$C$28</f>
        <v/>
      </c>
      <c r="F114">
        <f>B114*Premissas!$C$13/12*MIN(1,A114/Premissas!$C$17)</f>
        <v/>
      </c>
      <c r="G114">
        <f>F114*Premissas!$C$14</f>
        <v/>
      </c>
      <c r="H114">
        <f>IF(IF(A114-1-Premissas!$C$16&gt;=0,OFFSET($J$4,A114-1-Premissas!$C$16,0),0)&gt;0,ROUND(IF(A114-1-Premissas!$C$16&gt;=0,OFFSET($J$4,A114-1-Premissas!$C$16,0),0)*10000/Premissas!$C$5*Premissas!$C$15,0),0)</f>
        <v/>
      </c>
      <c r="I114">
        <f>ROUND(G114*Premissas!$C$6/10000,0)</f>
        <v/>
      </c>
      <c r="J114">
        <f>ROUND(G114*Premissas!$C$5/10000,0)</f>
        <v/>
      </c>
      <c r="K114">
        <f>IF(IF(A114-1-Premissas!$C$16&gt;=0,OFFSET($A$4,A114-1-Premissas!$C$16,0)&gt;=Premissas!$C$19,FALSE),ROUND(IF(A114-1-Premissas!$C$16&gt;=0,OFFSET($J$4,A114-1-Premissas!$C$16,0),0)*Premissas!$C$15,0),0)</f>
        <v/>
      </c>
      <c r="L114">
        <f>ROUND(C114*Premissas!$C$24/12,0)</f>
        <v/>
      </c>
      <c r="M114">
        <f>ROUND(D114*Premissas!$C$25,0)</f>
        <v/>
      </c>
      <c r="N114">
        <f>ROUND(E114*Premissas!$C$29+B114*Premissas!$C$30,0)</f>
        <v/>
      </c>
      <c r="O114">
        <f>K114+L114+M114+N114</f>
        <v/>
      </c>
      <c r="P114">
        <f>K114+ROUND(AC114*Premissas!$C$24,0)+M114+N114</f>
        <v/>
      </c>
      <c r="Q114">
        <f>ROUND(IF(A114-1-Premissas!$C$21&gt;=0,OFFSET($P$4,A114-1-Premissas!$C$21,0),0)*(1-Premissas!$C$20/100),0)</f>
        <v/>
      </c>
      <c r="R114">
        <f>ROUND(F114*Premissas!$C$11+N114*Premissas!$C$31/100,0)+ROUND((E114+B114)*Premissas!$C$10,0)+ROUND(Q114*Premissas!$C$8/100,0)+ROUND(Premissas!$C$35+(B114+C114)*Premissas!$C$36,0)</f>
        <v/>
      </c>
      <c r="S114">
        <f>O114-R114</f>
        <v/>
      </c>
      <c r="T114">
        <f>ROUND(O114*Premissas!$C$9/100,0)</f>
        <v/>
      </c>
      <c r="U114">
        <f>ROUND(AB114*Premissas!$C$33,0)</f>
        <v/>
      </c>
      <c r="V114">
        <f>Premissas!$C$37+ROUND(Premissas!$C$12*Premissas!$C$38+D114*Premissas!$C$27,0)</f>
        <v/>
      </c>
      <c r="W114">
        <f>Premissas!$C$39</f>
        <v/>
      </c>
      <c r="X114">
        <f>S114-T114-ROUND(Premissas!$C$12*Premissas!$C$38+D114*Premissas!$C$27,0)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Premissas!$C$32+(B114+C114)/Premissas!$C$34</f>
        <v/>
      </c>
      <c r="AC114">
        <f>D114+AC102*(1-Premissas!$C$26/12)^12</f>
        <v/>
      </c>
    </row>
    <row r="115">
      <c r="A115" t="n">
        <v>112</v>
      </c>
      <c r="B115">
        <f>B114*(1-Premissas!$C$18/12)+Premissas!$C$12</f>
        <v/>
      </c>
      <c r="C115">
        <f>IF($B$2=1,C114*(1-Premissas!$C$26/12)+D115,0)</f>
        <v/>
      </c>
      <c r="D115">
        <f>IF(AND($B$2=1,A115&gt;=Premissas!$C$23),Premissas!$C$22,0)</f>
        <v/>
      </c>
      <c r="E115">
        <f>B115*Premissas!$C$28</f>
        <v/>
      </c>
      <c r="F115">
        <f>B115*Premissas!$C$13/12*MIN(1,A115/Premissas!$C$17)</f>
        <v/>
      </c>
      <c r="G115">
        <f>F115*Premissas!$C$14</f>
        <v/>
      </c>
      <c r="H115">
        <f>IF(IF(A115-1-Premissas!$C$16&gt;=0,OFFSET($J$4,A115-1-Premissas!$C$16,0),0)&gt;0,ROUND(IF(A115-1-Premissas!$C$16&gt;=0,OFFSET($J$4,A115-1-Premissas!$C$16,0),0)*10000/Premissas!$C$5*Premissas!$C$15,0),0)</f>
        <v/>
      </c>
      <c r="I115">
        <f>ROUND(G115*Premissas!$C$6/10000,0)</f>
        <v/>
      </c>
      <c r="J115">
        <f>ROUND(G115*Premissas!$C$5/10000,0)</f>
        <v/>
      </c>
      <c r="K115">
        <f>IF(IF(A115-1-Premissas!$C$16&gt;=0,OFFSET($A$4,A115-1-Premissas!$C$16,0)&gt;=Premissas!$C$19,FALSE),ROUND(IF(A115-1-Premissas!$C$16&gt;=0,OFFSET($J$4,A115-1-Premissas!$C$16,0),0)*Premissas!$C$15,0),0)</f>
        <v/>
      </c>
      <c r="L115">
        <f>ROUND(C115*Premissas!$C$24/12,0)</f>
        <v/>
      </c>
      <c r="M115">
        <f>ROUND(D115*Premissas!$C$25,0)</f>
        <v/>
      </c>
      <c r="N115">
        <f>ROUND(E115*Premissas!$C$29+B115*Premissas!$C$30,0)</f>
        <v/>
      </c>
      <c r="O115">
        <f>K115+L115+M115+N115</f>
        <v/>
      </c>
      <c r="P115">
        <f>K115+ROUND(AC115*Premissas!$C$24,0)+M115+N115</f>
        <v/>
      </c>
      <c r="Q115">
        <f>ROUND(IF(A115-1-Premissas!$C$21&gt;=0,OFFSET($P$4,A115-1-Premissas!$C$21,0),0)*(1-Premissas!$C$20/100),0)</f>
        <v/>
      </c>
      <c r="R115">
        <f>ROUND(F115*Premissas!$C$11+N115*Premissas!$C$31/100,0)+ROUND((E115+B115)*Premissas!$C$10,0)+ROUND(Q115*Premissas!$C$8/100,0)+ROUND(Premissas!$C$35+(B115+C115)*Premissas!$C$36,0)</f>
        <v/>
      </c>
      <c r="S115">
        <f>O115-R115</f>
        <v/>
      </c>
      <c r="T115">
        <f>ROUND(O115*Premissas!$C$9/100,0)</f>
        <v/>
      </c>
      <c r="U115">
        <f>ROUND(AB115*Premissas!$C$33,0)</f>
        <v/>
      </c>
      <c r="V115">
        <f>Premissas!$C$37+ROUND(Premissas!$C$12*Premissas!$C$38+D115*Premissas!$C$27,0)</f>
        <v/>
      </c>
      <c r="W115">
        <f>Premissas!$C$39</f>
        <v/>
      </c>
      <c r="X115">
        <f>S115-T115-ROUND(Premissas!$C$12*Premissas!$C$38+D115*Premissas!$C$27,0)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Premissas!$C$32+(B115+C115)/Premissas!$C$34</f>
        <v/>
      </c>
      <c r="AC115">
        <f>D115+AC103*(1-Premissas!$C$26/12)^12</f>
        <v/>
      </c>
    </row>
    <row r="116">
      <c r="A116" t="n">
        <v>113</v>
      </c>
      <c r="B116">
        <f>B115*(1-Premissas!$C$18/12)+Premissas!$C$12</f>
        <v/>
      </c>
      <c r="C116">
        <f>IF($B$2=1,C115*(1-Premissas!$C$26/12)+D116,0)</f>
        <v/>
      </c>
      <c r="D116">
        <f>IF(AND($B$2=1,A116&gt;=Premissas!$C$23),Premissas!$C$22,0)</f>
        <v/>
      </c>
      <c r="E116">
        <f>B116*Premissas!$C$28</f>
        <v/>
      </c>
      <c r="F116">
        <f>B116*Premissas!$C$13/12*MIN(1,A116/Premissas!$C$17)</f>
        <v/>
      </c>
      <c r="G116">
        <f>F116*Premissas!$C$14</f>
        <v/>
      </c>
      <c r="H116">
        <f>IF(IF(A116-1-Premissas!$C$16&gt;=0,OFFSET($J$4,A116-1-Premissas!$C$16,0),0)&gt;0,ROUND(IF(A116-1-Premissas!$C$16&gt;=0,OFFSET($J$4,A116-1-Premissas!$C$16,0),0)*10000/Premissas!$C$5*Premissas!$C$15,0),0)</f>
        <v/>
      </c>
      <c r="I116">
        <f>ROUND(G116*Premissas!$C$6/10000,0)</f>
        <v/>
      </c>
      <c r="J116">
        <f>ROUND(G116*Premissas!$C$5/10000,0)</f>
        <v/>
      </c>
      <c r="K116">
        <f>IF(IF(A116-1-Premissas!$C$16&gt;=0,OFFSET($A$4,A116-1-Premissas!$C$16,0)&gt;=Premissas!$C$19,FALSE),ROUND(IF(A116-1-Premissas!$C$16&gt;=0,OFFSET($J$4,A116-1-Premissas!$C$16,0),0)*Premissas!$C$15,0),0)</f>
        <v/>
      </c>
      <c r="L116">
        <f>ROUND(C116*Premissas!$C$24/12,0)</f>
        <v/>
      </c>
      <c r="M116">
        <f>ROUND(D116*Premissas!$C$25,0)</f>
        <v/>
      </c>
      <c r="N116">
        <f>ROUND(E116*Premissas!$C$29+B116*Premissas!$C$30,0)</f>
        <v/>
      </c>
      <c r="O116">
        <f>K116+L116+M116+N116</f>
        <v/>
      </c>
      <c r="P116">
        <f>K116+ROUND(AC116*Premissas!$C$24,0)+M116+N116</f>
        <v/>
      </c>
      <c r="Q116">
        <f>ROUND(IF(A116-1-Premissas!$C$21&gt;=0,OFFSET($P$4,A116-1-Premissas!$C$21,0),0)*(1-Premissas!$C$20/100),0)</f>
        <v/>
      </c>
      <c r="R116">
        <f>ROUND(F116*Premissas!$C$11+N116*Premissas!$C$31/100,0)+ROUND((E116+B116)*Premissas!$C$10,0)+ROUND(Q116*Premissas!$C$8/100,0)+ROUND(Premissas!$C$35+(B116+C116)*Premissas!$C$36,0)</f>
        <v/>
      </c>
      <c r="S116">
        <f>O116-R116</f>
        <v/>
      </c>
      <c r="T116">
        <f>ROUND(O116*Premissas!$C$9/100,0)</f>
        <v/>
      </c>
      <c r="U116">
        <f>ROUND(AB116*Premissas!$C$33,0)</f>
        <v/>
      </c>
      <c r="V116">
        <f>Premissas!$C$37+ROUND(Premissas!$C$12*Premissas!$C$38+D116*Premissas!$C$27,0)</f>
        <v/>
      </c>
      <c r="W116">
        <f>Premissas!$C$39</f>
        <v/>
      </c>
      <c r="X116">
        <f>S116-T116-ROUND(Premissas!$C$12*Premissas!$C$38+D116*Premissas!$C$27,0)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Premissas!$C$32+(B116+C116)/Premissas!$C$34</f>
        <v/>
      </c>
      <c r="AC116">
        <f>D116+AC104*(1-Premissas!$C$26/12)^12</f>
        <v/>
      </c>
    </row>
    <row r="117">
      <c r="A117" t="n">
        <v>114</v>
      </c>
      <c r="B117">
        <f>B116*(1-Premissas!$C$18/12)+Premissas!$C$12</f>
        <v/>
      </c>
      <c r="C117">
        <f>IF($B$2=1,C116*(1-Premissas!$C$26/12)+D117,0)</f>
        <v/>
      </c>
      <c r="D117">
        <f>IF(AND($B$2=1,A117&gt;=Premissas!$C$23),Premissas!$C$22,0)</f>
        <v/>
      </c>
      <c r="E117">
        <f>B117*Premissas!$C$28</f>
        <v/>
      </c>
      <c r="F117">
        <f>B117*Premissas!$C$13/12*MIN(1,A117/Premissas!$C$17)</f>
        <v/>
      </c>
      <c r="G117">
        <f>F117*Premissas!$C$14</f>
        <v/>
      </c>
      <c r="H117">
        <f>IF(IF(A117-1-Premissas!$C$16&gt;=0,OFFSET($J$4,A117-1-Premissas!$C$16,0),0)&gt;0,ROUND(IF(A117-1-Premissas!$C$16&gt;=0,OFFSET($J$4,A117-1-Premissas!$C$16,0),0)*10000/Premissas!$C$5*Premissas!$C$15,0),0)</f>
        <v/>
      </c>
      <c r="I117">
        <f>ROUND(G117*Premissas!$C$6/10000,0)</f>
        <v/>
      </c>
      <c r="J117">
        <f>ROUND(G117*Premissas!$C$5/10000,0)</f>
        <v/>
      </c>
      <c r="K117">
        <f>IF(IF(A117-1-Premissas!$C$16&gt;=0,OFFSET($A$4,A117-1-Premissas!$C$16,0)&gt;=Premissas!$C$19,FALSE),ROUND(IF(A117-1-Premissas!$C$16&gt;=0,OFFSET($J$4,A117-1-Premissas!$C$16,0),0)*Premissas!$C$15,0),0)</f>
        <v/>
      </c>
      <c r="L117">
        <f>ROUND(C117*Premissas!$C$24/12,0)</f>
        <v/>
      </c>
      <c r="M117">
        <f>ROUND(D117*Premissas!$C$25,0)</f>
        <v/>
      </c>
      <c r="N117">
        <f>ROUND(E117*Premissas!$C$29+B117*Premissas!$C$30,0)</f>
        <v/>
      </c>
      <c r="O117">
        <f>K117+L117+M117+N117</f>
        <v/>
      </c>
      <c r="P117">
        <f>K117+ROUND(AC117*Premissas!$C$24,0)+M117+N117</f>
        <v/>
      </c>
      <c r="Q117">
        <f>ROUND(IF(A117-1-Premissas!$C$21&gt;=0,OFFSET($P$4,A117-1-Premissas!$C$21,0),0)*(1-Premissas!$C$20/100),0)</f>
        <v/>
      </c>
      <c r="R117">
        <f>ROUND(F117*Premissas!$C$11+N117*Premissas!$C$31/100,0)+ROUND((E117+B117)*Premissas!$C$10,0)+ROUND(Q117*Premissas!$C$8/100,0)+ROUND(Premissas!$C$35+(B117+C117)*Premissas!$C$36,0)</f>
        <v/>
      </c>
      <c r="S117">
        <f>O117-R117</f>
        <v/>
      </c>
      <c r="T117">
        <f>ROUND(O117*Premissas!$C$9/100,0)</f>
        <v/>
      </c>
      <c r="U117">
        <f>ROUND(AB117*Premissas!$C$33,0)</f>
        <v/>
      </c>
      <c r="V117">
        <f>Premissas!$C$37+ROUND(Premissas!$C$12*Premissas!$C$38+D117*Premissas!$C$27,0)</f>
        <v/>
      </c>
      <c r="W117">
        <f>Premissas!$C$39</f>
        <v/>
      </c>
      <c r="X117">
        <f>S117-T117-ROUND(Premissas!$C$12*Premissas!$C$38+D117*Premissas!$C$27,0)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Premissas!$C$32+(B117+C117)/Premissas!$C$34</f>
        <v/>
      </c>
      <c r="AC117">
        <f>D117+AC105*(1-Premissas!$C$26/12)^12</f>
        <v/>
      </c>
    </row>
    <row r="118">
      <c r="A118" t="n">
        <v>115</v>
      </c>
      <c r="B118">
        <f>B117*(1-Premissas!$C$18/12)+Premissas!$C$12</f>
        <v/>
      </c>
      <c r="C118">
        <f>IF($B$2=1,C117*(1-Premissas!$C$26/12)+D118,0)</f>
        <v/>
      </c>
      <c r="D118">
        <f>IF(AND($B$2=1,A118&gt;=Premissas!$C$23),Premissas!$C$22,0)</f>
        <v/>
      </c>
      <c r="E118">
        <f>B118*Premissas!$C$28</f>
        <v/>
      </c>
      <c r="F118">
        <f>B118*Premissas!$C$13/12*MIN(1,A118/Premissas!$C$17)</f>
        <v/>
      </c>
      <c r="G118">
        <f>F118*Premissas!$C$14</f>
        <v/>
      </c>
      <c r="H118">
        <f>IF(IF(A118-1-Premissas!$C$16&gt;=0,OFFSET($J$4,A118-1-Premissas!$C$16,0),0)&gt;0,ROUND(IF(A118-1-Premissas!$C$16&gt;=0,OFFSET($J$4,A118-1-Premissas!$C$16,0),0)*10000/Premissas!$C$5*Premissas!$C$15,0),0)</f>
        <v/>
      </c>
      <c r="I118">
        <f>ROUND(G118*Premissas!$C$6/10000,0)</f>
        <v/>
      </c>
      <c r="J118">
        <f>ROUND(G118*Premissas!$C$5/10000,0)</f>
        <v/>
      </c>
      <c r="K118">
        <f>IF(IF(A118-1-Premissas!$C$16&gt;=0,OFFSET($A$4,A118-1-Premissas!$C$16,0)&gt;=Premissas!$C$19,FALSE),ROUND(IF(A118-1-Premissas!$C$16&gt;=0,OFFSET($J$4,A118-1-Premissas!$C$16,0),0)*Premissas!$C$15,0),0)</f>
        <v/>
      </c>
      <c r="L118">
        <f>ROUND(C118*Premissas!$C$24/12,0)</f>
        <v/>
      </c>
      <c r="M118">
        <f>ROUND(D118*Premissas!$C$25,0)</f>
        <v/>
      </c>
      <c r="N118">
        <f>ROUND(E118*Premissas!$C$29+B118*Premissas!$C$30,0)</f>
        <v/>
      </c>
      <c r="O118">
        <f>K118+L118+M118+N118</f>
        <v/>
      </c>
      <c r="P118">
        <f>K118+ROUND(AC118*Premissas!$C$24,0)+M118+N118</f>
        <v/>
      </c>
      <c r="Q118">
        <f>ROUND(IF(A118-1-Premissas!$C$21&gt;=0,OFFSET($P$4,A118-1-Premissas!$C$21,0),0)*(1-Premissas!$C$20/100),0)</f>
        <v/>
      </c>
      <c r="R118">
        <f>ROUND(F118*Premissas!$C$11+N118*Premissas!$C$31/100,0)+ROUND((E118+B118)*Premissas!$C$10,0)+ROUND(Q118*Premissas!$C$8/100,0)+ROUND(Premissas!$C$35+(B118+C118)*Premissas!$C$36,0)</f>
        <v/>
      </c>
      <c r="S118">
        <f>O118-R118</f>
        <v/>
      </c>
      <c r="T118">
        <f>ROUND(O118*Premissas!$C$9/100,0)</f>
        <v/>
      </c>
      <c r="U118">
        <f>ROUND(AB118*Premissas!$C$33,0)</f>
        <v/>
      </c>
      <c r="V118">
        <f>Premissas!$C$37+ROUND(Premissas!$C$12*Premissas!$C$38+D118*Premissas!$C$27,0)</f>
        <v/>
      </c>
      <c r="W118">
        <f>Premissas!$C$39</f>
        <v/>
      </c>
      <c r="X118">
        <f>S118-T118-ROUND(Premissas!$C$12*Premissas!$C$38+D118*Premissas!$C$27,0)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Premissas!$C$32+(B118+C118)/Premissas!$C$34</f>
        <v/>
      </c>
      <c r="AC118">
        <f>D118+AC106*(1-Premissas!$C$26/12)^12</f>
        <v/>
      </c>
    </row>
    <row r="119">
      <c r="A119" t="n">
        <v>116</v>
      </c>
      <c r="B119">
        <f>B118*(1-Premissas!$C$18/12)+Premissas!$C$12</f>
        <v/>
      </c>
      <c r="C119">
        <f>IF($B$2=1,C118*(1-Premissas!$C$26/12)+D119,0)</f>
        <v/>
      </c>
      <c r="D119">
        <f>IF(AND($B$2=1,A119&gt;=Premissas!$C$23),Premissas!$C$22,0)</f>
        <v/>
      </c>
      <c r="E119">
        <f>B119*Premissas!$C$28</f>
        <v/>
      </c>
      <c r="F119">
        <f>B119*Premissas!$C$13/12*MIN(1,A119/Premissas!$C$17)</f>
        <v/>
      </c>
      <c r="G119">
        <f>F119*Premissas!$C$14</f>
        <v/>
      </c>
      <c r="H119">
        <f>IF(IF(A119-1-Premissas!$C$16&gt;=0,OFFSET($J$4,A119-1-Premissas!$C$16,0),0)&gt;0,ROUND(IF(A119-1-Premissas!$C$16&gt;=0,OFFSET($J$4,A119-1-Premissas!$C$16,0),0)*10000/Premissas!$C$5*Premissas!$C$15,0),0)</f>
        <v/>
      </c>
      <c r="I119">
        <f>ROUND(G119*Premissas!$C$6/10000,0)</f>
        <v/>
      </c>
      <c r="J119">
        <f>ROUND(G119*Premissas!$C$5/10000,0)</f>
        <v/>
      </c>
      <c r="K119">
        <f>IF(IF(A119-1-Premissas!$C$16&gt;=0,OFFSET($A$4,A119-1-Premissas!$C$16,0)&gt;=Premissas!$C$19,FALSE),ROUND(IF(A119-1-Premissas!$C$16&gt;=0,OFFSET($J$4,A119-1-Premissas!$C$16,0),0)*Premissas!$C$15,0),0)</f>
        <v/>
      </c>
      <c r="L119">
        <f>ROUND(C119*Premissas!$C$24/12,0)</f>
        <v/>
      </c>
      <c r="M119">
        <f>ROUND(D119*Premissas!$C$25,0)</f>
        <v/>
      </c>
      <c r="N119">
        <f>ROUND(E119*Premissas!$C$29+B119*Premissas!$C$30,0)</f>
        <v/>
      </c>
      <c r="O119">
        <f>K119+L119+M119+N119</f>
        <v/>
      </c>
      <c r="P119">
        <f>K119+ROUND(AC119*Premissas!$C$24,0)+M119+N119</f>
        <v/>
      </c>
      <c r="Q119">
        <f>ROUND(IF(A119-1-Premissas!$C$21&gt;=0,OFFSET($P$4,A119-1-Premissas!$C$21,0),0)*(1-Premissas!$C$20/100),0)</f>
        <v/>
      </c>
      <c r="R119">
        <f>ROUND(F119*Premissas!$C$11+N119*Premissas!$C$31/100,0)+ROUND((E119+B119)*Premissas!$C$10,0)+ROUND(Q119*Premissas!$C$8/100,0)+ROUND(Premissas!$C$35+(B119+C119)*Premissas!$C$36,0)</f>
        <v/>
      </c>
      <c r="S119">
        <f>O119-R119</f>
        <v/>
      </c>
      <c r="T119">
        <f>ROUND(O119*Premissas!$C$9/100,0)</f>
        <v/>
      </c>
      <c r="U119">
        <f>ROUND(AB119*Premissas!$C$33,0)</f>
        <v/>
      </c>
      <c r="V119">
        <f>Premissas!$C$37+ROUND(Premissas!$C$12*Premissas!$C$38+D119*Premissas!$C$27,0)</f>
        <v/>
      </c>
      <c r="W119">
        <f>Premissas!$C$39</f>
        <v/>
      </c>
      <c r="X119">
        <f>S119-T119-ROUND(Premissas!$C$12*Premissas!$C$38+D119*Premissas!$C$27,0)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Premissas!$C$32+(B119+C119)/Premissas!$C$34</f>
        <v/>
      </c>
      <c r="AC119">
        <f>D119+AC107*(1-Premissas!$C$26/12)^12</f>
        <v/>
      </c>
    </row>
    <row r="120">
      <c r="A120" t="n">
        <v>117</v>
      </c>
      <c r="B120">
        <f>B119*(1-Premissas!$C$18/12)+Premissas!$C$12</f>
        <v/>
      </c>
      <c r="C120">
        <f>IF($B$2=1,C119*(1-Premissas!$C$26/12)+D120,0)</f>
        <v/>
      </c>
      <c r="D120">
        <f>IF(AND($B$2=1,A120&gt;=Premissas!$C$23),Premissas!$C$22,0)</f>
        <v/>
      </c>
      <c r="E120">
        <f>B120*Premissas!$C$28</f>
        <v/>
      </c>
      <c r="F120">
        <f>B120*Premissas!$C$13/12*MIN(1,A120/Premissas!$C$17)</f>
        <v/>
      </c>
      <c r="G120">
        <f>F120*Premissas!$C$14</f>
        <v/>
      </c>
      <c r="H120">
        <f>IF(IF(A120-1-Premissas!$C$16&gt;=0,OFFSET($J$4,A120-1-Premissas!$C$16,0),0)&gt;0,ROUND(IF(A120-1-Premissas!$C$16&gt;=0,OFFSET($J$4,A120-1-Premissas!$C$16,0),0)*10000/Premissas!$C$5*Premissas!$C$15,0),0)</f>
        <v/>
      </c>
      <c r="I120">
        <f>ROUND(G120*Premissas!$C$6/10000,0)</f>
        <v/>
      </c>
      <c r="J120">
        <f>ROUND(G120*Premissas!$C$5/10000,0)</f>
        <v/>
      </c>
      <c r="K120">
        <f>IF(IF(A120-1-Premissas!$C$16&gt;=0,OFFSET($A$4,A120-1-Premissas!$C$16,0)&gt;=Premissas!$C$19,FALSE),ROUND(IF(A120-1-Premissas!$C$16&gt;=0,OFFSET($J$4,A120-1-Premissas!$C$16,0),0)*Premissas!$C$15,0),0)</f>
        <v/>
      </c>
      <c r="L120">
        <f>ROUND(C120*Premissas!$C$24/12,0)</f>
        <v/>
      </c>
      <c r="M120">
        <f>ROUND(D120*Premissas!$C$25,0)</f>
        <v/>
      </c>
      <c r="N120">
        <f>ROUND(E120*Premissas!$C$29+B120*Premissas!$C$30,0)</f>
        <v/>
      </c>
      <c r="O120">
        <f>K120+L120+M120+N120</f>
        <v/>
      </c>
      <c r="P120">
        <f>K120+ROUND(AC120*Premissas!$C$24,0)+M120+N120</f>
        <v/>
      </c>
      <c r="Q120">
        <f>ROUND(IF(A120-1-Premissas!$C$21&gt;=0,OFFSET($P$4,A120-1-Premissas!$C$21,0),0)*(1-Premissas!$C$20/100),0)</f>
        <v/>
      </c>
      <c r="R120">
        <f>ROUND(F120*Premissas!$C$11+N120*Premissas!$C$31/100,0)+ROUND((E120+B120)*Premissas!$C$10,0)+ROUND(Q120*Premissas!$C$8/100,0)+ROUND(Premissas!$C$35+(B120+C120)*Premissas!$C$36,0)</f>
        <v/>
      </c>
      <c r="S120">
        <f>O120-R120</f>
        <v/>
      </c>
      <c r="T120">
        <f>ROUND(O120*Premissas!$C$9/100,0)</f>
        <v/>
      </c>
      <c r="U120">
        <f>ROUND(AB120*Premissas!$C$33,0)</f>
        <v/>
      </c>
      <c r="V120">
        <f>Premissas!$C$37+ROUND(Premissas!$C$12*Premissas!$C$38+D120*Premissas!$C$27,0)</f>
        <v/>
      </c>
      <c r="W120">
        <f>Premissas!$C$39</f>
        <v/>
      </c>
      <c r="X120">
        <f>S120-T120-ROUND(Premissas!$C$12*Premissas!$C$38+D120*Premissas!$C$27,0)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Premissas!$C$32+(B120+C120)/Premissas!$C$34</f>
        <v/>
      </c>
      <c r="AC120">
        <f>D120+AC108*(1-Premissas!$C$26/12)^12</f>
        <v/>
      </c>
    </row>
    <row r="121">
      <c r="A121" t="n">
        <v>118</v>
      </c>
      <c r="B121">
        <f>B120*(1-Premissas!$C$18/12)+Premissas!$C$12</f>
        <v/>
      </c>
      <c r="C121">
        <f>IF($B$2=1,C120*(1-Premissas!$C$26/12)+D121,0)</f>
        <v/>
      </c>
      <c r="D121">
        <f>IF(AND($B$2=1,A121&gt;=Premissas!$C$23),Premissas!$C$22,0)</f>
        <v/>
      </c>
      <c r="E121">
        <f>B121*Premissas!$C$28</f>
        <v/>
      </c>
      <c r="F121">
        <f>B121*Premissas!$C$13/12*MIN(1,A121/Premissas!$C$17)</f>
        <v/>
      </c>
      <c r="G121">
        <f>F121*Premissas!$C$14</f>
        <v/>
      </c>
      <c r="H121">
        <f>IF(IF(A121-1-Premissas!$C$16&gt;=0,OFFSET($J$4,A121-1-Premissas!$C$16,0),0)&gt;0,ROUND(IF(A121-1-Premissas!$C$16&gt;=0,OFFSET($J$4,A121-1-Premissas!$C$16,0),0)*10000/Premissas!$C$5*Premissas!$C$15,0),0)</f>
        <v/>
      </c>
      <c r="I121">
        <f>ROUND(G121*Premissas!$C$6/10000,0)</f>
        <v/>
      </c>
      <c r="J121">
        <f>ROUND(G121*Premissas!$C$5/10000,0)</f>
        <v/>
      </c>
      <c r="K121">
        <f>IF(IF(A121-1-Premissas!$C$16&gt;=0,OFFSET($A$4,A121-1-Premissas!$C$16,0)&gt;=Premissas!$C$19,FALSE),ROUND(IF(A121-1-Premissas!$C$16&gt;=0,OFFSET($J$4,A121-1-Premissas!$C$16,0),0)*Premissas!$C$15,0),0)</f>
        <v/>
      </c>
      <c r="L121">
        <f>ROUND(C121*Premissas!$C$24/12,0)</f>
        <v/>
      </c>
      <c r="M121">
        <f>ROUND(D121*Premissas!$C$25,0)</f>
        <v/>
      </c>
      <c r="N121">
        <f>ROUND(E121*Premissas!$C$29+B121*Premissas!$C$30,0)</f>
        <v/>
      </c>
      <c r="O121">
        <f>K121+L121+M121+N121</f>
        <v/>
      </c>
      <c r="P121">
        <f>K121+ROUND(AC121*Premissas!$C$24,0)+M121+N121</f>
        <v/>
      </c>
      <c r="Q121">
        <f>ROUND(IF(A121-1-Premissas!$C$21&gt;=0,OFFSET($P$4,A121-1-Premissas!$C$21,0),0)*(1-Premissas!$C$20/100),0)</f>
        <v/>
      </c>
      <c r="R121">
        <f>ROUND(F121*Premissas!$C$11+N121*Premissas!$C$31/100,0)+ROUND((E121+B121)*Premissas!$C$10,0)+ROUND(Q121*Premissas!$C$8/100,0)+ROUND(Premissas!$C$35+(B121+C121)*Premissas!$C$36,0)</f>
        <v/>
      </c>
      <c r="S121">
        <f>O121-R121</f>
        <v/>
      </c>
      <c r="T121">
        <f>ROUND(O121*Premissas!$C$9/100,0)</f>
        <v/>
      </c>
      <c r="U121">
        <f>ROUND(AB121*Premissas!$C$33,0)</f>
        <v/>
      </c>
      <c r="V121">
        <f>Premissas!$C$37+ROUND(Premissas!$C$12*Premissas!$C$38+D121*Premissas!$C$27,0)</f>
        <v/>
      </c>
      <c r="W121">
        <f>Premissas!$C$39</f>
        <v/>
      </c>
      <c r="X121">
        <f>S121-T121-ROUND(Premissas!$C$12*Premissas!$C$38+D121*Premissas!$C$27,0)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Premissas!$C$32+(B121+C121)/Premissas!$C$34</f>
        <v/>
      </c>
      <c r="AC121">
        <f>D121+AC109*(1-Premissas!$C$26/12)^12</f>
        <v/>
      </c>
    </row>
    <row r="122">
      <c r="A122" t="n">
        <v>119</v>
      </c>
      <c r="B122">
        <f>B121*(1-Premissas!$C$18/12)+Premissas!$C$12</f>
        <v/>
      </c>
      <c r="C122">
        <f>IF($B$2=1,C121*(1-Premissas!$C$26/12)+D122,0)</f>
        <v/>
      </c>
      <c r="D122">
        <f>IF(AND($B$2=1,A122&gt;=Premissas!$C$23),Premissas!$C$22,0)</f>
        <v/>
      </c>
      <c r="E122">
        <f>B122*Premissas!$C$28</f>
        <v/>
      </c>
      <c r="F122">
        <f>B122*Premissas!$C$13/12*MIN(1,A122/Premissas!$C$17)</f>
        <v/>
      </c>
      <c r="G122">
        <f>F122*Premissas!$C$14</f>
        <v/>
      </c>
      <c r="H122">
        <f>IF(IF(A122-1-Premissas!$C$16&gt;=0,OFFSET($J$4,A122-1-Premissas!$C$16,0),0)&gt;0,ROUND(IF(A122-1-Premissas!$C$16&gt;=0,OFFSET($J$4,A122-1-Premissas!$C$16,0),0)*10000/Premissas!$C$5*Premissas!$C$15,0),0)</f>
        <v/>
      </c>
      <c r="I122">
        <f>ROUND(G122*Premissas!$C$6/10000,0)</f>
        <v/>
      </c>
      <c r="J122">
        <f>ROUND(G122*Premissas!$C$5/10000,0)</f>
        <v/>
      </c>
      <c r="K122">
        <f>IF(IF(A122-1-Premissas!$C$16&gt;=0,OFFSET($A$4,A122-1-Premissas!$C$16,0)&gt;=Premissas!$C$19,FALSE),ROUND(IF(A122-1-Premissas!$C$16&gt;=0,OFFSET($J$4,A122-1-Premissas!$C$16,0),0)*Premissas!$C$15,0),0)</f>
        <v/>
      </c>
      <c r="L122">
        <f>ROUND(C122*Premissas!$C$24/12,0)</f>
        <v/>
      </c>
      <c r="M122">
        <f>ROUND(D122*Premissas!$C$25,0)</f>
        <v/>
      </c>
      <c r="N122">
        <f>ROUND(E122*Premissas!$C$29+B122*Premissas!$C$30,0)</f>
        <v/>
      </c>
      <c r="O122">
        <f>K122+L122+M122+N122</f>
        <v/>
      </c>
      <c r="P122">
        <f>K122+ROUND(AC122*Premissas!$C$24,0)+M122+N122</f>
        <v/>
      </c>
      <c r="Q122">
        <f>ROUND(IF(A122-1-Premissas!$C$21&gt;=0,OFFSET($P$4,A122-1-Premissas!$C$21,0),0)*(1-Premissas!$C$20/100),0)</f>
        <v/>
      </c>
      <c r="R122">
        <f>ROUND(F122*Premissas!$C$11+N122*Premissas!$C$31/100,0)+ROUND((E122+B122)*Premissas!$C$10,0)+ROUND(Q122*Premissas!$C$8/100,0)+ROUND(Premissas!$C$35+(B122+C122)*Premissas!$C$36,0)</f>
        <v/>
      </c>
      <c r="S122">
        <f>O122-R122</f>
        <v/>
      </c>
      <c r="T122">
        <f>ROUND(O122*Premissas!$C$9/100,0)</f>
        <v/>
      </c>
      <c r="U122">
        <f>ROUND(AB122*Premissas!$C$33,0)</f>
        <v/>
      </c>
      <c r="V122">
        <f>Premissas!$C$37+ROUND(Premissas!$C$12*Premissas!$C$38+D122*Premissas!$C$27,0)</f>
        <v/>
      </c>
      <c r="W122">
        <f>Premissas!$C$39</f>
        <v/>
      </c>
      <c r="X122">
        <f>S122-T122-ROUND(Premissas!$C$12*Premissas!$C$38+D122*Premissas!$C$27,0)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Premissas!$C$32+(B122+C122)/Premissas!$C$34</f>
        <v/>
      </c>
      <c r="AC122">
        <f>D122+AC110*(1-Premissas!$C$26/12)^12</f>
        <v/>
      </c>
    </row>
    <row r="123">
      <c r="A123" t="n">
        <v>120</v>
      </c>
      <c r="B123">
        <f>B122*(1-Premissas!$C$18/12)+Premissas!$C$12</f>
        <v/>
      </c>
      <c r="C123">
        <f>IF($B$2=1,C122*(1-Premissas!$C$26/12)+D123,0)</f>
        <v/>
      </c>
      <c r="D123">
        <f>IF(AND($B$2=1,A123&gt;=Premissas!$C$23),Premissas!$C$22,0)</f>
        <v/>
      </c>
      <c r="E123">
        <f>B123*Premissas!$C$28</f>
        <v/>
      </c>
      <c r="F123">
        <f>B123*Premissas!$C$13/12*MIN(1,A123/Premissas!$C$17)</f>
        <v/>
      </c>
      <c r="G123">
        <f>F123*Premissas!$C$14</f>
        <v/>
      </c>
      <c r="H123">
        <f>IF(IF(A123-1-Premissas!$C$16&gt;=0,OFFSET($J$4,A123-1-Premissas!$C$16,0),0)&gt;0,ROUND(IF(A123-1-Premissas!$C$16&gt;=0,OFFSET($J$4,A123-1-Premissas!$C$16,0),0)*10000/Premissas!$C$5*Premissas!$C$15,0),0)</f>
        <v/>
      </c>
      <c r="I123">
        <f>ROUND(G123*Premissas!$C$6/10000,0)</f>
        <v/>
      </c>
      <c r="J123">
        <f>ROUND(G123*Premissas!$C$5/10000,0)</f>
        <v/>
      </c>
      <c r="K123">
        <f>IF(IF(A123-1-Premissas!$C$16&gt;=0,OFFSET($A$4,A123-1-Premissas!$C$16,0)&gt;=Premissas!$C$19,FALSE),ROUND(IF(A123-1-Premissas!$C$16&gt;=0,OFFSET($J$4,A123-1-Premissas!$C$16,0),0)*Premissas!$C$15,0),0)</f>
        <v/>
      </c>
      <c r="L123">
        <f>ROUND(C123*Premissas!$C$24/12,0)</f>
        <v/>
      </c>
      <c r="M123">
        <f>ROUND(D123*Premissas!$C$25,0)</f>
        <v/>
      </c>
      <c r="N123">
        <f>ROUND(E123*Premissas!$C$29+B123*Premissas!$C$30,0)</f>
        <v/>
      </c>
      <c r="O123">
        <f>K123+L123+M123+N123</f>
        <v/>
      </c>
      <c r="P123">
        <f>K123+ROUND(AC123*Premissas!$C$24,0)+M123+N123</f>
        <v/>
      </c>
      <c r="Q123">
        <f>ROUND(IF(A123-1-Premissas!$C$21&gt;=0,OFFSET($P$4,A123-1-Premissas!$C$21,0),0)*(1-Premissas!$C$20/100),0)</f>
        <v/>
      </c>
      <c r="R123">
        <f>ROUND(F123*Premissas!$C$11+N123*Premissas!$C$31/100,0)+ROUND((E123+B123)*Premissas!$C$10,0)+ROUND(Q123*Premissas!$C$8/100,0)+ROUND(Premissas!$C$35+(B123+C123)*Premissas!$C$36,0)</f>
        <v/>
      </c>
      <c r="S123">
        <f>O123-R123</f>
        <v/>
      </c>
      <c r="T123">
        <f>ROUND(O123*Premissas!$C$9/100,0)</f>
        <v/>
      </c>
      <c r="U123">
        <f>ROUND(AB123*Premissas!$C$33,0)</f>
        <v/>
      </c>
      <c r="V123">
        <f>Premissas!$C$37+ROUND(Premissas!$C$12*Premissas!$C$38+D123*Premissas!$C$27,0)</f>
        <v/>
      </c>
      <c r="W123">
        <f>Premissas!$C$39</f>
        <v/>
      </c>
      <c r="X123">
        <f>S123-T123-ROUND(Premissas!$C$12*Premissas!$C$38+D123*Premissas!$C$27,0)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Premissas!$C$32+(B123+C123)/Premissas!$C$34</f>
        <v/>
      </c>
      <c r="AC123">
        <f>D123+AC111*(1-Premissas!$C$26/12)^12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base · desenho Atual (0 = sem contratos institucionais; 1 = com) · valores em CENTAVOS · fórmulas abertas</t>
        </is>
      </c>
    </row>
    <row r="2">
      <c r="A2" t="inlineStr">
        <is>
          <t>hybrid</t>
        </is>
      </c>
      <c r="B2" t="n">
        <v>0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0*(1-Premissas!$D$18/12)+Premissas!$D$12</f>
        <v/>
      </c>
      <c r="C4">
        <f>IF($B$2=1,0*(1-Premissas!$D$26/12)+D4,0)</f>
        <v/>
      </c>
      <c r="D4">
        <f>IF(AND($B$2=1,A4&gt;=Premissas!$D$23),Premissas!$D$22,0)</f>
        <v/>
      </c>
      <c r="E4">
        <f>B4*Premissas!$D$28</f>
        <v/>
      </c>
      <c r="F4">
        <f>B4*Premissas!$D$13/12*MIN(1,A4/Premissas!$D$17)</f>
        <v/>
      </c>
      <c r="G4">
        <f>F4*Premissas!$D$14</f>
        <v/>
      </c>
      <c r="H4">
        <f>IF(IF(A4-1-Premissas!$D$16&gt;=0,OFFSET($J$4,A4-1-Premissas!$D$16,0),0)&gt;0,ROUND(IF(A4-1-Premissas!$D$16&gt;=0,OFFSET($J$4,A4-1-Premissas!$D$16,0),0)*10000/Premissas!$D$5*Premissas!$D$15,0),0)</f>
        <v/>
      </c>
      <c r="I4">
        <f>ROUND(G4*Premissas!$D$6/10000,0)</f>
        <v/>
      </c>
      <c r="J4">
        <f>ROUND(G4*Premissas!$D$5/10000,0)</f>
        <v/>
      </c>
      <c r="K4">
        <f>IF(IF(A4-1-Premissas!$D$16&gt;=0,OFFSET($A$4,A4-1-Premissas!$D$16,0)&gt;=Premissas!$D$19,FALSE),ROUND(IF(A4-1-Premissas!$D$16&gt;=0,OFFSET($J$4,A4-1-Premissas!$D$16,0),0)*Premissas!$D$15,0),0)</f>
        <v/>
      </c>
      <c r="L4">
        <f>ROUND(C4*Premissas!$D$24/12,0)</f>
        <v/>
      </c>
      <c r="M4">
        <f>ROUND(D4*Premissas!$D$25,0)</f>
        <v/>
      </c>
      <c r="N4">
        <f>ROUND(E4*Premissas!$D$29+B4*Premissas!$D$30,0)</f>
        <v/>
      </c>
      <c r="O4">
        <f>K4+L4+M4+N4</f>
        <v/>
      </c>
      <c r="P4">
        <f>K4+ROUND(AC4*Premissas!$D$24,0)+M4+N4</f>
        <v/>
      </c>
      <c r="Q4">
        <f>ROUND(IF(A4-1-Premissas!$D$21&gt;=0,OFFSET($P$4,A4-1-Premissas!$D$21,0),0)*(1-Premissas!$D$20/100),0)</f>
        <v/>
      </c>
      <c r="R4">
        <f>ROUND(F4*Premissas!$D$11+N4*Premissas!$D$31/100,0)+ROUND((E4+B4)*Premissas!$D$10,0)+ROUND(Q4*Premissas!$D$8/100,0)+ROUND(Premissas!$D$35+(B4+C4)*Premissas!$D$36,0)</f>
        <v/>
      </c>
      <c r="S4">
        <f>O4-R4</f>
        <v/>
      </c>
      <c r="T4">
        <f>ROUND(O4*Premissas!$D$9/100,0)</f>
        <v/>
      </c>
      <c r="U4">
        <f>ROUND(AB4*Premissas!$D$33,0)</f>
        <v/>
      </c>
      <c r="V4">
        <f>Premissas!$D$37+ROUND(Premissas!$D$12*Premissas!$D$38+D4*Premissas!$D$27,0)</f>
        <v/>
      </c>
      <c r="W4">
        <f>Premissas!$D$39</f>
        <v/>
      </c>
      <c r="X4">
        <f>S4-T4-ROUND(Premissas!$D$12*Premissas!$D$38+D4*Premissas!$D$27,0)</f>
        <v/>
      </c>
      <c r="Y4">
        <f>O4-R4-T4-U4-V4-W4</f>
        <v/>
      </c>
      <c r="Z4">
        <f>Q4-R4-T4-U4-V4-W4</f>
        <v/>
      </c>
      <c r="AA4">
        <f>Premissas!$D$40+Z4</f>
        <v/>
      </c>
      <c r="AB4">
        <f>Premissas!$D$32+(B4+C4)/Premissas!$D$34</f>
        <v/>
      </c>
      <c r="AC4">
        <f>D4</f>
        <v/>
      </c>
    </row>
    <row r="5">
      <c r="A5" t="n">
        <v>2</v>
      </c>
      <c r="B5">
        <f>B4*(1-Premissas!$D$18/12)+Premissas!$D$12</f>
        <v/>
      </c>
      <c r="C5">
        <f>IF($B$2=1,C4*(1-Premissas!$D$26/12)+D5,0)</f>
        <v/>
      </c>
      <c r="D5">
        <f>IF(AND($B$2=1,A5&gt;=Premissas!$D$23),Premissas!$D$22,0)</f>
        <v/>
      </c>
      <c r="E5">
        <f>B5*Premissas!$D$28</f>
        <v/>
      </c>
      <c r="F5">
        <f>B5*Premissas!$D$13/12*MIN(1,A5/Premissas!$D$17)</f>
        <v/>
      </c>
      <c r="G5">
        <f>F5*Premissas!$D$14</f>
        <v/>
      </c>
      <c r="H5">
        <f>IF(IF(A5-1-Premissas!$D$16&gt;=0,OFFSET($J$4,A5-1-Premissas!$D$16,0),0)&gt;0,ROUND(IF(A5-1-Premissas!$D$16&gt;=0,OFFSET($J$4,A5-1-Premissas!$D$16,0),0)*10000/Premissas!$D$5*Premissas!$D$15,0),0)</f>
        <v/>
      </c>
      <c r="I5">
        <f>ROUND(G5*Premissas!$D$6/10000,0)</f>
        <v/>
      </c>
      <c r="J5">
        <f>ROUND(G5*Premissas!$D$5/10000,0)</f>
        <v/>
      </c>
      <c r="K5">
        <f>IF(IF(A5-1-Premissas!$D$16&gt;=0,OFFSET($A$4,A5-1-Premissas!$D$16,0)&gt;=Premissas!$D$19,FALSE),ROUND(IF(A5-1-Premissas!$D$16&gt;=0,OFFSET($J$4,A5-1-Premissas!$D$16,0),0)*Premissas!$D$15,0),0)</f>
        <v/>
      </c>
      <c r="L5">
        <f>ROUND(C5*Premissas!$D$24/12,0)</f>
        <v/>
      </c>
      <c r="M5">
        <f>ROUND(D5*Premissas!$D$25,0)</f>
        <v/>
      </c>
      <c r="N5">
        <f>ROUND(E5*Premissas!$D$29+B5*Premissas!$D$30,0)</f>
        <v/>
      </c>
      <c r="O5">
        <f>K5+L5+M5+N5</f>
        <v/>
      </c>
      <c r="P5">
        <f>K5+ROUND(AC5*Premissas!$D$24,0)+M5+N5</f>
        <v/>
      </c>
      <c r="Q5">
        <f>ROUND(IF(A5-1-Premissas!$D$21&gt;=0,OFFSET($P$4,A5-1-Premissas!$D$21,0),0)*(1-Premissas!$D$20/100),0)</f>
        <v/>
      </c>
      <c r="R5">
        <f>ROUND(F5*Premissas!$D$11+N5*Premissas!$D$31/100,0)+ROUND((E5+B5)*Premissas!$D$10,0)+ROUND(Q5*Premissas!$D$8/100,0)+ROUND(Premissas!$D$35+(B5+C5)*Premissas!$D$36,0)</f>
        <v/>
      </c>
      <c r="S5">
        <f>O5-R5</f>
        <v/>
      </c>
      <c r="T5">
        <f>ROUND(O5*Premissas!$D$9/100,0)</f>
        <v/>
      </c>
      <c r="U5">
        <f>ROUND(AB5*Premissas!$D$33,0)</f>
        <v/>
      </c>
      <c r="V5">
        <f>Premissas!$D$37+ROUND(Premissas!$D$12*Premissas!$D$38+D5*Premissas!$D$27,0)</f>
        <v/>
      </c>
      <c r="W5">
        <f>Premissas!$D$39</f>
        <v/>
      </c>
      <c r="X5">
        <f>S5-T5-ROUND(Premissas!$D$12*Premissas!$D$38+D5*Premissas!$D$27,0)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Premissas!$D$32+(B5+C5)/Premissas!$D$34</f>
        <v/>
      </c>
      <c r="AC5">
        <f>D5</f>
        <v/>
      </c>
    </row>
    <row r="6">
      <c r="A6" t="n">
        <v>3</v>
      </c>
      <c r="B6">
        <f>B5*(1-Premissas!$D$18/12)+Premissas!$D$12</f>
        <v/>
      </c>
      <c r="C6">
        <f>IF($B$2=1,C5*(1-Premissas!$D$26/12)+D6,0)</f>
        <v/>
      </c>
      <c r="D6">
        <f>IF(AND($B$2=1,A6&gt;=Premissas!$D$23),Premissas!$D$22,0)</f>
        <v/>
      </c>
      <c r="E6">
        <f>B6*Premissas!$D$28</f>
        <v/>
      </c>
      <c r="F6">
        <f>B6*Premissas!$D$13/12*MIN(1,A6/Premissas!$D$17)</f>
        <v/>
      </c>
      <c r="G6">
        <f>F6*Premissas!$D$14</f>
        <v/>
      </c>
      <c r="H6">
        <f>IF(IF(A6-1-Premissas!$D$16&gt;=0,OFFSET($J$4,A6-1-Premissas!$D$16,0),0)&gt;0,ROUND(IF(A6-1-Premissas!$D$16&gt;=0,OFFSET($J$4,A6-1-Premissas!$D$16,0),0)*10000/Premissas!$D$5*Premissas!$D$15,0),0)</f>
        <v/>
      </c>
      <c r="I6">
        <f>ROUND(G6*Premissas!$D$6/10000,0)</f>
        <v/>
      </c>
      <c r="J6">
        <f>ROUND(G6*Premissas!$D$5/10000,0)</f>
        <v/>
      </c>
      <c r="K6">
        <f>IF(IF(A6-1-Premissas!$D$16&gt;=0,OFFSET($A$4,A6-1-Premissas!$D$16,0)&gt;=Premissas!$D$19,FALSE),ROUND(IF(A6-1-Premissas!$D$16&gt;=0,OFFSET($J$4,A6-1-Premissas!$D$16,0),0)*Premissas!$D$15,0),0)</f>
        <v/>
      </c>
      <c r="L6">
        <f>ROUND(C6*Premissas!$D$24/12,0)</f>
        <v/>
      </c>
      <c r="M6">
        <f>ROUND(D6*Premissas!$D$25,0)</f>
        <v/>
      </c>
      <c r="N6">
        <f>ROUND(E6*Premissas!$D$29+B6*Premissas!$D$30,0)</f>
        <v/>
      </c>
      <c r="O6">
        <f>K6+L6+M6+N6</f>
        <v/>
      </c>
      <c r="P6">
        <f>K6+ROUND(AC6*Premissas!$D$24,0)+M6+N6</f>
        <v/>
      </c>
      <c r="Q6">
        <f>ROUND(IF(A6-1-Premissas!$D$21&gt;=0,OFFSET($P$4,A6-1-Premissas!$D$21,0),0)*(1-Premissas!$D$20/100),0)</f>
        <v/>
      </c>
      <c r="R6">
        <f>ROUND(F6*Premissas!$D$11+N6*Premissas!$D$31/100,0)+ROUND((E6+B6)*Premissas!$D$10,0)+ROUND(Q6*Premissas!$D$8/100,0)+ROUND(Premissas!$D$35+(B6+C6)*Premissas!$D$36,0)</f>
        <v/>
      </c>
      <c r="S6">
        <f>O6-R6</f>
        <v/>
      </c>
      <c r="T6">
        <f>ROUND(O6*Premissas!$D$9/100,0)</f>
        <v/>
      </c>
      <c r="U6">
        <f>ROUND(AB6*Premissas!$D$33,0)</f>
        <v/>
      </c>
      <c r="V6">
        <f>Premissas!$D$37+ROUND(Premissas!$D$12*Premissas!$D$38+D6*Premissas!$D$27,0)</f>
        <v/>
      </c>
      <c r="W6">
        <f>Premissas!$D$39</f>
        <v/>
      </c>
      <c r="X6">
        <f>S6-T6-ROUND(Premissas!$D$12*Premissas!$D$38+D6*Premissas!$D$27,0)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Premissas!$D$32+(B6+C6)/Premissas!$D$34</f>
        <v/>
      </c>
      <c r="AC6">
        <f>D6</f>
        <v/>
      </c>
    </row>
    <row r="7">
      <c r="A7" t="n">
        <v>4</v>
      </c>
      <c r="B7">
        <f>B6*(1-Premissas!$D$18/12)+Premissas!$D$12</f>
        <v/>
      </c>
      <c r="C7">
        <f>IF($B$2=1,C6*(1-Premissas!$D$26/12)+D7,0)</f>
        <v/>
      </c>
      <c r="D7">
        <f>IF(AND($B$2=1,A7&gt;=Premissas!$D$23),Premissas!$D$22,0)</f>
        <v/>
      </c>
      <c r="E7">
        <f>B7*Premissas!$D$28</f>
        <v/>
      </c>
      <c r="F7">
        <f>B7*Premissas!$D$13/12*MIN(1,A7/Premissas!$D$17)</f>
        <v/>
      </c>
      <c r="G7">
        <f>F7*Premissas!$D$14</f>
        <v/>
      </c>
      <c r="H7">
        <f>IF(IF(A7-1-Premissas!$D$16&gt;=0,OFFSET($J$4,A7-1-Premissas!$D$16,0),0)&gt;0,ROUND(IF(A7-1-Premissas!$D$16&gt;=0,OFFSET($J$4,A7-1-Premissas!$D$16,0),0)*10000/Premissas!$D$5*Premissas!$D$15,0),0)</f>
        <v/>
      </c>
      <c r="I7">
        <f>ROUND(G7*Premissas!$D$6/10000,0)</f>
        <v/>
      </c>
      <c r="J7">
        <f>ROUND(G7*Premissas!$D$5/10000,0)</f>
        <v/>
      </c>
      <c r="K7">
        <f>IF(IF(A7-1-Premissas!$D$16&gt;=0,OFFSET($A$4,A7-1-Premissas!$D$16,0)&gt;=Premissas!$D$19,FALSE),ROUND(IF(A7-1-Premissas!$D$16&gt;=0,OFFSET($J$4,A7-1-Premissas!$D$16,0),0)*Premissas!$D$15,0),0)</f>
        <v/>
      </c>
      <c r="L7">
        <f>ROUND(C7*Premissas!$D$24/12,0)</f>
        <v/>
      </c>
      <c r="M7">
        <f>ROUND(D7*Premissas!$D$25,0)</f>
        <v/>
      </c>
      <c r="N7">
        <f>ROUND(E7*Premissas!$D$29+B7*Premissas!$D$30,0)</f>
        <v/>
      </c>
      <c r="O7">
        <f>K7+L7+M7+N7</f>
        <v/>
      </c>
      <c r="P7">
        <f>K7+ROUND(AC7*Premissas!$D$24,0)+M7+N7</f>
        <v/>
      </c>
      <c r="Q7">
        <f>ROUND(IF(A7-1-Premissas!$D$21&gt;=0,OFFSET($P$4,A7-1-Premissas!$D$21,0),0)*(1-Premissas!$D$20/100),0)</f>
        <v/>
      </c>
      <c r="R7">
        <f>ROUND(F7*Premissas!$D$11+N7*Premissas!$D$31/100,0)+ROUND((E7+B7)*Premissas!$D$10,0)+ROUND(Q7*Premissas!$D$8/100,0)+ROUND(Premissas!$D$35+(B7+C7)*Premissas!$D$36,0)</f>
        <v/>
      </c>
      <c r="S7">
        <f>O7-R7</f>
        <v/>
      </c>
      <c r="T7">
        <f>ROUND(O7*Premissas!$D$9/100,0)</f>
        <v/>
      </c>
      <c r="U7">
        <f>ROUND(AB7*Premissas!$D$33,0)</f>
        <v/>
      </c>
      <c r="V7">
        <f>Premissas!$D$37+ROUND(Premissas!$D$12*Premissas!$D$38+D7*Premissas!$D$27,0)</f>
        <v/>
      </c>
      <c r="W7">
        <f>Premissas!$D$39</f>
        <v/>
      </c>
      <c r="X7">
        <f>S7-T7-ROUND(Premissas!$D$12*Premissas!$D$38+D7*Premissas!$D$27,0)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Premissas!$D$32+(B7+C7)/Premissas!$D$34</f>
        <v/>
      </c>
      <c r="AC7">
        <f>D7</f>
        <v/>
      </c>
    </row>
    <row r="8">
      <c r="A8" t="n">
        <v>5</v>
      </c>
      <c r="B8">
        <f>B7*(1-Premissas!$D$18/12)+Premissas!$D$12</f>
        <v/>
      </c>
      <c r="C8">
        <f>IF($B$2=1,C7*(1-Premissas!$D$26/12)+D8,0)</f>
        <v/>
      </c>
      <c r="D8">
        <f>IF(AND($B$2=1,A8&gt;=Premissas!$D$23),Premissas!$D$22,0)</f>
        <v/>
      </c>
      <c r="E8">
        <f>B8*Premissas!$D$28</f>
        <v/>
      </c>
      <c r="F8">
        <f>B8*Premissas!$D$13/12*MIN(1,A8/Premissas!$D$17)</f>
        <v/>
      </c>
      <c r="G8">
        <f>F8*Premissas!$D$14</f>
        <v/>
      </c>
      <c r="H8">
        <f>IF(IF(A8-1-Premissas!$D$16&gt;=0,OFFSET($J$4,A8-1-Premissas!$D$16,0),0)&gt;0,ROUND(IF(A8-1-Premissas!$D$16&gt;=0,OFFSET($J$4,A8-1-Premissas!$D$16,0),0)*10000/Premissas!$D$5*Premissas!$D$15,0),0)</f>
        <v/>
      </c>
      <c r="I8">
        <f>ROUND(G8*Premissas!$D$6/10000,0)</f>
        <v/>
      </c>
      <c r="J8">
        <f>ROUND(G8*Premissas!$D$5/10000,0)</f>
        <v/>
      </c>
      <c r="K8">
        <f>IF(IF(A8-1-Premissas!$D$16&gt;=0,OFFSET($A$4,A8-1-Premissas!$D$16,0)&gt;=Premissas!$D$19,FALSE),ROUND(IF(A8-1-Premissas!$D$16&gt;=0,OFFSET($J$4,A8-1-Premissas!$D$16,0),0)*Premissas!$D$15,0),0)</f>
        <v/>
      </c>
      <c r="L8">
        <f>ROUND(C8*Premissas!$D$24/12,0)</f>
        <v/>
      </c>
      <c r="M8">
        <f>ROUND(D8*Premissas!$D$25,0)</f>
        <v/>
      </c>
      <c r="N8">
        <f>ROUND(E8*Premissas!$D$29+B8*Premissas!$D$30,0)</f>
        <v/>
      </c>
      <c r="O8">
        <f>K8+L8+M8+N8</f>
        <v/>
      </c>
      <c r="P8">
        <f>K8+ROUND(AC8*Premissas!$D$24,0)+M8+N8</f>
        <v/>
      </c>
      <c r="Q8">
        <f>ROUND(IF(A8-1-Premissas!$D$21&gt;=0,OFFSET($P$4,A8-1-Premissas!$D$21,0),0)*(1-Premissas!$D$20/100),0)</f>
        <v/>
      </c>
      <c r="R8">
        <f>ROUND(F8*Premissas!$D$11+N8*Premissas!$D$31/100,0)+ROUND((E8+B8)*Premissas!$D$10,0)+ROUND(Q8*Premissas!$D$8/100,0)+ROUND(Premissas!$D$35+(B8+C8)*Premissas!$D$36,0)</f>
        <v/>
      </c>
      <c r="S8">
        <f>O8-R8</f>
        <v/>
      </c>
      <c r="T8">
        <f>ROUND(O8*Premissas!$D$9/100,0)</f>
        <v/>
      </c>
      <c r="U8">
        <f>ROUND(AB8*Premissas!$D$33,0)</f>
        <v/>
      </c>
      <c r="V8">
        <f>Premissas!$D$37+ROUND(Premissas!$D$12*Premissas!$D$38+D8*Premissas!$D$27,0)</f>
        <v/>
      </c>
      <c r="W8">
        <f>Premissas!$D$39</f>
        <v/>
      </c>
      <c r="X8">
        <f>S8-T8-ROUND(Premissas!$D$12*Premissas!$D$38+D8*Premissas!$D$27,0)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Premissas!$D$32+(B8+C8)/Premissas!$D$34</f>
        <v/>
      </c>
      <c r="AC8">
        <f>D8</f>
        <v/>
      </c>
    </row>
    <row r="9">
      <c r="A9" t="n">
        <v>6</v>
      </c>
      <c r="B9">
        <f>B8*(1-Premissas!$D$18/12)+Premissas!$D$12</f>
        <v/>
      </c>
      <c r="C9">
        <f>IF($B$2=1,C8*(1-Premissas!$D$26/12)+D9,0)</f>
        <v/>
      </c>
      <c r="D9">
        <f>IF(AND($B$2=1,A9&gt;=Premissas!$D$23),Premissas!$D$22,0)</f>
        <v/>
      </c>
      <c r="E9">
        <f>B9*Premissas!$D$28</f>
        <v/>
      </c>
      <c r="F9">
        <f>B9*Premissas!$D$13/12*MIN(1,A9/Premissas!$D$17)</f>
        <v/>
      </c>
      <c r="G9">
        <f>F9*Premissas!$D$14</f>
        <v/>
      </c>
      <c r="H9">
        <f>IF(IF(A9-1-Premissas!$D$16&gt;=0,OFFSET($J$4,A9-1-Premissas!$D$16,0),0)&gt;0,ROUND(IF(A9-1-Premissas!$D$16&gt;=0,OFFSET($J$4,A9-1-Premissas!$D$16,0),0)*10000/Premissas!$D$5*Premissas!$D$15,0),0)</f>
        <v/>
      </c>
      <c r="I9">
        <f>ROUND(G9*Premissas!$D$6/10000,0)</f>
        <v/>
      </c>
      <c r="J9">
        <f>ROUND(G9*Premissas!$D$5/10000,0)</f>
        <v/>
      </c>
      <c r="K9">
        <f>IF(IF(A9-1-Premissas!$D$16&gt;=0,OFFSET($A$4,A9-1-Premissas!$D$16,0)&gt;=Premissas!$D$19,FALSE),ROUND(IF(A9-1-Premissas!$D$16&gt;=0,OFFSET($J$4,A9-1-Premissas!$D$16,0),0)*Premissas!$D$15,0),0)</f>
        <v/>
      </c>
      <c r="L9">
        <f>ROUND(C9*Premissas!$D$24/12,0)</f>
        <v/>
      </c>
      <c r="M9">
        <f>ROUND(D9*Premissas!$D$25,0)</f>
        <v/>
      </c>
      <c r="N9">
        <f>ROUND(E9*Premissas!$D$29+B9*Premissas!$D$30,0)</f>
        <v/>
      </c>
      <c r="O9">
        <f>K9+L9+M9+N9</f>
        <v/>
      </c>
      <c r="P9">
        <f>K9+ROUND(AC9*Premissas!$D$24,0)+M9+N9</f>
        <v/>
      </c>
      <c r="Q9">
        <f>ROUND(IF(A9-1-Premissas!$D$21&gt;=0,OFFSET($P$4,A9-1-Premissas!$D$21,0),0)*(1-Premissas!$D$20/100),0)</f>
        <v/>
      </c>
      <c r="R9">
        <f>ROUND(F9*Premissas!$D$11+N9*Premissas!$D$31/100,0)+ROUND((E9+B9)*Premissas!$D$10,0)+ROUND(Q9*Premissas!$D$8/100,0)+ROUND(Premissas!$D$35+(B9+C9)*Premissas!$D$36,0)</f>
        <v/>
      </c>
      <c r="S9">
        <f>O9-R9</f>
        <v/>
      </c>
      <c r="T9">
        <f>ROUND(O9*Premissas!$D$9/100,0)</f>
        <v/>
      </c>
      <c r="U9">
        <f>ROUND(AB9*Premissas!$D$33,0)</f>
        <v/>
      </c>
      <c r="V9">
        <f>Premissas!$D$37+ROUND(Premissas!$D$12*Premissas!$D$38+D9*Premissas!$D$27,0)</f>
        <v/>
      </c>
      <c r="W9">
        <f>Premissas!$D$39</f>
        <v/>
      </c>
      <c r="X9">
        <f>S9-T9-ROUND(Premissas!$D$12*Premissas!$D$38+D9*Premissas!$D$27,0)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Premissas!$D$32+(B9+C9)/Premissas!$D$34</f>
        <v/>
      </c>
      <c r="AC9">
        <f>D9</f>
        <v/>
      </c>
    </row>
    <row r="10">
      <c r="A10" t="n">
        <v>7</v>
      </c>
      <c r="B10">
        <f>B9*(1-Premissas!$D$18/12)+Premissas!$D$12</f>
        <v/>
      </c>
      <c r="C10">
        <f>IF($B$2=1,C9*(1-Premissas!$D$26/12)+D10,0)</f>
        <v/>
      </c>
      <c r="D10">
        <f>IF(AND($B$2=1,A10&gt;=Premissas!$D$23),Premissas!$D$22,0)</f>
        <v/>
      </c>
      <c r="E10">
        <f>B10*Premissas!$D$28</f>
        <v/>
      </c>
      <c r="F10">
        <f>B10*Premissas!$D$13/12*MIN(1,A10/Premissas!$D$17)</f>
        <v/>
      </c>
      <c r="G10">
        <f>F10*Premissas!$D$14</f>
        <v/>
      </c>
      <c r="H10">
        <f>IF(IF(A10-1-Premissas!$D$16&gt;=0,OFFSET($J$4,A10-1-Premissas!$D$16,0),0)&gt;0,ROUND(IF(A10-1-Premissas!$D$16&gt;=0,OFFSET($J$4,A10-1-Premissas!$D$16,0),0)*10000/Premissas!$D$5*Premissas!$D$15,0),0)</f>
        <v/>
      </c>
      <c r="I10">
        <f>ROUND(G10*Premissas!$D$6/10000,0)</f>
        <v/>
      </c>
      <c r="J10">
        <f>ROUND(G10*Premissas!$D$5/10000,0)</f>
        <v/>
      </c>
      <c r="K10">
        <f>IF(IF(A10-1-Premissas!$D$16&gt;=0,OFFSET($A$4,A10-1-Premissas!$D$16,0)&gt;=Premissas!$D$19,FALSE),ROUND(IF(A10-1-Premissas!$D$16&gt;=0,OFFSET($J$4,A10-1-Premissas!$D$16,0),0)*Premissas!$D$15,0),0)</f>
        <v/>
      </c>
      <c r="L10">
        <f>ROUND(C10*Premissas!$D$24/12,0)</f>
        <v/>
      </c>
      <c r="M10">
        <f>ROUND(D10*Premissas!$D$25,0)</f>
        <v/>
      </c>
      <c r="N10">
        <f>ROUND(E10*Premissas!$D$29+B10*Premissas!$D$30,0)</f>
        <v/>
      </c>
      <c r="O10">
        <f>K10+L10+M10+N10</f>
        <v/>
      </c>
      <c r="P10">
        <f>K10+ROUND(AC10*Premissas!$D$24,0)+M10+N10</f>
        <v/>
      </c>
      <c r="Q10">
        <f>ROUND(IF(A10-1-Premissas!$D$21&gt;=0,OFFSET($P$4,A10-1-Premissas!$D$21,0),0)*(1-Premissas!$D$20/100),0)</f>
        <v/>
      </c>
      <c r="R10">
        <f>ROUND(F10*Premissas!$D$11+N10*Premissas!$D$31/100,0)+ROUND((E10+B10)*Premissas!$D$10,0)+ROUND(Q10*Premissas!$D$8/100,0)+ROUND(Premissas!$D$35+(B10+C10)*Premissas!$D$36,0)</f>
        <v/>
      </c>
      <c r="S10">
        <f>O10-R10</f>
        <v/>
      </c>
      <c r="T10">
        <f>ROUND(O10*Premissas!$D$9/100,0)</f>
        <v/>
      </c>
      <c r="U10">
        <f>ROUND(AB10*Premissas!$D$33,0)</f>
        <v/>
      </c>
      <c r="V10">
        <f>Premissas!$D$37+ROUND(Premissas!$D$12*Premissas!$D$38+D10*Premissas!$D$27,0)</f>
        <v/>
      </c>
      <c r="W10">
        <f>Premissas!$D$39</f>
        <v/>
      </c>
      <c r="X10">
        <f>S10-T10-ROUND(Premissas!$D$12*Premissas!$D$38+D10*Premissas!$D$27,0)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Premissas!$D$32+(B10+C10)/Premissas!$D$34</f>
        <v/>
      </c>
      <c r="AC10">
        <f>D10</f>
        <v/>
      </c>
    </row>
    <row r="11">
      <c r="A11" t="n">
        <v>8</v>
      </c>
      <c r="B11">
        <f>B10*(1-Premissas!$D$18/12)+Premissas!$D$12</f>
        <v/>
      </c>
      <c r="C11">
        <f>IF($B$2=1,C10*(1-Premissas!$D$26/12)+D11,0)</f>
        <v/>
      </c>
      <c r="D11">
        <f>IF(AND($B$2=1,A11&gt;=Premissas!$D$23),Premissas!$D$22,0)</f>
        <v/>
      </c>
      <c r="E11">
        <f>B11*Premissas!$D$28</f>
        <v/>
      </c>
      <c r="F11">
        <f>B11*Premissas!$D$13/12*MIN(1,A11/Premissas!$D$17)</f>
        <v/>
      </c>
      <c r="G11">
        <f>F11*Premissas!$D$14</f>
        <v/>
      </c>
      <c r="H11">
        <f>IF(IF(A11-1-Premissas!$D$16&gt;=0,OFFSET($J$4,A11-1-Premissas!$D$16,0),0)&gt;0,ROUND(IF(A11-1-Premissas!$D$16&gt;=0,OFFSET($J$4,A11-1-Premissas!$D$16,0),0)*10000/Premissas!$D$5*Premissas!$D$15,0),0)</f>
        <v/>
      </c>
      <c r="I11">
        <f>ROUND(G11*Premissas!$D$6/10000,0)</f>
        <v/>
      </c>
      <c r="J11">
        <f>ROUND(G11*Premissas!$D$5/10000,0)</f>
        <v/>
      </c>
      <c r="K11">
        <f>IF(IF(A11-1-Premissas!$D$16&gt;=0,OFFSET($A$4,A11-1-Premissas!$D$16,0)&gt;=Premissas!$D$19,FALSE),ROUND(IF(A11-1-Premissas!$D$16&gt;=0,OFFSET($J$4,A11-1-Premissas!$D$16,0),0)*Premissas!$D$15,0),0)</f>
        <v/>
      </c>
      <c r="L11">
        <f>ROUND(C11*Premissas!$D$24/12,0)</f>
        <v/>
      </c>
      <c r="M11">
        <f>ROUND(D11*Premissas!$D$25,0)</f>
        <v/>
      </c>
      <c r="N11">
        <f>ROUND(E11*Premissas!$D$29+B11*Premissas!$D$30,0)</f>
        <v/>
      </c>
      <c r="O11">
        <f>K11+L11+M11+N11</f>
        <v/>
      </c>
      <c r="P11">
        <f>K11+ROUND(AC11*Premissas!$D$24,0)+M11+N11</f>
        <v/>
      </c>
      <c r="Q11">
        <f>ROUND(IF(A11-1-Premissas!$D$21&gt;=0,OFFSET($P$4,A11-1-Premissas!$D$21,0),0)*(1-Premissas!$D$20/100),0)</f>
        <v/>
      </c>
      <c r="R11">
        <f>ROUND(F11*Premissas!$D$11+N11*Premissas!$D$31/100,0)+ROUND((E11+B11)*Premissas!$D$10,0)+ROUND(Q11*Premissas!$D$8/100,0)+ROUND(Premissas!$D$35+(B11+C11)*Premissas!$D$36,0)</f>
        <v/>
      </c>
      <c r="S11">
        <f>O11-R11</f>
        <v/>
      </c>
      <c r="T11">
        <f>ROUND(O11*Premissas!$D$9/100,0)</f>
        <v/>
      </c>
      <c r="U11">
        <f>ROUND(AB11*Premissas!$D$33,0)</f>
        <v/>
      </c>
      <c r="V11">
        <f>Premissas!$D$37+ROUND(Premissas!$D$12*Premissas!$D$38+D11*Premissas!$D$27,0)</f>
        <v/>
      </c>
      <c r="W11">
        <f>Premissas!$D$39</f>
        <v/>
      </c>
      <c r="X11">
        <f>S11-T11-ROUND(Premissas!$D$12*Premissas!$D$38+D11*Premissas!$D$27,0)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Premissas!$D$32+(B11+C11)/Premissas!$D$34</f>
        <v/>
      </c>
      <c r="AC11">
        <f>D11</f>
        <v/>
      </c>
    </row>
    <row r="12">
      <c r="A12" t="n">
        <v>9</v>
      </c>
      <c r="B12">
        <f>B11*(1-Premissas!$D$18/12)+Premissas!$D$12</f>
        <v/>
      </c>
      <c r="C12">
        <f>IF($B$2=1,C11*(1-Premissas!$D$26/12)+D12,0)</f>
        <v/>
      </c>
      <c r="D12">
        <f>IF(AND($B$2=1,A12&gt;=Premissas!$D$23),Premissas!$D$22,0)</f>
        <v/>
      </c>
      <c r="E12">
        <f>B12*Premissas!$D$28</f>
        <v/>
      </c>
      <c r="F12">
        <f>B12*Premissas!$D$13/12*MIN(1,A12/Premissas!$D$17)</f>
        <v/>
      </c>
      <c r="G12">
        <f>F12*Premissas!$D$14</f>
        <v/>
      </c>
      <c r="H12">
        <f>IF(IF(A12-1-Premissas!$D$16&gt;=0,OFFSET($J$4,A12-1-Premissas!$D$16,0),0)&gt;0,ROUND(IF(A12-1-Premissas!$D$16&gt;=0,OFFSET($J$4,A12-1-Premissas!$D$16,0),0)*10000/Premissas!$D$5*Premissas!$D$15,0),0)</f>
        <v/>
      </c>
      <c r="I12">
        <f>ROUND(G12*Premissas!$D$6/10000,0)</f>
        <v/>
      </c>
      <c r="J12">
        <f>ROUND(G12*Premissas!$D$5/10000,0)</f>
        <v/>
      </c>
      <c r="K12">
        <f>IF(IF(A12-1-Premissas!$D$16&gt;=0,OFFSET($A$4,A12-1-Premissas!$D$16,0)&gt;=Premissas!$D$19,FALSE),ROUND(IF(A12-1-Premissas!$D$16&gt;=0,OFFSET($J$4,A12-1-Premissas!$D$16,0),0)*Premissas!$D$15,0),0)</f>
        <v/>
      </c>
      <c r="L12">
        <f>ROUND(C12*Premissas!$D$24/12,0)</f>
        <v/>
      </c>
      <c r="M12">
        <f>ROUND(D12*Premissas!$D$25,0)</f>
        <v/>
      </c>
      <c r="N12">
        <f>ROUND(E12*Premissas!$D$29+B12*Premissas!$D$30,0)</f>
        <v/>
      </c>
      <c r="O12">
        <f>K12+L12+M12+N12</f>
        <v/>
      </c>
      <c r="P12">
        <f>K12+ROUND(AC12*Premissas!$D$24,0)+M12+N12</f>
        <v/>
      </c>
      <c r="Q12">
        <f>ROUND(IF(A12-1-Premissas!$D$21&gt;=0,OFFSET($P$4,A12-1-Premissas!$D$21,0),0)*(1-Premissas!$D$20/100),0)</f>
        <v/>
      </c>
      <c r="R12">
        <f>ROUND(F12*Premissas!$D$11+N12*Premissas!$D$31/100,0)+ROUND((E12+B12)*Premissas!$D$10,0)+ROUND(Q12*Premissas!$D$8/100,0)+ROUND(Premissas!$D$35+(B12+C12)*Premissas!$D$36,0)</f>
        <v/>
      </c>
      <c r="S12">
        <f>O12-R12</f>
        <v/>
      </c>
      <c r="T12">
        <f>ROUND(O12*Premissas!$D$9/100,0)</f>
        <v/>
      </c>
      <c r="U12">
        <f>ROUND(AB12*Premissas!$D$33,0)</f>
        <v/>
      </c>
      <c r="V12">
        <f>Premissas!$D$37+ROUND(Premissas!$D$12*Premissas!$D$38+D12*Premissas!$D$27,0)</f>
        <v/>
      </c>
      <c r="W12">
        <f>Premissas!$D$39</f>
        <v/>
      </c>
      <c r="X12">
        <f>S12-T12-ROUND(Premissas!$D$12*Premissas!$D$38+D12*Premissas!$D$27,0)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Premissas!$D$32+(B12+C12)/Premissas!$D$34</f>
        <v/>
      </c>
      <c r="AC12">
        <f>D12</f>
        <v/>
      </c>
    </row>
    <row r="13">
      <c r="A13" t="n">
        <v>10</v>
      </c>
      <c r="B13">
        <f>B12*(1-Premissas!$D$18/12)+Premissas!$D$12</f>
        <v/>
      </c>
      <c r="C13">
        <f>IF($B$2=1,C12*(1-Premissas!$D$26/12)+D13,0)</f>
        <v/>
      </c>
      <c r="D13">
        <f>IF(AND($B$2=1,A13&gt;=Premissas!$D$23),Premissas!$D$22,0)</f>
        <v/>
      </c>
      <c r="E13">
        <f>B13*Premissas!$D$28</f>
        <v/>
      </c>
      <c r="F13">
        <f>B13*Premissas!$D$13/12*MIN(1,A13/Premissas!$D$17)</f>
        <v/>
      </c>
      <c r="G13">
        <f>F13*Premissas!$D$14</f>
        <v/>
      </c>
      <c r="H13">
        <f>IF(IF(A13-1-Premissas!$D$16&gt;=0,OFFSET($J$4,A13-1-Premissas!$D$16,0),0)&gt;0,ROUND(IF(A13-1-Premissas!$D$16&gt;=0,OFFSET($J$4,A13-1-Premissas!$D$16,0),0)*10000/Premissas!$D$5*Premissas!$D$15,0),0)</f>
        <v/>
      </c>
      <c r="I13">
        <f>ROUND(G13*Premissas!$D$6/10000,0)</f>
        <v/>
      </c>
      <c r="J13">
        <f>ROUND(G13*Premissas!$D$5/10000,0)</f>
        <v/>
      </c>
      <c r="K13">
        <f>IF(IF(A13-1-Premissas!$D$16&gt;=0,OFFSET($A$4,A13-1-Premissas!$D$16,0)&gt;=Premissas!$D$19,FALSE),ROUND(IF(A13-1-Premissas!$D$16&gt;=0,OFFSET($J$4,A13-1-Premissas!$D$16,0),0)*Premissas!$D$15,0),0)</f>
        <v/>
      </c>
      <c r="L13">
        <f>ROUND(C13*Premissas!$D$24/12,0)</f>
        <v/>
      </c>
      <c r="M13">
        <f>ROUND(D13*Premissas!$D$25,0)</f>
        <v/>
      </c>
      <c r="N13">
        <f>ROUND(E13*Premissas!$D$29+B13*Premissas!$D$30,0)</f>
        <v/>
      </c>
      <c r="O13">
        <f>K13+L13+M13+N13</f>
        <v/>
      </c>
      <c r="P13">
        <f>K13+ROUND(AC13*Premissas!$D$24,0)+M13+N13</f>
        <v/>
      </c>
      <c r="Q13">
        <f>ROUND(IF(A13-1-Premissas!$D$21&gt;=0,OFFSET($P$4,A13-1-Premissas!$D$21,0),0)*(1-Premissas!$D$20/100),0)</f>
        <v/>
      </c>
      <c r="R13">
        <f>ROUND(F13*Premissas!$D$11+N13*Premissas!$D$31/100,0)+ROUND((E13+B13)*Premissas!$D$10,0)+ROUND(Q13*Premissas!$D$8/100,0)+ROUND(Premissas!$D$35+(B13+C13)*Premissas!$D$36,0)</f>
        <v/>
      </c>
      <c r="S13">
        <f>O13-R13</f>
        <v/>
      </c>
      <c r="T13">
        <f>ROUND(O13*Premissas!$D$9/100,0)</f>
        <v/>
      </c>
      <c r="U13">
        <f>ROUND(AB13*Premissas!$D$33,0)</f>
        <v/>
      </c>
      <c r="V13">
        <f>Premissas!$D$37+ROUND(Premissas!$D$12*Premissas!$D$38+D13*Premissas!$D$27,0)</f>
        <v/>
      </c>
      <c r="W13">
        <f>Premissas!$D$39</f>
        <v/>
      </c>
      <c r="X13">
        <f>S13-T13-ROUND(Premissas!$D$12*Premissas!$D$38+D13*Premissas!$D$27,0)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Premissas!$D$32+(B13+C13)/Premissas!$D$34</f>
        <v/>
      </c>
      <c r="AC13">
        <f>D13</f>
        <v/>
      </c>
    </row>
    <row r="14">
      <c r="A14" t="n">
        <v>11</v>
      </c>
      <c r="B14">
        <f>B13*(1-Premissas!$D$18/12)+Premissas!$D$12</f>
        <v/>
      </c>
      <c r="C14">
        <f>IF($B$2=1,C13*(1-Premissas!$D$26/12)+D14,0)</f>
        <v/>
      </c>
      <c r="D14">
        <f>IF(AND($B$2=1,A14&gt;=Premissas!$D$23),Premissas!$D$22,0)</f>
        <v/>
      </c>
      <c r="E14">
        <f>B14*Premissas!$D$28</f>
        <v/>
      </c>
      <c r="F14">
        <f>B14*Premissas!$D$13/12*MIN(1,A14/Premissas!$D$17)</f>
        <v/>
      </c>
      <c r="G14">
        <f>F14*Premissas!$D$14</f>
        <v/>
      </c>
      <c r="H14">
        <f>IF(IF(A14-1-Premissas!$D$16&gt;=0,OFFSET($J$4,A14-1-Premissas!$D$16,0),0)&gt;0,ROUND(IF(A14-1-Premissas!$D$16&gt;=0,OFFSET($J$4,A14-1-Premissas!$D$16,0),0)*10000/Premissas!$D$5*Premissas!$D$15,0),0)</f>
        <v/>
      </c>
      <c r="I14">
        <f>ROUND(G14*Premissas!$D$6/10000,0)</f>
        <v/>
      </c>
      <c r="J14">
        <f>ROUND(G14*Premissas!$D$5/10000,0)</f>
        <v/>
      </c>
      <c r="K14">
        <f>IF(IF(A14-1-Premissas!$D$16&gt;=0,OFFSET($A$4,A14-1-Premissas!$D$16,0)&gt;=Premissas!$D$19,FALSE),ROUND(IF(A14-1-Premissas!$D$16&gt;=0,OFFSET($J$4,A14-1-Premissas!$D$16,0),0)*Premissas!$D$15,0),0)</f>
        <v/>
      </c>
      <c r="L14">
        <f>ROUND(C14*Premissas!$D$24/12,0)</f>
        <v/>
      </c>
      <c r="M14">
        <f>ROUND(D14*Premissas!$D$25,0)</f>
        <v/>
      </c>
      <c r="N14">
        <f>ROUND(E14*Premissas!$D$29+B14*Premissas!$D$30,0)</f>
        <v/>
      </c>
      <c r="O14">
        <f>K14+L14+M14+N14</f>
        <v/>
      </c>
      <c r="P14">
        <f>K14+ROUND(AC14*Premissas!$D$24,0)+M14+N14</f>
        <v/>
      </c>
      <c r="Q14">
        <f>ROUND(IF(A14-1-Premissas!$D$21&gt;=0,OFFSET($P$4,A14-1-Premissas!$D$21,0),0)*(1-Premissas!$D$20/100),0)</f>
        <v/>
      </c>
      <c r="R14">
        <f>ROUND(F14*Premissas!$D$11+N14*Premissas!$D$31/100,0)+ROUND((E14+B14)*Premissas!$D$10,0)+ROUND(Q14*Premissas!$D$8/100,0)+ROUND(Premissas!$D$35+(B14+C14)*Premissas!$D$36,0)</f>
        <v/>
      </c>
      <c r="S14">
        <f>O14-R14</f>
        <v/>
      </c>
      <c r="T14">
        <f>ROUND(O14*Premissas!$D$9/100,0)</f>
        <v/>
      </c>
      <c r="U14">
        <f>ROUND(AB14*Premissas!$D$33,0)</f>
        <v/>
      </c>
      <c r="V14">
        <f>Premissas!$D$37+ROUND(Premissas!$D$12*Premissas!$D$38+D14*Premissas!$D$27,0)</f>
        <v/>
      </c>
      <c r="W14">
        <f>Premissas!$D$39</f>
        <v/>
      </c>
      <c r="X14">
        <f>S14-T14-ROUND(Premissas!$D$12*Premissas!$D$38+D14*Premissas!$D$27,0)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Premissas!$D$32+(B14+C14)/Premissas!$D$34</f>
        <v/>
      </c>
      <c r="AC14">
        <f>D14</f>
        <v/>
      </c>
    </row>
    <row r="15">
      <c r="A15" t="n">
        <v>12</v>
      </c>
      <c r="B15">
        <f>B14*(1-Premissas!$D$18/12)+Premissas!$D$12</f>
        <v/>
      </c>
      <c r="C15">
        <f>IF($B$2=1,C14*(1-Premissas!$D$26/12)+D15,0)</f>
        <v/>
      </c>
      <c r="D15">
        <f>IF(AND($B$2=1,A15&gt;=Premissas!$D$23),Premissas!$D$22,0)</f>
        <v/>
      </c>
      <c r="E15">
        <f>B15*Premissas!$D$28</f>
        <v/>
      </c>
      <c r="F15">
        <f>B15*Premissas!$D$13/12*MIN(1,A15/Premissas!$D$17)</f>
        <v/>
      </c>
      <c r="G15">
        <f>F15*Premissas!$D$14</f>
        <v/>
      </c>
      <c r="H15">
        <f>IF(IF(A15-1-Premissas!$D$16&gt;=0,OFFSET($J$4,A15-1-Premissas!$D$16,0),0)&gt;0,ROUND(IF(A15-1-Premissas!$D$16&gt;=0,OFFSET($J$4,A15-1-Premissas!$D$16,0),0)*10000/Premissas!$D$5*Premissas!$D$15,0),0)</f>
        <v/>
      </c>
      <c r="I15">
        <f>ROUND(G15*Premissas!$D$6/10000,0)</f>
        <v/>
      </c>
      <c r="J15">
        <f>ROUND(G15*Premissas!$D$5/10000,0)</f>
        <v/>
      </c>
      <c r="K15">
        <f>IF(IF(A15-1-Premissas!$D$16&gt;=0,OFFSET($A$4,A15-1-Premissas!$D$16,0)&gt;=Premissas!$D$19,FALSE),ROUND(IF(A15-1-Premissas!$D$16&gt;=0,OFFSET($J$4,A15-1-Premissas!$D$16,0),0)*Premissas!$D$15,0),0)</f>
        <v/>
      </c>
      <c r="L15">
        <f>ROUND(C15*Premissas!$D$24/12,0)</f>
        <v/>
      </c>
      <c r="M15">
        <f>ROUND(D15*Premissas!$D$25,0)</f>
        <v/>
      </c>
      <c r="N15">
        <f>ROUND(E15*Premissas!$D$29+B15*Premissas!$D$30,0)</f>
        <v/>
      </c>
      <c r="O15">
        <f>K15+L15+M15+N15</f>
        <v/>
      </c>
      <c r="P15">
        <f>K15+ROUND(AC15*Premissas!$D$24,0)+M15+N15</f>
        <v/>
      </c>
      <c r="Q15">
        <f>ROUND(IF(A15-1-Premissas!$D$21&gt;=0,OFFSET($P$4,A15-1-Premissas!$D$21,0),0)*(1-Premissas!$D$20/100),0)</f>
        <v/>
      </c>
      <c r="R15">
        <f>ROUND(F15*Premissas!$D$11+N15*Premissas!$D$31/100,0)+ROUND((E15+B15)*Premissas!$D$10,0)+ROUND(Q15*Premissas!$D$8/100,0)+ROUND(Premissas!$D$35+(B15+C15)*Premissas!$D$36,0)</f>
        <v/>
      </c>
      <c r="S15">
        <f>O15-R15</f>
        <v/>
      </c>
      <c r="T15">
        <f>ROUND(O15*Premissas!$D$9/100,0)</f>
        <v/>
      </c>
      <c r="U15">
        <f>ROUND(AB15*Premissas!$D$33,0)</f>
        <v/>
      </c>
      <c r="V15">
        <f>Premissas!$D$37+ROUND(Premissas!$D$12*Premissas!$D$38+D15*Premissas!$D$27,0)</f>
        <v/>
      </c>
      <c r="W15">
        <f>Premissas!$D$39</f>
        <v/>
      </c>
      <c r="X15">
        <f>S15-T15-ROUND(Premissas!$D$12*Premissas!$D$38+D15*Premissas!$D$27,0)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Premissas!$D$32+(B15+C15)/Premissas!$D$34</f>
        <v/>
      </c>
      <c r="AC15">
        <f>D15</f>
        <v/>
      </c>
    </row>
    <row r="16">
      <c r="A16" t="n">
        <v>13</v>
      </c>
      <c r="B16">
        <f>B15*(1-Premissas!$D$18/12)+Premissas!$D$12</f>
        <v/>
      </c>
      <c r="C16">
        <f>IF($B$2=1,C15*(1-Premissas!$D$26/12)+D16,0)</f>
        <v/>
      </c>
      <c r="D16">
        <f>IF(AND($B$2=1,A16&gt;=Premissas!$D$23),Premissas!$D$22,0)</f>
        <v/>
      </c>
      <c r="E16">
        <f>B16*Premissas!$D$28</f>
        <v/>
      </c>
      <c r="F16">
        <f>B16*Premissas!$D$13/12*MIN(1,A16/Premissas!$D$17)</f>
        <v/>
      </c>
      <c r="G16">
        <f>F16*Premissas!$D$14</f>
        <v/>
      </c>
      <c r="H16">
        <f>IF(IF(A16-1-Premissas!$D$16&gt;=0,OFFSET($J$4,A16-1-Premissas!$D$16,0),0)&gt;0,ROUND(IF(A16-1-Premissas!$D$16&gt;=0,OFFSET($J$4,A16-1-Premissas!$D$16,0),0)*10000/Premissas!$D$5*Premissas!$D$15,0),0)</f>
        <v/>
      </c>
      <c r="I16">
        <f>ROUND(G16*Premissas!$D$6/10000,0)</f>
        <v/>
      </c>
      <c r="J16">
        <f>ROUND(G16*Premissas!$D$5/10000,0)</f>
        <v/>
      </c>
      <c r="K16">
        <f>IF(IF(A16-1-Premissas!$D$16&gt;=0,OFFSET($A$4,A16-1-Premissas!$D$16,0)&gt;=Premissas!$D$19,FALSE),ROUND(IF(A16-1-Premissas!$D$16&gt;=0,OFFSET($J$4,A16-1-Premissas!$D$16,0),0)*Premissas!$D$15,0),0)</f>
        <v/>
      </c>
      <c r="L16">
        <f>ROUND(C16*Premissas!$D$24/12,0)</f>
        <v/>
      </c>
      <c r="M16">
        <f>ROUND(D16*Premissas!$D$25,0)</f>
        <v/>
      </c>
      <c r="N16">
        <f>ROUND(E16*Premissas!$D$29+B16*Premissas!$D$30,0)</f>
        <v/>
      </c>
      <c r="O16">
        <f>K16+L16+M16+N16</f>
        <v/>
      </c>
      <c r="P16">
        <f>K16+ROUND(AC16*Premissas!$D$24,0)+M16+N16</f>
        <v/>
      </c>
      <c r="Q16">
        <f>ROUND(IF(A16-1-Premissas!$D$21&gt;=0,OFFSET($P$4,A16-1-Premissas!$D$21,0),0)*(1-Premissas!$D$20/100),0)</f>
        <v/>
      </c>
      <c r="R16">
        <f>ROUND(F16*Premissas!$D$11+N16*Premissas!$D$31/100,0)+ROUND((E16+B16)*Premissas!$D$10,0)+ROUND(Q16*Premissas!$D$8/100,0)+ROUND(Premissas!$D$35+(B16+C16)*Premissas!$D$36,0)</f>
        <v/>
      </c>
      <c r="S16">
        <f>O16-R16</f>
        <v/>
      </c>
      <c r="T16">
        <f>ROUND(O16*Premissas!$D$9/100,0)</f>
        <v/>
      </c>
      <c r="U16">
        <f>ROUND(AB16*Premissas!$D$33,0)</f>
        <v/>
      </c>
      <c r="V16">
        <f>Premissas!$D$37+ROUND(Premissas!$D$12*Premissas!$D$38+D16*Premissas!$D$27,0)</f>
        <v/>
      </c>
      <c r="W16">
        <f>Premissas!$D$39</f>
        <v/>
      </c>
      <c r="X16">
        <f>S16-T16-ROUND(Premissas!$D$12*Premissas!$D$38+D16*Premissas!$D$27,0)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Premissas!$D$32+(B16+C16)/Premissas!$D$34</f>
        <v/>
      </c>
      <c r="AC16">
        <f>D16+AC4*(1-Premissas!$D$26/12)^12</f>
        <v/>
      </c>
    </row>
    <row r="17">
      <c r="A17" t="n">
        <v>14</v>
      </c>
      <c r="B17">
        <f>B16*(1-Premissas!$D$18/12)+Premissas!$D$12</f>
        <v/>
      </c>
      <c r="C17">
        <f>IF($B$2=1,C16*(1-Premissas!$D$26/12)+D17,0)</f>
        <v/>
      </c>
      <c r="D17">
        <f>IF(AND($B$2=1,A17&gt;=Premissas!$D$23),Premissas!$D$22,0)</f>
        <v/>
      </c>
      <c r="E17">
        <f>B17*Premissas!$D$28</f>
        <v/>
      </c>
      <c r="F17">
        <f>B17*Premissas!$D$13/12*MIN(1,A17/Premissas!$D$17)</f>
        <v/>
      </c>
      <c r="G17">
        <f>F17*Premissas!$D$14</f>
        <v/>
      </c>
      <c r="H17">
        <f>IF(IF(A17-1-Premissas!$D$16&gt;=0,OFFSET($J$4,A17-1-Premissas!$D$16,0),0)&gt;0,ROUND(IF(A17-1-Premissas!$D$16&gt;=0,OFFSET($J$4,A17-1-Premissas!$D$16,0),0)*10000/Premissas!$D$5*Premissas!$D$15,0),0)</f>
        <v/>
      </c>
      <c r="I17">
        <f>ROUND(G17*Premissas!$D$6/10000,0)</f>
        <v/>
      </c>
      <c r="J17">
        <f>ROUND(G17*Premissas!$D$5/10000,0)</f>
        <v/>
      </c>
      <c r="K17">
        <f>IF(IF(A17-1-Premissas!$D$16&gt;=0,OFFSET($A$4,A17-1-Premissas!$D$16,0)&gt;=Premissas!$D$19,FALSE),ROUND(IF(A17-1-Premissas!$D$16&gt;=0,OFFSET($J$4,A17-1-Premissas!$D$16,0),0)*Premissas!$D$15,0),0)</f>
        <v/>
      </c>
      <c r="L17">
        <f>ROUND(C17*Premissas!$D$24/12,0)</f>
        <v/>
      </c>
      <c r="M17">
        <f>ROUND(D17*Premissas!$D$25,0)</f>
        <v/>
      </c>
      <c r="N17">
        <f>ROUND(E17*Premissas!$D$29+B17*Premissas!$D$30,0)</f>
        <v/>
      </c>
      <c r="O17">
        <f>K17+L17+M17+N17</f>
        <v/>
      </c>
      <c r="P17">
        <f>K17+ROUND(AC17*Premissas!$D$24,0)+M17+N17</f>
        <v/>
      </c>
      <c r="Q17">
        <f>ROUND(IF(A17-1-Premissas!$D$21&gt;=0,OFFSET($P$4,A17-1-Premissas!$D$21,0),0)*(1-Premissas!$D$20/100),0)</f>
        <v/>
      </c>
      <c r="R17">
        <f>ROUND(F17*Premissas!$D$11+N17*Premissas!$D$31/100,0)+ROUND((E17+B17)*Premissas!$D$10,0)+ROUND(Q17*Premissas!$D$8/100,0)+ROUND(Premissas!$D$35+(B17+C17)*Premissas!$D$36,0)</f>
        <v/>
      </c>
      <c r="S17">
        <f>O17-R17</f>
        <v/>
      </c>
      <c r="T17">
        <f>ROUND(O17*Premissas!$D$9/100,0)</f>
        <v/>
      </c>
      <c r="U17">
        <f>ROUND(AB17*Premissas!$D$33,0)</f>
        <v/>
      </c>
      <c r="V17">
        <f>Premissas!$D$37+ROUND(Premissas!$D$12*Premissas!$D$38+D17*Premissas!$D$27,0)</f>
        <v/>
      </c>
      <c r="W17">
        <f>Premissas!$D$39</f>
        <v/>
      </c>
      <c r="X17">
        <f>S17-T17-ROUND(Premissas!$D$12*Premissas!$D$38+D17*Premissas!$D$27,0)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Premissas!$D$32+(B17+C17)/Premissas!$D$34</f>
        <v/>
      </c>
      <c r="AC17">
        <f>D17+AC5*(1-Premissas!$D$26/12)^12</f>
        <v/>
      </c>
    </row>
    <row r="18">
      <c r="A18" t="n">
        <v>15</v>
      </c>
      <c r="B18">
        <f>B17*(1-Premissas!$D$18/12)+Premissas!$D$12</f>
        <v/>
      </c>
      <c r="C18">
        <f>IF($B$2=1,C17*(1-Premissas!$D$26/12)+D18,0)</f>
        <v/>
      </c>
      <c r="D18">
        <f>IF(AND($B$2=1,A18&gt;=Premissas!$D$23),Premissas!$D$22,0)</f>
        <v/>
      </c>
      <c r="E18">
        <f>B18*Premissas!$D$28</f>
        <v/>
      </c>
      <c r="F18">
        <f>B18*Premissas!$D$13/12*MIN(1,A18/Premissas!$D$17)</f>
        <v/>
      </c>
      <c r="G18">
        <f>F18*Premissas!$D$14</f>
        <v/>
      </c>
      <c r="H18">
        <f>IF(IF(A18-1-Premissas!$D$16&gt;=0,OFFSET($J$4,A18-1-Premissas!$D$16,0),0)&gt;0,ROUND(IF(A18-1-Premissas!$D$16&gt;=0,OFFSET($J$4,A18-1-Premissas!$D$16,0),0)*10000/Premissas!$D$5*Premissas!$D$15,0),0)</f>
        <v/>
      </c>
      <c r="I18">
        <f>ROUND(G18*Premissas!$D$6/10000,0)</f>
        <v/>
      </c>
      <c r="J18">
        <f>ROUND(G18*Premissas!$D$5/10000,0)</f>
        <v/>
      </c>
      <c r="K18">
        <f>IF(IF(A18-1-Premissas!$D$16&gt;=0,OFFSET($A$4,A18-1-Premissas!$D$16,0)&gt;=Premissas!$D$19,FALSE),ROUND(IF(A18-1-Premissas!$D$16&gt;=0,OFFSET($J$4,A18-1-Premissas!$D$16,0),0)*Premissas!$D$15,0),0)</f>
        <v/>
      </c>
      <c r="L18">
        <f>ROUND(C18*Premissas!$D$24/12,0)</f>
        <v/>
      </c>
      <c r="M18">
        <f>ROUND(D18*Premissas!$D$25,0)</f>
        <v/>
      </c>
      <c r="N18">
        <f>ROUND(E18*Premissas!$D$29+B18*Premissas!$D$30,0)</f>
        <v/>
      </c>
      <c r="O18">
        <f>K18+L18+M18+N18</f>
        <v/>
      </c>
      <c r="P18">
        <f>K18+ROUND(AC18*Premissas!$D$24,0)+M18+N18</f>
        <v/>
      </c>
      <c r="Q18">
        <f>ROUND(IF(A18-1-Premissas!$D$21&gt;=0,OFFSET($P$4,A18-1-Premissas!$D$21,0),0)*(1-Premissas!$D$20/100),0)</f>
        <v/>
      </c>
      <c r="R18">
        <f>ROUND(F18*Premissas!$D$11+N18*Premissas!$D$31/100,0)+ROUND((E18+B18)*Premissas!$D$10,0)+ROUND(Q18*Premissas!$D$8/100,0)+ROUND(Premissas!$D$35+(B18+C18)*Premissas!$D$36,0)</f>
        <v/>
      </c>
      <c r="S18">
        <f>O18-R18</f>
        <v/>
      </c>
      <c r="T18">
        <f>ROUND(O18*Premissas!$D$9/100,0)</f>
        <v/>
      </c>
      <c r="U18">
        <f>ROUND(AB18*Premissas!$D$33,0)</f>
        <v/>
      </c>
      <c r="V18">
        <f>Premissas!$D$37+ROUND(Premissas!$D$12*Premissas!$D$38+D18*Premissas!$D$27,0)</f>
        <v/>
      </c>
      <c r="W18">
        <f>Premissas!$D$39</f>
        <v/>
      </c>
      <c r="X18">
        <f>S18-T18-ROUND(Premissas!$D$12*Premissas!$D$38+D18*Premissas!$D$27,0)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Premissas!$D$32+(B18+C18)/Premissas!$D$34</f>
        <v/>
      </c>
      <c r="AC18">
        <f>D18+AC6*(1-Premissas!$D$26/12)^12</f>
        <v/>
      </c>
    </row>
    <row r="19">
      <c r="A19" t="n">
        <v>16</v>
      </c>
      <c r="B19">
        <f>B18*(1-Premissas!$D$18/12)+Premissas!$D$12</f>
        <v/>
      </c>
      <c r="C19">
        <f>IF($B$2=1,C18*(1-Premissas!$D$26/12)+D19,0)</f>
        <v/>
      </c>
      <c r="D19">
        <f>IF(AND($B$2=1,A19&gt;=Premissas!$D$23),Premissas!$D$22,0)</f>
        <v/>
      </c>
      <c r="E19">
        <f>B19*Premissas!$D$28</f>
        <v/>
      </c>
      <c r="F19">
        <f>B19*Premissas!$D$13/12*MIN(1,A19/Premissas!$D$17)</f>
        <v/>
      </c>
      <c r="G19">
        <f>F19*Premissas!$D$14</f>
        <v/>
      </c>
      <c r="H19">
        <f>IF(IF(A19-1-Premissas!$D$16&gt;=0,OFFSET($J$4,A19-1-Premissas!$D$16,0),0)&gt;0,ROUND(IF(A19-1-Premissas!$D$16&gt;=0,OFFSET($J$4,A19-1-Premissas!$D$16,0),0)*10000/Premissas!$D$5*Premissas!$D$15,0),0)</f>
        <v/>
      </c>
      <c r="I19">
        <f>ROUND(G19*Premissas!$D$6/10000,0)</f>
        <v/>
      </c>
      <c r="J19">
        <f>ROUND(G19*Premissas!$D$5/10000,0)</f>
        <v/>
      </c>
      <c r="K19">
        <f>IF(IF(A19-1-Premissas!$D$16&gt;=0,OFFSET($A$4,A19-1-Premissas!$D$16,0)&gt;=Premissas!$D$19,FALSE),ROUND(IF(A19-1-Premissas!$D$16&gt;=0,OFFSET($J$4,A19-1-Premissas!$D$16,0),0)*Premissas!$D$15,0),0)</f>
        <v/>
      </c>
      <c r="L19">
        <f>ROUND(C19*Premissas!$D$24/12,0)</f>
        <v/>
      </c>
      <c r="M19">
        <f>ROUND(D19*Premissas!$D$25,0)</f>
        <v/>
      </c>
      <c r="N19">
        <f>ROUND(E19*Premissas!$D$29+B19*Premissas!$D$30,0)</f>
        <v/>
      </c>
      <c r="O19">
        <f>K19+L19+M19+N19</f>
        <v/>
      </c>
      <c r="P19">
        <f>K19+ROUND(AC19*Premissas!$D$24,0)+M19+N19</f>
        <v/>
      </c>
      <c r="Q19">
        <f>ROUND(IF(A19-1-Premissas!$D$21&gt;=0,OFFSET($P$4,A19-1-Premissas!$D$21,0),0)*(1-Premissas!$D$20/100),0)</f>
        <v/>
      </c>
      <c r="R19">
        <f>ROUND(F19*Premissas!$D$11+N19*Premissas!$D$31/100,0)+ROUND((E19+B19)*Premissas!$D$10,0)+ROUND(Q19*Premissas!$D$8/100,0)+ROUND(Premissas!$D$35+(B19+C19)*Premissas!$D$36,0)</f>
        <v/>
      </c>
      <c r="S19">
        <f>O19-R19</f>
        <v/>
      </c>
      <c r="T19">
        <f>ROUND(O19*Premissas!$D$9/100,0)</f>
        <v/>
      </c>
      <c r="U19">
        <f>ROUND(AB19*Premissas!$D$33,0)</f>
        <v/>
      </c>
      <c r="V19">
        <f>Premissas!$D$37+ROUND(Premissas!$D$12*Premissas!$D$38+D19*Premissas!$D$27,0)</f>
        <v/>
      </c>
      <c r="W19">
        <f>Premissas!$D$39</f>
        <v/>
      </c>
      <c r="X19">
        <f>S19-T19-ROUND(Premissas!$D$12*Premissas!$D$38+D19*Premissas!$D$27,0)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Premissas!$D$32+(B19+C19)/Premissas!$D$34</f>
        <v/>
      </c>
      <c r="AC19">
        <f>D19+AC7*(1-Premissas!$D$26/12)^12</f>
        <v/>
      </c>
    </row>
    <row r="20">
      <c r="A20" t="n">
        <v>17</v>
      </c>
      <c r="B20">
        <f>B19*(1-Premissas!$D$18/12)+Premissas!$D$12</f>
        <v/>
      </c>
      <c r="C20">
        <f>IF($B$2=1,C19*(1-Premissas!$D$26/12)+D20,0)</f>
        <v/>
      </c>
      <c r="D20">
        <f>IF(AND($B$2=1,A20&gt;=Premissas!$D$23),Premissas!$D$22,0)</f>
        <v/>
      </c>
      <c r="E20">
        <f>B20*Premissas!$D$28</f>
        <v/>
      </c>
      <c r="F20">
        <f>B20*Premissas!$D$13/12*MIN(1,A20/Premissas!$D$17)</f>
        <v/>
      </c>
      <c r="G20">
        <f>F20*Premissas!$D$14</f>
        <v/>
      </c>
      <c r="H20">
        <f>IF(IF(A20-1-Premissas!$D$16&gt;=0,OFFSET($J$4,A20-1-Premissas!$D$16,0),0)&gt;0,ROUND(IF(A20-1-Premissas!$D$16&gt;=0,OFFSET($J$4,A20-1-Premissas!$D$16,0),0)*10000/Premissas!$D$5*Premissas!$D$15,0),0)</f>
        <v/>
      </c>
      <c r="I20">
        <f>ROUND(G20*Premissas!$D$6/10000,0)</f>
        <v/>
      </c>
      <c r="J20">
        <f>ROUND(G20*Premissas!$D$5/10000,0)</f>
        <v/>
      </c>
      <c r="K20">
        <f>IF(IF(A20-1-Premissas!$D$16&gt;=0,OFFSET($A$4,A20-1-Premissas!$D$16,0)&gt;=Premissas!$D$19,FALSE),ROUND(IF(A20-1-Premissas!$D$16&gt;=0,OFFSET($J$4,A20-1-Premissas!$D$16,0),0)*Premissas!$D$15,0),0)</f>
        <v/>
      </c>
      <c r="L20">
        <f>ROUND(C20*Premissas!$D$24/12,0)</f>
        <v/>
      </c>
      <c r="M20">
        <f>ROUND(D20*Premissas!$D$25,0)</f>
        <v/>
      </c>
      <c r="N20">
        <f>ROUND(E20*Premissas!$D$29+B20*Premissas!$D$30,0)</f>
        <v/>
      </c>
      <c r="O20">
        <f>K20+L20+M20+N20</f>
        <v/>
      </c>
      <c r="P20">
        <f>K20+ROUND(AC20*Premissas!$D$24,0)+M20+N20</f>
        <v/>
      </c>
      <c r="Q20">
        <f>ROUND(IF(A20-1-Premissas!$D$21&gt;=0,OFFSET($P$4,A20-1-Premissas!$D$21,0),0)*(1-Premissas!$D$20/100),0)</f>
        <v/>
      </c>
      <c r="R20">
        <f>ROUND(F20*Premissas!$D$11+N20*Premissas!$D$31/100,0)+ROUND((E20+B20)*Premissas!$D$10,0)+ROUND(Q20*Premissas!$D$8/100,0)+ROUND(Premissas!$D$35+(B20+C20)*Premissas!$D$36,0)</f>
        <v/>
      </c>
      <c r="S20">
        <f>O20-R20</f>
        <v/>
      </c>
      <c r="T20">
        <f>ROUND(O20*Premissas!$D$9/100,0)</f>
        <v/>
      </c>
      <c r="U20">
        <f>ROUND(AB20*Premissas!$D$33,0)</f>
        <v/>
      </c>
      <c r="V20">
        <f>Premissas!$D$37+ROUND(Premissas!$D$12*Premissas!$D$38+D20*Premissas!$D$27,0)</f>
        <v/>
      </c>
      <c r="W20">
        <f>Premissas!$D$39</f>
        <v/>
      </c>
      <c r="X20">
        <f>S20-T20-ROUND(Premissas!$D$12*Premissas!$D$38+D20*Premissas!$D$27,0)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Premissas!$D$32+(B20+C20)/Premissas!$D$34</f>
        <v/>
      </c>
      <c r="AC20">
        <f>D20+AC8*(1-Premissas!$D$26/12)^12</f>
        <v/>
      </c>
    </row>
    <row r="21">
      <c r="A21" t="n">
        <v>18</v>
      </c>
      <c r="B21">
        <f>B20*(1-Premissas!$D$18/12)+Premissas!$D$12</f>
        <v/>
      </c>
      <c r="C21">
        <f>IF($B$2=1,C20*(1-Premissas!$D$26/12)+D21,0)</f>
        <v/>
      </c>
      <c r="D21">
        <f>IF(AND($B$2=1,A21&gt;=Premissas!$D$23),Premissas!$D$22,0)</f>
        <v/>
      </c>
      <c r="E21">
        <f>B21*Premissas!$D$28</f>
        <v/>
      </c>
      <c r="F21">
        <f>B21*Premissas!$D$13/12*MIN(1,A21/Premissas!$D$17)</f>
        <v/>
      </c>
      <c r="G21">
        <f>F21*Premissas!$D$14</f>
        <v/>
      </c>
      <c r="H21">
        <f>IF(IF(A21-1-Premissas!$D$16&gt;=0,OFFSET($J$4,A21-1-Premissas!$D$16,0),0)&gt;0,ROUND(IF(A21-1-Premissas!$D$16&gt;=0,OFFSET($J$4,A21-1-Premissas!$D$16,0),0)*10000/Premissas!$D$5*Premissas!$D$15,0),0)</f>
        <v/>
      </c>
      <c r="I21">
        <f>ROUND(G21*Premissas!$D$6/10000,0)</f>
        <v/>
      </c>
      <c r="J21">
        <f>ROUND(G21*Premissas!$D$5/10000,0)</f>
        <v/>
      </c>
      <c r="K21">
        <f>IF(IF(A21-1-Premissas!$D$16&gt;=0,OFFSET($A$4,A21-1-Premissas!$D$16,0)&gt;=Premissas!$D$19,FALSE),ROUND(IF(A21-1-Premissas!$D$16&gt;=0,OFFSET($J$4,A21-1-Premissas!$D$16,0),0)*Premissas!$D$15,0),0)</f>
        <v/>
      </c>
      <c r="L21">
        <f>ROUND(C21*Premissas!$D$24/12,0)</f>
        <v/>
      </c>
      <c r="M21">
        <f>ROUND(D21*Premissas!$D$25,0)</f>
        <v/>
      </c>
      <c r="N21">
        <f>ROUND(E21*Premissas!$D$29+B21*Premissas!$D$30,0)</f>
        <v/>
      </c>
      <c r="O21">
        <f>K21+L21+M21+N21</f>
        <v/>
      </c>
      <c r="P21">
        <f>K21+ROUND(AC21*Premissas!$D$24,0)+M21+N21</f>
        <v/>
      </c>
      <c r="Q21">
        <f>ROUND(IF(A21-1-Premissas!$D$21&gt;=0,OFFSET($P$4,A21-1-Premissas!$D$21,0),0)*(1-Premissas!$D$20/100),0)</f>
        <v/>
      </c>
      <c r="R21">
        <f>ROUND(F21*Premissas!$D$11+N21*Premissas!$D$31/100,0)+ROUND((E21+B21)*Premissas!$D$10,0)+ROUND(Q21*Premissas!$D$8/100,0)+ROUND(Premissas!$D$35+(B21+C21)*Premissas!$D$36,0)</f>
        <v/>
      </c>
      <c r="S21">
        <f>O21-R21</f>
        <v/>
      </c>
      <c r="T21">
        <f>ROUND(O21*Premissas!$D$9/100,0)</f>
        <v/>
      </c>
      <c r="U21">
        <f>ROUND(AB21*Premissas!$D$33,0)</f>
        <v/>
      </c>
      <c r="V21">
        <f>Premissas!$D$37+ROUND(Premissas!$D$12*Premissas!$D$38+D21*Premissas!$D$27,0)</f>
        <v/>
      </c>
      <c r="W21">
        <f>Premissas!$D$39</f>
        <v/>
      </c>
      <c r="X21">
        <f>S21-T21-ROUND(Premissas!$D$12*Premissas!$D$38+D21*Premissas!$D$27,0)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Premissas!$D$32+(B21+C21)/Premissas!$D$34</f>
        <v/>
      </c>
      <c r="AC21">
        <f>D21+AC9*(1-Premissas!$D$26/12)^12</f>
        <v/>
      </c>
    </row>
    <row r="22">
      <c r="A22" t="n">
        <v>19</v>
      </c>
      <c r="B22">
        <f>B21*(1-Premissas!$D$18/12)+Premissas!$D$12</f>
        <v/>
      </c>
      <c r="C22">
        <f>IF($B$2=1,C21*(1-Premissas!$D$26/12)+D22,0)</f>
        <v/>
      </c>
      <c r="D22">
        <f>IF(AND($B$2=1,A22&gt;=Premissas!$D$23),Premissas!$D$22,0)</f>
        <v/>
      </c>
      <c r="E22">
        <f>B22*Premissas!$D$28</f>
        <v/>
      </c>
      <c r="F22">
        <f>B22*Premissas!$D$13/12*MIN(1,A22/Premissas!$D$17)</f>
        <v/>
      </c>
      <c r="G22">
        <f>F22*Premissas!$D$14</f>
        <v/>
      </c>
      <c r="H22">
        <f>IF(IF(A22-1-Premissas!$D$16&gt;=0,OFFSET($J$4,A22-1-Premissas!$D$16,0),0)&gt;0,ROUND(IF(A22-1-Premissas!$D$16&gt;=0,OFFSET($J$4,A22-1-Premissas!$D$16,0),0)*10000/Premissas!$D$5*Premissas!$D$15,0),0)</f>
        <v/>
      </c>
      <c r="I22">
        <f>ROUND(G22*Premissas!$D$6/10000,0)</f>
        <v/>
      </c>
      <c r="J22">
        <f>ROUND(G22*Premissas!$D$5/10000,0)</f>
        <v/>
      </c>
      <c r="K22">
        <f>IF(IF(A22-1-Premissas!$D$16&gt;=0,OFFSET($A$4,A22-1-Premissas!$D$16,0)&gt;=Premissas!$D$19,FALSE),ROUND(IF(A22-1-Premissas!$D$16&gt;=0,OFFSET($J$4,A22-1-Premissas!$D$16,0),0)*Premissas!$D$15,0),0)</f>
        <v/>
      </c>
      <c r="L22">
        <f>ROUND(C22*Premissas!$D$24/12,0)</f>
        <v/>
      </c>
      <c r="M22">
        <f>ROUND(D22*Premissas!$D$25,0)</f>
        <v/>
      </c>
      <c r="N22">
        <f>ROUND(E22*Premissas!$D$29+B22*Premissas!$D$30,0)</f>
        <v/>
      </c>
      <c r="O22">
        <f>K22+L22+M22+N22</f>
        <v/>
      </c>
      <c r="P22">
        <f>K22+ROUND(AC22*Premissas!$D$24,0)+M22+N22</f>
        <v/>
      </c>
      <c r="Q22">
        <f>ROUND(IF(A22-1-Premissas!$D$21&gt;=0,OFFSET($P$4,A22-1-Premissas!$D$21,0),0)*(1-Premissas!$D$20/100),0)</f>
        <v/>
      </c>
      <c r="R22">
        <f>ROUND(F22*Premissas!$D$11+N22*Premissas!$D$31/100,0)+ROUND((E22+B22)*Premissas!$D$10,0)+ROUND(Q22*Premissas!$D$8/100,0)+ROUND(Premissas!$D$35+(B22+C22)*Premissas!$D$36,0)</f>
        <v/>
      </c>
      <c r="S22">
        <f>O22-R22</f>
        <v/>
      </c>
      <c r="T22">
        <f>ROUND(O22*Premissas!$D$9/100,0)</f>
        <v/>
      </c>
      <c r="U22">
        <f>ROUND(AB22*Premissas!$D$33,0)</f>
        <v/>
      </c>
      <c r="V22">
        <f>Premissas!$D$37+ROUND(Premissas!$D$12*Premissas!$D$38+D22*Premissas!$D$27,0)</f>
        <v/>
      </c>
      <c r="W22">
        <f>Premissas!$D$39</f>
        <v/>
      </c>
      <c r="X22">
        <f>S22-T22-ROUND(Premissas!$D$12*Premissas!$D$38+D22*Premissas!$D$27,0)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Premissas!$D$32+(B22+C22)/Premissas!$D$34</f>
        <v/>
      </c>
      <c r="AC22">
        <f>D22+AC10*(1-Premissas!$D$26/12)^12</f>
        <v/>
      </c>
    </row>
    <row r="23">
      <c r="A23" t="n">
        <v>20</v>
      </c>
      <c r="B23">
        <f>B22*(1-Premissas!$D$18/12)+Premissas!$D$12</f>
        <v/>
      </c>
      <c r="C23">
        <f>IF($B$2=1,C22*(1-Premissas!$D$26/12)+D23,0)</f>
        <v/>
      </c>
      <c r="D23">
        <f>IF(AND($B$2=1,A23&gt;=Premissas!$D$23),Premissas!$D$22,0)</f>
        <v/>
      </c>
      <c r="E23">
        <f>B23*Premissas!$D$28</f>
        <v/>
      </c>
      <c r="F23">
        <f>B23*Premissas!$D$13/12*MIN(1,A23/Premissas!$D$17)</f>
        <v/>
      </c>
      <c r="G23">
        <f>F23*Premissas!$D$14</f>
        <v/>
      </c>
      <c r="H23">
        <f>IF(IF(A23-1-Premissas!$D$16&gt;=0,OFFSET($J$4,A23-1-Premissas!$D$16,0),0)&gt;0,ROUND(IF(A23-1-Premissas!$D$16&gt;=0,OFFSET($J$4,A23-1-Premissas!$D$16,0),0)*10000/Premissas!$D$5*Premissas!$D$15,0),0)</f>
        <v/>
      </c>
      <c r="I23">
        <f>ROUND(G23*Premissas!$D$6/10000,0)</f>
        <v/>
      </c>
      <c r="J23">
        <f>ROUND(G23*Premissas!$D$5/10000,0)</f>
        <v/>
      </c>
      <c r="K23">
        <f>IF(IF(A23-1-Premissas!$D$16&gt;=0,OFFSET($A$4,A23-1-Premissas!$D$16,0)&gt;=Premissas!$D$19,FALSE),ROUND(IF(A23-1-Premissas!$D$16&gt;=0,OFFSET($J$4,A23-1-Premissas!$D$16,0),0)*Premissas!$D$15,0),0)</f>
        <v/>
      </c>
      <c r="L23">
        <f>ROUND(C23*Premissas!$D$24/12,0)</f>
        <v/>
      </c>
      <c r="M23">
        <f>ROUND(D23*Premissas!$D$25,0)</f>
        <v/>
      </c>
      <c r="N23">
        <f>ROUND(E23*Premissas!$D$29+B23*Premissas!$D$30,0)</f>
        <v/>
      </c>
      <c r="O23">
        <f>K23+L23+M23+N23</f>
        <v/>
      </c>
      <c r="P23">
        <f>K23+ROUND(AC23*Premissas!$D$24,0)+M23+N23</f>
        <v/>
      </c>
      <c r="Q23">
        <f>ROUND(IF(A23-1-Premissas!$D$21&gt;=0,OFFSET($P$4,A23-1-Premissas!$D$21,0),0)*(1-Premissas!$D$20/100),0)</f>
        <v/>
      </c>
      <c r="R23">
        <f>ROUND(F23*Premissas!$D$11+N23*Premissas!$D$31/100,0)+ROUND((E23+B23)*Premissas!$D$10,0)+ROUND(Q23*Premissas!$D$8/100,0)+ROUND(Premissas!$D$35+(B23+C23)*Premissas!$D$36,0)</f>
        <v/>
      </c>
      <c r="S23">
        <f>O23-R23</f>
        <v/>
      </c>
      <c r="T23">
        <f>ROUND(O23*Premissas!$D$9/100,0)</f>
        <v/>
      </c>
      <c r="U23">
        <f>ROUND(AB23*Premissas!$D$33,0)</f>
        <v/>
      </c>
      <c r="V23">
        <f>Premissas!$D$37+ROUND(Premissas!$D$12*Premissas!$D$38+D23*Premissas!$D$27,0)</f>
        <v/>
      </c>
      <c r="W23">
        <f>Premissas!$D$39</f>
        <v/>
      </c>
      <c r="X23">
        <f>S23-T23-ROUND(Premissas!$D$12*Premissas!$D$38+D23*Premissas!$D$27,0)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Premissas!$D$32+(B23+C23)/Premissas!$D$34</f>
        <v/>
      </c>
      <c r="AC23">
        <f>D23+AC11*(1-Premissas!$D$26/12)^12</f>
        <v/>
      </c>
    </row>
    <row r="24">
      <c r="A24" t="n">
        <v>21</v>
      </c>
      <c r="B24">
        <f>B23*(1-Premissas!$D$18/12)+Premissas!$D$12</f>
        <v/>
      </c>
      <c r="C24">
        <f>IF($B$2=1,C23*(1-Premissas!$D$26/12)+D24,0)</f>
        <v/>
      </c>
      <c r="D24">
        <f>IF(AND($B$2=1,A24&gt;=Premissas!$D$23),Premissas!$D$22,0)</f>
        <v/>
      </c>
      <c r="E24">
        <f>B24*Premissas!$D$28</f>
        <v/>
      </c>
      <c r="F24">
        <f>B24*Premissas!$D$13/12*MIN(1,A24/Premissas!$D$17)</f>
        <v/>
      </c>
      <c r="G24">
        <f>F24*Premissas!$D$14</f>
        <v/>
      </c>
      <c r="H24">
        <f>IF(IF(A24-1-Premissas!$D$16&gt;=0,OFFSET($J$4,A24-1-Premissas!$D$16,0),0)&gt;0,ROUND(IF(A24-1-Premissas!$D$16&gt;=0,OFFSET($J$4,A24-1-Premissas!$D$16,0),0)*10000/Premissas!$D$5*Premissas!$D$15,0),0)</f>
        <v/>
      </c>
      <c r="I24">
        <f>ROUND(G24*Premissas!$D$6/10000,0)</f>
        <v/>
      </c>
      <c r="J24">
        <f>ROUND(G24*Premissas!$D$5/10000,0)</f>
        <v/>
      </c>
      <c r="K24">
        <f>IF(IF(A24-1-Premissas!$D$16&gt;=0,OFFSET($A$4,A24-1-Premissas!$D$16,0)&gt;=Premissas!$D$19,FALSE),ROUND(IF(A24-1-Premissas!$D$16&gt;=0,OFFSET($J$4,A24-1-Premissas!$D$16,0),0)*Premissas!$D$15,0),0)</f>
        <v/>
      </c>
      <c r="L24">
        <f>ROUND(C24*Premissas!$D$24/12,0)</f>
        <v/>
      </c>
      <c r="M24">
        <f>ROUND(D24*Premissas!$D$25,0)</f>
        <v/>
      </c>
      <c r="N24">
        <f>ROUND(E24*Premissas!$D$29+B24*Premissas!$D$30,0)</f>
        <v/>
      </c>
      <c r="O24">
        <f>K24+L24+M24+N24</f>
        <v/>
      </c>
      <c r="P24">
        <f>K24+ROUND(AC24*Premissas!$D$24,0)+M24+N24</f>
        <v/>
      </c>
      <c r="Q24">
        <f>ROUND(IF(A24-1-Premissas!$D$21&gt;=0,OFFSET($P$4,A24-1-Premissas!$D$21,0),0)*(1-Premissas!$D$20/100),0)</f>
        <v/>
      </c>
      <c r="R24">
        <f>ROUND(F24*Premissas!$D$11+N24*Premissas!$D$31/100,0)+ROUND((E24+B24)*Premissas!$D$10,0)+ROUND(Q24*Premissas!$D$8/100,0)+ROUND(Premissas!$D$35+(B24+C24)*Premissas!$D$36,0)</f>
        <v/>
      </c>
      <c r="S24">
        <f>O24-R24</f>
        <v/>
      </c>
      <c r="T24">
        <f>ROUND(O24*Premissas!$D$9/100,0)</f>
        <v/>
      </c>
      <c r="U24">
        <f>ROUND(AB24*Premissas!$D$33,0)</f>
        <v/>
      </c>
      <c r="V24">
        <f>Premissas!$D$37+ROUND(Premissas!$D$12*Premissas!$D$38+D24*Premissas!$D$27,0)</f>
        <v/>
      </c>
      <c r="W24">
        <f>Premissas!$D$39</f>
        <v/>
      </c>
      <c r="X24">
        <f>S24-T24-ROUND(Premissas!$D$12*Premissas!$D$38+D24*Premissas!$D$27,0)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Premissas!$D$32+(B24+C24)/Premissas!$D$34</f>
        <v/>
      </c>
      <c r="AC24">
        <f>D24+AC12*(1-Premissas!$D$26/12)^12</f>
        <v/>
      </c>
    </row>
    <row r="25">
      <c r="A25" t="n">
        <v>22</v>
      </c>
      <c r="B25">
        <f>B24*(1-Premissas!$D$18/12)+Premissas!$D$12</f>
        <v/>
      </c>
      <c r="C25">
        <f>IF($B$2=1,C24*(1-Premissas!$D$26/12)+D25,0)</f>
        <v/>
      </c>
      <c r="D25">
        <f>IF(AND($B$2=1,A25&gt;=Premissas!$D$23),Premissas!$D$22,0)</f>
        <v/>
      </c>
      <c r="E25">
        <f>B25*Premissas!$D$28</f>
        <v/>
      </c>
      <c r="F25">
        <f>B25*Premissas!$D$13/12*MIN(1,A25/Premissas!$D$17)</f>
        <v/>
      </c>
      <c r="G25">
        <f>F25*Premissas!$D$14</f>
        <v/>
      </c>
      <c r="H25">
        <f>IF(IF(A25-1-Premissas!$D$16&gt;=0,OFFSET($J$4,A25-1-Premissas!$D$16,0),0)&gt;0,ROUND(IF(A25-1-Premissas!$D$16&gt;=0,OFFSET($J$4,A25-1-Premissas!$D$16,0),0)*10000/Premissas!$D$5*Premissas!$D$15,0),0)</f>
        <v/>
      </c>
      <c r="I25">
        <f>ROUND(G25*Premissas!$D$6/10000,0)</f>
        <v/>
      </c>
      <c r="J25">
        <f>ROUND(G25*Premissas!$D$5/10000,0)</f>
        <v/>
      </c>
      <c r="K25">
        <f>IF(IF(A25-1-Premissas!$D$16&gt;=0,OFFSET($A$4,A25-1-Premissas!$D$16,0)&gt;=Premissas!$D$19,FALSE),ROUND(IF(A25-1-Premissas!$D$16&gt;=0,OFFSET($J$4,A25-1-Premissas!$D$16,0),0)*Premissas!$D$15,0),0)</f>
        <v/>
      </c>
      <c r="L25">
        <f>ROUND(C25*Premissas!$D$24/12,0)</f>
        <v/>
      </c>
      <c r="M25">
        <f>ROUND(D25*Premissas!$D$25,0)</f>
        <v/>
      </c>
      <c r="N25">
        <f>ROUND(E25*Premissas!$D$29+B25*Premissas!$D$30,0)</f>
        <v/>
      </c>
      <c r="O25">
        <f>K25+L25+M25+N25</f>
        <v/>
      </c>
      <c r="P25">
        <f>K25+ROUND(AC25*Premissas!$D$24,0)+M25+N25</f>
        <v/>
      </c>
      <c r="Q25">
        <f>ROUND(IF(A25-1-Premissas!$D$21&gt;=0,OFFSET($P$4,A25-1-Premissas!$D$21,0),0)*(1-Premissas!$D$20/100),0)</f>
        <v/>
      </c>
      <c r="R25">
        <f>ROUND(F25*Premissas!$D$11+N25*Premissas!$D$31/100,0)+ROUND((E25+B25)*Premissas!$D$10,0)+ROUND(Q25*Premissas!$D$8/100,0)+ROUND(Premissas!$D$35+(B25+C25)*Premissas!$D$36,0)</f>
        <v/>
      </c>
      <c r="S25">
        <f>O25-R25</f>
        <v/>
      </c>
      <c r="T25">
        <f>ROUND(O25*Premissas!$D$9/100,0)</f>
        <v/>
      </c>
      <c r="U25">
        <f>ROUND(AB25*Premissas!$D$33,0)</f>
        <v/>
      </c>
      <c r="V25">
        <f>Premissas!$D$37+ROUND(Premissas!$D$12*Premissas!$D$38+D25*Premissas!$D$27,0)</f>
        <v/>
      </c>
      <c r="W25">
        <f>Premissas!$D$39</f>
        <v/>
      </c>
      <c r="X25">
        <f>S25-T25-ROUND(Premissas!$D$12*Premissas!$D$38+D25*Premissas!$D$27,0)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Premissas!$D$32+(B25+C25)/Premissas!$D$34</f>
        <v/>
      </c>
      <c r="AC25">
        <f>D25+AC13*(1-Premissas!$D$26/12)^12</f>
        <v/>
      </c>
    </row>
    <row r="26">
      <c r="A26" t="n">
        <v>23</v>
      </c>
      <c r="B26">
        <f>B25*(1-Premissas!$D$18/12)+Premissas!$D$12</f>
        <v/>
      </c>
      <c r="C26">
        <f>IF($B$2=1,C25*(1-Premissas!$D$26/12)+D26,0)</f>
        <v/>
      </c>
      <c r="D26">
        <f>IF(AND($B$2=1,A26&gt;=Premissas!$D$23),Premissas!$D$22,0)</f>
        <v/>
      </c>
      <c r="E26">
        <f>B26*Premissas!$D$28</f>
        <v/>
      </c>
      <c r="F26">
        <f>B26*Premissas!$D$13/12*MIN(1,A26/Premissas!$D$17)</f>
        <v/>
      </c>
      <c r="G26">
        <f>F26*Premissas!$D$14</f>
        <v/>
      </c>
      <c r="H26">
        <f>IF(IF(A26-1-Premissas!$D$16&gt;=0,OFFSET($J$4,A26-1-Premissas!$D$16,0),0)&gt;0,ROUND(IF(A26-1-Premissas!$D$16&gt;=0,OFFSET($J$4,A26-1-Premissas!$D$16,0),0)*10000/Premissas!$D$5*Premissas!$D$15,0),0)</f>
        <v/>
      </c>
      <c r="I26">
        <f>ROUND(G26*Premissas!$D$6/10000,0)</f>
        <v/>
      </c>
      <c r="J26">
        <f>ROUND(G26*Premissas!$D$5/10000,0)</f>
        <v/>
      </c>
      <c r="K26">
        <f>IF(IF(A26-1-Premissas!$D$16&gt;=0,OFFSET($A$4,A26-1-Premissas!$D$16,0)&gt;=Premissas!$D$19,FALSE),ROUND(IF(A26-1-Premissas!$D$16&gt;=0,OFFSET($J$4,A26-1-Premissas!$D$16,0),0)*Premissas!$D$15,0),0)</f>
        <v/>
      </c>
      <c r="L26">
        <f>ROUND(C26*Premissas!$D$24/12,0)</f>
        <v/>
      </c>
      <c r="M26">
        <f>ROUND(D26*Premissas!$D$25,0)</f>
        <v/>
      </c>
      <c r="N26">
        <f>ROUND(E26*Premissas!$D$29+B26*Premissas!$D$30,0)</f>
        <v/>
      </c>
      <c r="O26">
        <f>K26+L26+M26+N26</f>
        <v/>
      </c>
      <c r="P26">
        <f>K26+ROUND(AC26*Premissas!$D$24,0)+M26+N26</f>
        <v/>
      </c>
      <c r="Q26">
        <f>ROUND(IF(A26-1-Premissas!$D$21&gt;=0,OFFSET($P$4,A26-1-Premissas!$D$21,0),0)*(1-Premissas!$D$20/100),0)</f>
        <v/>
      </c>
      <c r="R26">
        <f>ROUND(F26*Premissas!$D$11+N26*Premissas!$D$31/100,0)+ROUND((E26+B26)*Premissas!$D$10,0)+ROUND(Q26*Premissas!$D$8/100,0)+ROUND(Premissas!$D$35+(B26+C26)*Premissas!$D$36,0)</f>
        <v/>
      </c>
      <c r="S26">
        <f>O26-R26</f>
        <v/>
      </c>
      <c r="T26">
        <f>ROUND(O26*Premissas!$D$9/100,0)</f>
        <v/>
      </c>
      <c r="U26">
        <f>ROUND(AB26*Premissas!$D$33,0)</f>
        <v/>
      </c>
      <c r="V26">
        <f>Premissas!$D$37+ROUND(Premissas!$D$12*Premissas!$D$38+D26*Premissas!$D$27,0)</f>
        <v/>
      </c>
      <c r="W26">
        <f>Premissas!$D$39</f>
        <v/>
      </c>
      <c r="X26">
        <f>S26-T26-ROUND(Premissas!$D$12*Premissas!$D$38+D26*Premissas!$D$27,0)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Premissas!$D$32+(B26+C26)/Premissas!$D$34</f>
        <v/>
      </c>
      <c r="AC26">
        <f>D26+AC14*(1-Premissas!$D$26/12)^12</f>
        <v/>
      </c>
    </row>
    <row r="27">
      <c r="A27" t="n">
        <v>24</v>
      </c>
      <c r="B27">
        <f>B26*(1-Premissas!$D$18/12)+Premissas!$D$12</f>
        <v/>
      </c>
      <c r="C27">
        <f>IF($B$2=1,C26*(1-Premissas!$D$26/12)+D27,0)</f>
        <v/>
      </c>
      <c r="D27">
        <f>IF(AND($B$2=1,A27&gt;=Premissas!$D$23),Premissas!$D$22,0)</f>
        <v/>
      </c>
      <c r="E27">
        <f>B27*Premissas!$D$28</f>
        <v/>
      </c>
      <c r="F27">
        <f>B27*Premissas!$D$13/12*MIN(1,A27/Premissas!$D$17)</f>
        <v/>
      </c>
      <c r="G27">
        <f>F27*Premissas!$D$14</f>
        <v/>
      </c>
      <c r="H27">
        <f>IF(IF(A27-1-Premissas!$D$16&gt;=0,OFFSET($J$4,A27-1-Premissas!$D$16,0),0)&gt;0,ROUND(IF(A27-1-Premissas!$D$16&gt;=0,OFFSET($J$4,A27-1-Premissas!$D$16,0),0)*10000/Premissas!$D$5*Premissas!$D$15,0),0)</f>
        <v/>
      </c>
      <c r="I27">
        <f>ROUND(G27*Premissas!$D$6/10000,0)</f>
        <v/>
      </c>
      <c r="J27">
        <f>ROUND(G27*Premissas!$D$5/10000,0)</f>
        <v/>
      </c>
      <c r="K27">
        <f>IF(IF(A27-1-Premissas!$D$16&gt;=0,OFFSET($A$4,A27-1-Premissas!$D$16,0)&gt;=Premissas!$D$19,FALSE),ROUND(IF(A27-1-Premissas!$D$16&gt;=0,OFFSET($J$4,A27-1-Premissas!$D$16,0),0)*Premissas!$D$15,0),0)</f>
        <v/>
      </c>
      <c r="L27">
        <f>ROUND(C27*Premissas!$D$24/12,0)</f>
        <v/>
      </c>
      <c r="M27">
        <f>ROUND(D27*Premissas!$D$25,0)</f>
        <v/>
      </c>
      <c r="N27">
        <f>ROUND(E27*Premissas!$D$29+B27*Premissas!$D$30,0)</f>
        <v/>
      </c>
      <c r="O27">
        <f>K27+L27+M27+N27</f>
        <v/>
      </c>
      <c r="P27">
        <f>K27+ROUND(AC27*Premissas!$D$24,0)+M27+N27</f>
        <v/>
      </c>
      <c r="Q27">
        <f>ROUND(IF(A27-1-Premissas!$D$21&gt;=0,OFFSET($P$4,A27-1-Premissas!$D$21,0),0)*(1-Premissas!$D$20/100),0)</f>
        <v/>
      </c>
      <c r="R27">
        <f>ROUND(F27*Premissas!$D$11+N27*Premissas!$D$31/100,0)+ROUND((E27+B27)*Premissas!$D$10,0)+ROUND(Q27*Premissas!$D$8/100,0)+ROUND(Premissas!$D$35+(B27+C27)*Premissas!$D$36,0)</f>
        <v/>
      </c>
      <c r="S27">
        <f>O27-R27</f>
        <v/>
      </c>
      <c r="T27">
        <f>ROUND(O27*Premissas!$D$9/100,0)</f>
        <v/>
      </c>
      <c r="U27">
        <f>ROUND(AB27*Premissas!$D$33,0)</f>
        <v/>
      </c>
      <c r="V27">
        <f>Premissas!$D$37+ROUND(Premissas!$D$12*Premissas!$D$38+D27*Premissas!$D$27,0)</f>
        <v/>
      </c>
      <c r="W27">
        <f>Premissas!$D$39</f>
        <v/>
      </c>
      <c r="X27">
        <f>S27-T27-ROUND(Premissas!$D$12*Premissas!$D$38+D27*Premissas!$D$27,0)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Premissas!$D$32+(B27+C27)/Premissas!$D$34</f>
        <v/>
      </c>
      <c r="AC27">
        <f>D27+AC15*(1-Premissas!$D$26/12)^12</f>
        <v/>
      </c>
    </row>
    <row r="28">
      <c r="A28" t="n">
        <v>25</v>
      </c>
      <c r="B28">
        <f>B27*(1-Premissas!$D$18/12)+Premissas!$D$12</f>
        <v/>
      </c>
      <c r="C28">
        <f>IF($B$2=1,C27*(1-Premissas!$D$26/12)+D28,0)</f>
        <v/>
      </c>
      <c r="D28">
        <f>IF(AND($B$2=1,A28&gt;=Premissas!$D$23),Premissas!$D$22,0)</f>
        <v/>
      </c>
      <c r="E28">
        <f>B28*Premissas!$D$28</f>
        <v/>
      </c>
      <c r="F28">
        <f>B28*Premissas!$D$13/12*MIN(1,A28/Premissas!$D$17)</f>
        <v/>
      </c>
      <c r="G28">
        <f>F28*Premissas!$D$14</f>
        <v/>
      </c>
      <c r="H28">
        <f>IF(IF(A28-1-Premissas!$D$16&gt;=0,OFFSET($J$4,A28-1-Premissas!$D$16,0),0)&gt;0,ROUND(IF(A28-1-Premissas!$D$16&gt;=0,OFFSET($J$4,A28-1-Premissas!$D$16,0),0)*10000/Premissas!$D$5*Premissas!$D$15,0),0)</f>
        <v/>
      </c>
      <c r="I28">
        <f>ROUND(G28*Premissas!$D$6/10000,0)</f>
        <v/>
      </c>
      <c r="J28">
        <f>ROUND(G28*Premissas!$D$5/10000,0)</f>
        <v/>
      </c>
      <c r="K28">
        <f>IF(IF(A28-1-Premissas!$D$16&gt;=0,OFFSET($A$4,A28-1-Premissas!$D$16,0)&gt;=Premissas!$D$19,FALSE),ROUND(IF(A28-1-Premissas!$D$16&gt;=0,OFFSET($J$4,A28-1-Premissas!$D$16,0),0)*Premissas!$D$15,0),0)</f>
        <v/>
      </c>
      <c r="L28">
        <f>ROUND(C28*Premissas!$D$24/12,0)</f>
        <v/>
      </c>
      <c r="M28">
        <f>ROUND(D28*Premissas!$D$25,0)</f>
        <v/>
      </c>
      <c r="N28">
        <f>ROUND(E28*Premissas!$D$29+B28*Premissas!$D$30,0)</f>
        <v/>
      </c>
      <c r="O28">
        <f>K28+L28+M28+N28</f>
        <v/>
      </c>
      <c r="P28">
        <f>K28+ROUND(AC28*Premissas!$D$24,0)+M28+N28</f>
        <v/>
      </c>
      <c r="Q28">
        <f>ROUND(IF(A28-1-Premissas!$D$21&gt;=0,OFFSET($P$4,A28-1-Premissas!$D$21,0),0)*(1-Premissas!$D$20/100),0)</f>
        <v/>
      </c>
      <c r="R28">
        <f>ROUND(F28*Premissas!$D$11+N28*Premissas!$D$31/100,0)+ROUND((E28+B28)*Premissas!$D$10,0)+ROUND(Q28*Premissas!$D$8/100,0)+ROUND(Premissas!$D$35+(B28+C28)*Premissas!$D$36,0)</f>
        <v/>
      </c>
      <c r="S28">
        <f>O28-R28</f>
        <v/>
      </c>
      <c r="T28">
        <f>ROUND(O28*Premissas!$D$9/100,0)</f>
        <v/>
      </c>
      <c r="U28">
        <f>ROUND(AB28*Premissas!$D$33,0)</f>
        <v/>
      </c>
      <c r="V28">
        <f>Premissas!$D$37+ROUND(Premissas!$D$12*Premissas!$D$38+D28*Premissas!$D$27,0)</f>
        <v/>
      </c>
      <c r="W28">
        <f>Premissas!$D$39</f>
        <v/>
      </c>
      <c r="X28">
        <f>S28-T28-ROUND(Premissas!$D$12*Premissas!$D$38+D28*Premissas!$D$27,0)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Premissas!$D$32+(B28+C28)/Premissas!$D$34</f>
        <v/>
      </c>
      <c r="AC28">
        <f>D28+AC16*(1-Premissas!$D$26/12)^12</f>
        <v/>
      </c>
    </row>
    <row r="29">
      <c r="A29" t="n">
        <v>26</v>
      </c>
      <c r="B29">
        <f>B28*(1-Premissas!$D$18/12)+Premissas!$D$12</f>
        <v/>
      </c>
      <c r="C29">
        <f>IF($B$2=1,C28*(1-Premissas!$D$26/12)+D29,0)</f>
        <v/>
      </c>
      <c r="D29">
        <f>IF(AND($B$2=1,A29&gt;=Premissas!$D$23),Premissas!$D$22,0)</f>
        <v/>
      </c>
      <c r="E29">
        <f>B29*Premissas!$D$28</f>
        <v/>
      </c>
      <c r="F29">
        <f>B29*Premissas!$D$13/12*MIN(1,A29/Premissas!$D$17)</f>
        <v/>
      </c>
      <c r="G29">
        <f>F29*Premissas!$D$14</f>
        <v/>
      </c>
      <c r="H29">
        <f>IF(IF(A29-1-Premissas!$D$16&gt;=0,OFFSET($J$4,A29-1-Premissas!$D$16,0),0)&gt;0,ROUND(IF(A29-1-Premissas!$D$16&gt;=0,OFFSET($J$4,A29-1-Premissas!$D$16,0),0)*10000/Premissas!$D$5*Premissas!$D$15,0),0)</f>
        <v/>
      </c>
      <c r="I29">
        <f>ROUND(G29*Premissas!$D$6/10000,0)</f>
        <v/>
      </c>
      <c r="J29">
        <f>ROUND(G29*Premissas!$D$5/10000,0)</f>
        <v/>
      </c>
      <c r="K29">
        <f>IF(IF(A29-1-Premissas!$D$16&gt;=0,OFFSET($A$4,A29-1-Premissas!$D$16,0)&gt;=Premissas!$D$19,FALSE),ROUND(IF(A29-1-Premissas!$D$16&gt;=0,OFFSET($J$4,A29-1-Premissas!$D$16,0),0)*Premissas!$D$15,0),0)</f>
        <v/>
      </c>
      <c r="L29">
        <f>ROUND(C29*Premissas!$D$24/12,0)</f>
        <v/>
      </c>
      <c r="M29">
        <f>ROUND(D29*Premissas!$D$25,0)</f>
        <v/>
      </c>
      <c r="N29">
        <f>ROUND(E29*Premissas!$D$29+B29*Premissas!$D$30,0)</f>
        <v/>
      </c>
      <c r="O29">
        <f>K29+L29+M29+N29</f>
        <v/>
      </c>
      <c r="P29">
        <f>K29+ROUND(AC29*Premissas!$D$24,0)+M29+N29</f>
        <v/>
      </c>
      <c r="Q29">
        <f>ROUND(IF(A29-1-Premissas!$D$21&gt;=0,OFFSET($P$4,A29-1-Premissas!$D$21,0),0)*(1-Premissas!$D$20/100),0)</f>
        <v/>
      </c>
      <c r="R29">
        <f>ROUND(F29*Premissas!$D$11+N29*Premissas!$D$31/100,0)+ROUND((E29+B29)*Premissas!$D$10,0)+ROUND(Q29*Premissas!$D$8/100,0)+ROUND(Premissas!$D$35+(B29+C29)*Premissas!$D$36,0)</f>
        <v/>
      </c>
      <c r="S29">
        <f>O29-R29</f>
        <v/>
      </c>
      <c r="T29">
        <f>ROUND(O29*Premissas!$D$9/100,0)</f>
        <v/>
      </c>
      <c r="U29">
        <f>ROUND(AB29*Premissas!$D$33,0)</f>
        <v/>
      </c>
      <c r="V29">
        <f>Premissas!$D$37+ROUND(Premissas!$D$12*Premissas!$D$38+D29*Premissas!$D$27,0)</f>
        <v/>
      </c>
      <c r="W29">
        <f>Premissas!$D$39</f>
        <v/>
      </c>
      <c r="X29">
        <f>S29-T29-ROUND(Premissas!$D$12*Premissas!$D$38+D29*Premissas!$D$27,0)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Premissas!$D$32+(B29+C29)/Premissas!$D$34</f>
        <v/>
      </c>
      <c r="AC29">
        <f>D29+AC17*(1-Premissas!$D$26/12)^12</f>
        <v/>
      </c>
    </row>
    <row r="30">
      <c r="A30" t="n">
        <v>27</v>
      </c>
      <c r="B30">
        <f>B29*(1-Premissas!$D$18/12)+Premissas!$D$12</f>
        <v/>
      </c>
      <c r="C30">
        <f>IF($B$2=1,C29*(1-Premissas!$D$26/12)+D30,0)</f>
        <v/>
      </c>
      <c r="D30">
        <f>IF(AND($B$2=1,A30&gt;=Premissas!$D$23),Premissas!$D$22,0)</f>
        <v/>
      </c>
      <c r="E30">
        <f>B30*Premissas!$D$28</f>
        <v/>
      </c>
      <c r="F30">
        <f>B30*Premissas!$D$13/12*MIN(1,A30/Premissas!$D$17)</f>
        <v/>
      </c>
      <c r="G30">
        <f>F30*Premissas!$D$14</f>
        <v/>
      </c>
      <c r="H30">
        <f>IF(IF(A30-1-Premissas!$D$16&gt;=0,OFFSET($J$4,A30-1-Premissas!$D$16,0),0)&gt;0,ROUND(IF(A30-1-Premissas!$D$16&gt;=0,OFFSET($J$4,A30-1-Premissas!$D$16,0),0)*10000/Premissas!$D$5*Premissas!$D$15,0),0)</f>
        <v/>
      </c>
      <c r="I30">
        <f>ROUND(G30*Premissas!$D$6/10000,0)</f>
        <v/>
      </c>
      <c r="J30">
        <f>ROUND(G30*Premissas!$D$5/10000,0)</f>
        <v/>
      </c>
      <c r="K30">
        <f>IF(IF(A30-1-Premissas!$D$16&gt;=0,OFFSET($A$4,A30-1-Premissas!$D$16,0)&gt;=Premissas!$D$19,FALSE),ROUND(IF(A30-1-Premissas!$D$16&gt;=0,OFFSET($J$4,A30-1-Premissas!$D$16,0),0)*Premissas!$D$15,0),0)</f>
        <v/>
      </c>
      <c r="L30">
        <f>ROUND(C30*Premissas!$D$24/12,0)</f>
        <v/>
      </c>
      <c r="M30">
        <f>ROUND(D30*Premissas!$D$25,0)</f>
        <v/>
      </c>
      <c r="N30">
        <f>ROUND(E30*Premissas!$D$29+B30*Premissas!$D$30,0)</f>
        <v/>
      </c>
      <c r="O30">
        <f>K30+L30+M30+N30</f>
        <v/>
      </c>
      <c r="P30">
        <f>K30+ROUND(AC30*Premissas!$D$24,0)+M30+N30</f>
        <v/>
      </c>
      <c r="Q30">
        <f>ROUND(IF(A30-1-Premissas!$D$21&gt;=0,OFFSET($P$4,A30-1-Premissas!$D$21,0),0)*(1-Premissas!$D$20/100),0)</f>
        <v/>
      </c>
      <c r="R30">
        <f>ROUND(F30*Premissas!$D$11+N30*Premissas!$D$31/100,0)+ROUND((E30+B30)*Premissas!$D$10,0)+ROUND(Q30*Premissas!$D$8/100,0)+ROUND(Premissas!$D$35+(B30+C30)*Premissas!$D$36,0)</f>
        <v/>
      </c>
      <c r="S30">
        <f>O30-R30</f>
        <v/>
      </c>
      <c r="T30">
        <f>ROUND(O30*Premissas!$D$9/100,0)</f>
        <v/>
      </c>
      <c r="U30">
        <f>ROUND(AB30*Premissas!$D$33,0)</f>
        <v/>
      </c>
      <c r="V30">
        <f>Premissas!$D$37+ROUND(Premissas!$D$12*Premissas!$D$38+D30*Premissas!$D$27,0)</f>
        <v/>
      </c>
      <c r="W30">
        <f>Premissas!$D$39</f>
        <v/>
      </c>
      <c r="X30">
        <f>S30-T30-ROUND(Premissas!$D$12*Premissas!$D$38+D30*Premissas!$D$27,0)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Premissas!$D$32+(B30+C30)/Premissas!$D$34</f>
        <v/>
      </c>
      <c r="AC30">
        <f>D30+AC18*(1-Premissas!$D$26/12)^12</f>
        <v/>
      </c>
    </row>
    <row r="31">
      <c r="A31" t="n">
        <v>28</v>
      </c>
      <c r="B31">
        <f>B30*(1-Premissas!$D$18/12)+Premissas!$D$12</f>
        <v/>
      </c>
      <c r="C31">
        <f>IF($B$2=1,C30*(1-Premissas!$D$26/12)+D31,0)</f>
        <v/>
      </c>
      <c r="D31">
        <f>IF(AND($B$2=1,A31&gt;=Premissas!$D$23),Premissas!$D$22,0)</f>
        <v/>
      </c>
      <c r="E31">
        <f>B31*Premissas!$D$28</f>
        <v/>
      </c>
      <c r="F31">
        <f>B31*Premissas!$D$13/12*MIN(1,A31/Premissas!$D$17)</f>
        <v/>
      </c>
      <c r="G31">
        <f>F31*Premissas!$D$14</f>
        <v/>
      </c>
      <c r="H31">
        <f>IF(IF(A31-1-Premissas!$D$16&gt;=0,OFFSET($J$4,A31-1-Premissas!$D$16,0),0)&gt;0,ROUND(IF(A31-1-Premissas!$D$16&gt;=0,OFFSET($J$4,A31-1-Premissas!$D$16,0),0)*10000/Premissas!$D$5*Premissas!$D$15,0),0)</f>
        <v/>
      </c>
      <c r="I31">
        <f>ROUND(G31*Premissas!$D$6/10000,0)</f>
        <v/>
      </c>
      <c r="J31">
        <f>ROUND(G31*Premissas!$D$5/10000,0)</f>
        <v/>
      </c>
      <c r="K31">
        <f>IF(IF(A31-1-Premissas!$D$16&gt;=0,OFFSET($A$4,A31-1-Premissas!$D$16,0)&gt;=Premissas!$D$19,FALSE),ROUND(IF(A31-1-Premissas!$D$16&gt;=0,OFFSET($J$4,A31-1-Premissas!$D$16,0),0)*Premissas!$D$15,0),0)</f>
        <v/>
      </c>
      <c r="L31">
        <f>ROUND(C31*Premissas!$D$24/12,0)</f>
        <v/>
      </c>
      <c r="M31">
        <f>ROUND(D31*Premissas!$D$25,0)</f>
        <v/>
      </c>
      <c r="N31">
        <f>ROUND(E31*Premissas!$D$29+B31*Premissas!$D$30,0)</f>
        <v/>
      </c>
      <c r="O31">
        <f>K31+L31+M31+N31</f>
        <v/>
      </c>
      <c r="P31">
        <f>K31+ROUND(AC31*Premissas!$D$24,0)+M31+N31</f>
        <v/>
      </c>
      <c r="Q31">
        <f>ROUND(IF(A31-1-Premissas!$D$21&gt;=0,OFFSET($P$4,A31-1-Premissas!$D$21,0),0)*(1-Premissas!$D$20/100),0)</f>
        <v/>
      </c>
      <c r="R31">
        <f>ROUND(F31*Premissas!$D$11+N31*Premissas!$D$31/100,0)+ROUND((E31+B31)*Premissas!$D$10,0)+ROUND(Q31*Premissas!$D$8/100,0)+ROUND(Premissas!$D$35+(B31+C31)*Premissas!$D$36,0)</f>
        <v/>
      </c>
      <c r="S31">
        <f>O31-R31</f>
        <v/>
      </c>
      <c r="T31">
        <f>ROUND(O31*Premissas!$D$9/100,0)</f>
        <v/>
      </c>
      <c r="U31">
        <f>ROUND(AB31*Premissas!$D$33,0)</f>
        <v/>
      </c>
      <c r="V31">
        <f>Premissas!$D$37+ROUND(Premissas!$D$12*Premissas!$D$38+D31*Premissas!$D$27,0)</f>
        <v/>
      </c>
      <c r="W31">
        <f>Premissas!$D$39</f>
        <v/>
      </c>
      <c r="X31">
        <f>S31-T31-ROUND(Premissas!$D$12*Premissas!$D$38+D31*Premissas!$D$27,0)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Premissas!$D$32+(B31+C31)/Premissas!$D$34</f>
        <v/>
      </c>
      <c r="AC31">
        <f>D31+AC19*(1-Premissas!$D$26/12)^12</f>
        <v/>
      </c>
    </row>
    <row r="32">
      <c r="A32" t="n">
        <v>29</v>
      </c>
      <c r="B32">
        <f>B31*(1-Premissas!$D$18/12)+Premissas!$D$12</f>
        <v/>
      </c>
      <c r="C32">
        <f>IF($B$2=1,C31*(1-Premissas!$D$26/12)+D32,0)</f>
        <v/>
      </c>
      <c r="D32">
        <f>IF(AND($B$2=1,A32&gt;=Premissas!$D$23),Premissas!$D$22,0)</f>
        <v/>
      </c>
      <c r="E32">
        <f>B32*Premissas!$D$28</f>
        <v/>
      </c>
      <c r="F32">
        <f>B32*Premissas!$D$13/12*MIN(1,A32/Premissas!$D$17)</f>
        <v/>
      </c>
      <c r="G32">
        <f>F32*Premissas!$D$14</f>
        <v/>
      </c>
      <c r="H32">
        <f>IF(IF(A32-1-Premissas!$D$16&gt;=0,OFFSET($J$4,A32-1-Premissas!$D$16,0),0)&gt;0,ROUND(IF(A32-1-Premissas!$D$16&gt;=0,OFFSET($J$4,A32-1-Premissas!$D$16,0),0)*10000/Premissas!$D$5*Premissas!$D$15,0),0)</f>
        <v/>
      </c>
      <c r="I32">
        <f>ROUND(G32*Premissas!$D$6/10000,0)</f>
        <v/>
      </c>
      <c r="J32">
        <f>ROUND(G32*Premissas!$D$5/10000,0)</f>
        <v/>
      </c>
      <c r="K32">
        <f>IF(IF(A32-1-Premissas!$D$16&gt;=0,OFFSET($A$4,A32-1-Premissas!$D$16,0)&gt;=Premissas!$D$19,FALSE),ROUND(IF(A32-1-Premissas!$D$16&gt;=0,OFFSET($J$4,A32-1-Premissas!$D$16,0),0)*Premissas!$D$15,0),0)</f>
        <v/>
      </c>
      <c r="L32">
        <f>ROUND(C32*Premissas!$D$24/12,0)</f>
        <v/>
      </c>
      <c r="M32">
        <f>ROUND(D32*Premissas!$D$25,0)</f>
        <v/>
      </c>
      <c r="N32">
        <f>ROUND(E32*Premissas!$D$29+B32*Premissas!$D$30,0)</f>
        <v/>
      </c>
      <c r="O32">
        <f>K32+L32+M32+N32</f>
        <v/>
      </c>
      <c r="P32">
        <f>K32+ROUND(AC32*Premissas!$D$24,0)+M32+N32</f>
        <v/>
      </c>
      <c r="Q32">
        <f>ROUND(IF(A32-1-Premissas!$D$21&gt;=0,OFFSET($P$4,A32-1-Premissas!$D$21,0),0)*(1-Premissas!$D$20/100),0)</f>
        <v/>
      </c>
      <c r="R32">
        <f>ROUND(F32*Premissas!$D$11+N32*Premissas!$D$31/100,0)+ROUND((E32+B32)*Premissas!$D$10,0)+ROUND(Q32*Premissas!$D$8/100,0)+ROUND(Premissas!$D$35+(B32+C32)*Premissas!$D$36,0)</f>
        <v/>
      </c>
      <c r="S32">
        <f>O32-R32</f>
        <v/>
      </c>
      <c r="T32">
        <f>ROUND(O32*Premissas!$D$9/100,0)</f>
        <v/>
      </c>
      <c r="U32">
        <f>ROUND(AB32*Premissas!$D$33,0)</f>
        <v/>
      </c>
      <c r="V32">
        <f>Premissas!$D$37+ROUND(Premissas!$D$12*Premissas!$D$38+D32*Premissas!$D$27,0)</f>
        <v/>
      </c>
      <c r="W32">
        <f>Premissas!$D$39</f>
        <v/>
      </c>
      <c r="X32">
        <f>S32-T32-ROUND(Premissas!$D$12*Premissas!$D$38+D32*Premissas!$D$27,0)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Premissas!$D$32+(B32+C32)/Premissas!$D$34</f>
        <v/>
      </c>
      <c r="AC32">
        <f>D32+AC20*(1-Premissas!$D$26/12)^12</f>
        <v/>
      </c>
    </row>
    <row r="33">
      <c r="A33" t="n">
        <v>30</v>
      </c>
      <c r="B33">
        <f>B32*(1-Premissas!$D$18/12)+Premissas!$D$12</f>
        <v/>
      </c>
      <c r="C33">
        <f>IF($B$2=1,C32*(1-Premissas!$D$26/12)+D33,0)</f>
        <v/>
      </c>
      <c r="D33">
        <f>IF(AND($B$2=1,A33&gt;=Premissas!$D$23),Premissas!$D$22,0)</f>
        <v/>
      </c>
      <c r="E33">
        <f>B33*Premissas!$D$28</f>
        <v/>
      </c>
      <c r="F33">
        <f>B33*Premissas!$D$13/12*MIN(1,A33/Premissas!$D$17)</f>
        <v/>
      </c>
      <c r="G33">
        <f>F33*Premissas!$D$14</f>
        <v/>
      </c>
      <c r="H33">
        <f>IF(IF(A33-1-Premissas!$D$16&gt;=0,OFFSET($J$4,A33-1-Premissas!$D$16,0),0)&gt;0,ROUND(IF(A33-1-Premissas!$D$16&gt;=0,OFFSET($J$4,A33-1-Premissas!$D$16,0),0)*10000/Premissas!$D$5*Premissas!$D$15,0),0)</f>
        <v/>
      </c>
      <c r="I33">
        <f>ROUND(G33*Premissas!$D$6/10000,0)</f>
        <v/>
      </c>
      <c r="J33">
        <f>ROUND(G33*Premissas!$D$5/10000,0)</f>
        <v/>
      </c>
      <c r="K33">
        <f>IF(IF(A33-1-Premissas!$D$16&gt;=0,OFFSET($A$4,A33-1-Premissas!$D$16,0)&gt;=Premissas!$D$19,FALSE),ROUND(IF(A33-1-Premissas!$D$16&gt;=0,OFFSET($J$4,A33-1-Premissas!$D$16,0),0)*Premissas!$D$15,0),0)</f>
        <v/>
      </c>
      <c r="L33">
        <f>ROUND(C33*Premissas!$D$24/12,0)</f>
        <v/>
      </c>
      <c r="M33">
        <f>ROUND(D33*Premissas!$D$25,0)</f>
        <v/>
      </c>
      <c r="N33">
        <f>ROUND(E33*Premissas!$D$29+B33*Premissas!$D$30,0)</f>
        <v/>
      </c>
      <c r="O33">
        <f>K33+L33+M33+N33</f>
        <v/>
      </c>
      <c r="P33">
        <f>K33+ROUND(AC33*Premissas!$D$24,0)+M33+N33</f>
        <v/>
      </c>
      <c r="Q33">
        <f>ROUND(IF(A33-1-Premissas!$D$21&gt;=0,OFFSET($P$4,A33-1-Premissas!$D$21,0),0)*(1-Premissas!$D$20/100),0)</f>
        <v/>
      </c>
      <c r="R33">
        <f>ROUND(F33*Premissas!$D$11+N33*Premissas!$D$31/100,0)+ROUND((E33+B33)*Premissas!$D$10,0)+ROUND(Q33*Premissas!$D$8/100,0)+ROUND(Premissas!$D$35+(B33+C33)*Premissas!$D$36,0)</f>
        <v/>
      </c>
      <c r="S33">
        <f>O33-R33</f>
        <v/>
      </c>
      <c r="T33">
        <f>ROUND(O33*Premissas!$D$9/100,0)</f>
        <v/>
      </c>
      <c r="U33">
        <f>ROUND(AB33*Premissas!$D$33,0)</f>
        <v/>
      </c>
      <c r="V33">
        <f>Premissas!$D$37+ROUND(Premissas!$D$12*Premissas!$D$38+D33*Premissas!$D$27,0)</f>
        <v/>
      </c>
      <c r="W33">
        <f>Premissas!$D$39</f>
        <v/>
      </c>
      <c r="X33">
        <f>S33-T33-ROUND(Premissas!$D$12*Premissas!$D$38+D33*Premissas!$D$27,0)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Premissas!$D$32+(B33+C33)/Premissas!$D$34</f>
        <v/>
      </c>
      <c r="AC33">
        <f>D33+AC21*(1-Premissas!$D$26/12)^12</f>
        <v/>
      </c>
    </row>
    <row r="34">
      <c r="A34" t="n">
        <v>31</v>
      </c>
      <c r="B34">
        <f>B33*(1-Premissas!$D$18/12)+Premissas!$D$12</f>
        <v/>
      </c>
      <c r="C34">
        <f>IF($B$2=1,C33*(1-Premissas!$D$26/12)+D34,0)</f>
        <v/>
      </c>
      <c r="D34">
        <f>IF(AND($B$2=1,A34&gt;=Premissas!$D$23),Premissas!$D$22,0)</f>
        <v/>
      </c>
      <c r="E34">
        <f>B34*Premissas!$D$28</f>
        <v/>
      </c>
      <c r="F34">
        <f>B34*Premissas!$D$13/12*MIN(1,A34/Premissas!$D$17)</f>
        <v/>
      </c>
      <c r="G34">
        <f>F34*Premissas!$D$14</f>
        <v/>
      </c>
      <c r="H34">
        <f>IF(IF(A34-1-Premissas!$D$16&gt;=0,OFFSET($J$4,A34-1-Premissas!$D$16,0),0)&gt;0,ROUND(IF(A34-1-Premissas!$D$16&gt;=0,OFFSET($J$4,A34-1-Premissas!$D$16,0),0)*10000/Premissas!$D$5*Premissas!$D$15,0),0)</f>
        <v/>
      </c>
      <c r="I34">
        <f>ROUND(G34*Premissas!$D$6/10000,0)</f>
        <v/>
      </c>
      <c r="J34">
        <f>ROUND(G34*Premissas!$D$5/10000,0)</f>
        <v/>
      </c>
      <c r="K34">
        <f>IF(IF(A34-1-Premissas!$D$16&gt;=0,OFFSET($A$4,A34-1-Premissas!$D$16,0)&gt;=Premissas!$D$19,FALSE),ROUND(IF(A34-1-Premissas!$D$16&gt;=0,OFFSET($J$4,A34-1-Premissas!$D$16,0),0)*Premissas!$D$15,0),0)</f>
        <v/>
      </c>
      <c r="L34">
        <f>ROUND(C34*Premissas!$D$24/12,0)</f>
        <v/>
      </c>
      <c r="M34">
        <f>ROUND(D34*Premissas!$D$25,0)</f>
        <v/>
      </c>
      <c r="N34">
        <f>ROUND(E34*Premissas!$D$29+B34*Premissas!$D$30,0)</f>
        <v/>
      </c>
      <c r="O34">
        <f>K34+L34+M34+N34</f>
        <v/>
      </c>
      <c r="P34">
        <f>K34+ROUND(AC34*Premissas!$D$24,0)+M34+N34</f>
        <v/>
      </c>
      <c r="Q34">
        <f>ROUND(IF(A34-1-Premissas!$D$21&gt;=0,OFFSET($P$4,A34-1-Premissas!$D$21,0),0)*(1-Premissas!$D$20/100),0)</f>
        <v/>
      </c>
      <c r="R34">
        <f>ROUND(F34*Premissas!$D$11+N34*Premissas!$D$31/100,0)+ROUND((E34+B34)*Premissas!$D$10,0)+ROUND(Q34*Premissas!$D$8/100,0)+ROUND(Premissas!$D$35+(B34+C34)*Premissas!$D$36,0)</f>
        <v/>
      </c>
      <c r="S34">
        <f>O34-R34</f>
        <v/>
      </c>
      <c r="T34">
        <f>ROUND(O34*Premissas!$D$9/100,0)</f>
        <v/>
      </c>
      <c r="U34">
        <f>ROUND(AB34*Premissas!$D$33,0)</f>
        <v/>
      </c>
      <c r="V34">
        <f>Premissas!$D$37+ROUND(Premissas!$D$12*Premissas!$D$38+D34*Premissas!$D$27,0)</f>
        <v/>
      </c>
      <c r="W34">
        <f>Premissas!$D$39</f>
        <v/>
      </c>
      <c r="X34">
        <f>S34-T34-ROUND(Premissas!$D$12*Premissas!$D$38+D34*Premissas!$D$27,0)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Premissas!$D$32+(B34+C34)/Premissas!$D$34</f>
        <v/>
      </c>
      <c r="AC34">
        <f>D34+AC22*(1-Premissas!$D$26/12)^12</f>
        <v/>
      </c>
    </row>
    <row r="35">
      <c r="A35" t="n">
        <v>32</v>
      </c>
      <c r="B35">
        <f>B34*(1-Premissas!$D$18/12)+Premissas!$D$12</f>
        <v/>
      </c>
      <c r="C35">
        <f>IF($B$2=1,C34*(1-Premissas!$D$26/12)+D35,0)</f>
        <v/>
      </c>
      <c r="D35">
        <f>IF(AND($B$2=1,A35&gt;=Premissas!$D$23),Premissas!$D$22,0)</f>
        <v/>
      </c>
      <c r="E35">
        <f>B35*Premissas!$D$28</f>
        <v/>
      </c>
      <c r="F35">
        <f>B35*Premissas!$D$13/12*MIN(1,A35/Premissas!$D$17)</f>
        <v/>
      </c>
      <c r="G35">
        <f>F35*Premissas!$D$14</f>
        <v/>
      </c>
      <c r="H35">
        <f>IF(IF(A35-1-Premissas!$D$16&gt;=0,OFFSET($J$4,A35-1-Premissas!$D$16,0),0)&gt;0,ROUND(IF(A35-1-Premissas!$D$16&gt;=0,OFFSET($J$4,A35-1-Premissas!$D$16,0),0)*10000/Premissas!$D$5*Premissas!$D$15,0),0)</f>
        <v/>
      </c>
      <c r="I35">
        <f>ROUND(G35*Premissas!$D$6/10000,0)</f>
        <v/>
      </c>
      <c r="J35">
        <f>ROUND(G35*Premissas!$D$5/10000,0)</f>
        <v/>
      </c>
      <c r="K35">
        <f>IF(IF(A35-1-Premissas!$D$16&gt;=0,OFFSET($A$4,A35-1-Premissas!$D$16,0)&gt;=Premissas!$D$19,FALSE),ROUND(IF(A35-1-Premissas!$D$16&gt;=0,OFFSET($J$4,A35-1-Premissas!$D$16,0),0)*Premissas!$D$15,0),0)</f>
        <v/>
      </c>
      <c r="L35">
        <f>ROUND(C35*Premissas!$D$24/12,0)</f>
        <v/>
      </c>
      <c r="M35">
        <f>ROUND(D35*Premissas!$D$25,0)</f>
        <v/>
      </c>
      <c r="N35">
        <f>ROUND(E35*Premissas!$D$29+B35*Premissas!$D$30,0)</f>
        <v/>
      </c>
      <c r="O35">
        <f>K35+L35+M35+N35</f>
        <v/>
      </c>
      <c r="P35">
        <f>K35+ROUND(AC35*Premissas!$D$24,0)+M35+N35</f>
        <v/>
      </c>
      <c r="Q35">
        <f>ROUND(IF(A35-1-Premissas!$D$21&gt;=0,OFFSET($P$4,A35-1-Premissas!$D$21,0),0)*(1-Premissas!$D$20/100),0)</f>
        <v/>
      </c>
      <c r="R35">
        <f>ROUND(F35*Premissas!$D$11+N35*Premissas!$D$31/100,0)+ROUND((E35+B35)*Premissas!$D$10,0)+ROUND(Q35*Premissas!$D$8/100,0)+ROUND(Premissas!$D$35+(B35+C35)*Premissas!$D$36,0)</f>
        <v/>
      </c>
      <c r="S35">
        <f>O35-R35</f>
        <v/>
      </c>
      <c r="T35">
        <f>ROUND(O35*Premissas!$D$9/100,0)</f>
        <v/>
      </c>
      <c r="U35">
        <f>ROUND(AB35*Premissas!$D$33,0)</f>
        <v/>
      </c>
      <c r="V35">
        <f>Premissas!$D$37+ROUND(Premissas!$D$12*Premissas!$D$38+D35*Premissas!$D$27,0)</f>
        <v/>
      </c>
      <c r="W35">
        <f>Premissas!$D$39</f>
        <v/>
      </c>
      <c r="X35">
        <f>S35-T35-ROUND(Premissas!$D$12*Premissas!$D$38+D35*Premissas!$D$27,0)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Premissas!$D$32+(B35+C35)/Premissas!$D$34</f>
        <v/>
      </c>
      <c r="AC35">
        <f>D35+AC23*(1-Premissas!$D$26/12)^12</f>
        <v/>
      </c>
    </row>
    <row r="36">
      <c r="A36" t="n">
        <v>33</v>
      </c>
      <c r="B36">
        <f>B35*(1-Premissas!$D$18/12)+Premissas!$D$12</f>
        <v/>
      </c>
      <c r="C36">
        <f>IF($B$2=1,C35*(1-Premissas!$D$26/12)+D36,0)</f>
        <v/>
      </c>
      <c r="D36">
        <f>IF(AND($B$2=1,A36&gt;=Premissas!$D$23),Premissas!$D$22,0)</f>
        <v/>
      </c>
      <c r="E36">
        <f>B36*Premissas!$D$28</f>
        <v/>
      </c>
      <c r="F36">
        <f>B36*Premissas!$D$13/12*MIN(1,A36/Premissas!$D$17)</f>
        <v/>
      </c>
      <c r="G36">
        <f>F36*Premissas!$D$14</f>
        <v/>
      </c>
      <c r="H36">
        <f>IF(IF(A36-1-Premissas!$D$16&gt;=0,OFFSET($J$4,A36-1-Premissas!$D$16,0),0)&gt;0,ROUND(IF(A36-1-Premissas!$D$16&gt;=0,OFFSET($J$4,A36-1-Premissas!$D$16,0),0)*10000/Premissas!$D$5*Premissas!$D$15,0),0)</f>
        <v/>
      </c>
      <c r="I36">
        <f>ROUND(G36*Premissas!$D$6/10000,0)</f>
        <v/>
      </c>
      <c r="J36">
        <f>ROUND(G36*Premissas!$D$5/10000,0)</f>
        <v/>
      </c>
      <c r="K36">
        <f>IF(IF(A36-1-Premissas!$D$16&gt;=0,OFFSET($A$4,A36-1-Premissas!$D$16,0)&gt;=Premissas!$D$19,FALSE),ROUND(IF(A36-1-Premissas!$D$16&gt;=0,OFFSET($J$4,A36-1-Premissas!$D$16,0),0)*Premissas!$D$15,0),0)</f>
        <v/>
      </c>
      <c r="L36">
        <f>ROUND(C36*Premissas!$D$24/12,0)</f>
        <v/>
      </c>
      <c r="M36">
        <f>ROUND(D36*Premissas!$D$25,0)</f>
        <v/>
      </c>
      <c r="N36">
        <f>ROUND(E36*Premissas!$D$29+B36*Premissas!$D$30,0)</f>
        <v/>
      </c>
      <c r="O36">
        <f>K36+L36+M36+N36</f>
        <v/>
      </c>
      <c r="P36">
        <f>K36+ROUND(AC36*Premissas!$D$24,0)+M36+N36</f>
        <v/>
      </c>
      <c r="Q36">
        <f>ROUND(IF(A36-1-Premissas!$D$21&gt;=0,OFFSET($P$4,A36-1-Premissas!$D$21,0),0)*(1-Premissas!$D$20/100),0)</f>
        <v/>
      </c>
      <c r="R36">
        <f>ROUND(F36*Premissas!$D$11+N36*Premissas!$D$31/100,0)+ROUND((E36+B36)*Premissas!$D$10,0)+ROUND(Q36*Premissas!$D$8/100,0)+ROUND(Premissas!$D$35+(B36+C36)*Premissas!$D$36,0)</f>
        <v/>
      </c>
      <c r="S36">
        <f>O36-R36</f>
        <v/>
      </c>
      <c r="T36">
        <f>ROUND(O36*Premissas!$D$9/100,0)</f>
        <v/>
      </c>
      <c r="U36">
        <f>ROUND(AB36*Premissas!$D$33,0)</f>
        <v/>
      </c>
      <c r="V36">
        <f>Premissas!$D$37+ROUND(Premissas!$D$12*Premissas!$D$38+D36*Premissas!$D$27,0)</f>
        <v/>
      </c>
      <c r="W36">
        <f>Premissas!$D$39</f>
        <v/>
      </c>
      <c r="X36">
        <f>S36-T36-ROUND(Premissas!$D$12*Premissas!$D$38+D36*Premissas!$D$27,0)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Premissas!$D$32+(B36+C36)/Premissas!$D$34</f>
        <v/>
      </c>
      <c r="AC36">
        <f>D36+AC24*(1-Premissas!$D$26/12)^12</f>
        <v/>
      </c>
    </row>
    <row r="37">
      <c r="A37" t="n">
        <v>34</v>
      </c>
      <c r="B37">
        <f>B36*(1-Premissas!$D$18/12)+Premissas!$D$12</f>
        <v/>
      </c>
      <c r="C37">
        <f>IF($B$2=1,C36*(1-Premissas!$D$26/12)+D37,0)</f>
        <v/>
      </c>
      <c r="D37">
        <f>IF(AND($B$2=1,A37&gt;=Premissas!$D$23),Premissas!$D$22,0)</f>
        <v/>
      </c>
      <c r="E37">
        <f>B37*Premissas!$D$28</f>
        <v/>
      </c>
      <c r="F37">
        <f>B37*Premissas!$D$13/12*MIN(1,A37/Premissas!$D$17)</f>
        <v/>
      </c>
      <c r="G37">
        <f>F37*Premissas!$D$14</f>
        <v/>
      </c>
      <c r="H37">
        <f>IF(IF(A37-1-Premissas!$D$16&gt;=0,OFFSET($J$4,A37-1-Premissas!$D$16,0),0)&gt;0,ROUND(IF(A37-1-Premissas!$D$16&gt;=0,OFFSET($J$4,A37-1-Premissas!$D$16,0),0)*10000/Premissas!$D$5*Premissas!$D$15,0),0)</f>
        <v/>
      </c>
      <c r="I37">
        <f>ROUND(G37*Premissas!$D$6/10000,0)</f>
        <v/>
      </c>
      <c r="J37">
        <f>ROUND(G37*Premissas!$D$5/10000,0)</f>
        <v/>
      </c>
      <c r="K37">
        <f>IF(IF(A37-1-Premissas!$D$16&gt;=0,OFFSET($A$4,A37-1-Premissas!$D$16,0)&gt;=Premissas!$D$19,FALSE),ROUND(IF(A37-1-Premissas!$D$16&gt;=0,OFFSET($J$4,A37-1-Premissas!$D$16,0),0)*Premissas!$D$15,0),0)</f>
        <v/>
      </c>
      <c r="L37">
        <f>ROUND(C37*Premissas!$D$24/12,0)</f>
        <v/>
      </c>
      <c r="M37">
        <f>ROUND(D37*Premissas!$D$25,0)</f>
        <v/>
      </c>
      <c r="N37">
        <f>ROUND(E37*Premissas!$D$29+B37*Premissas!$D$30,0)</f>
        <v/>
      </c>
      <c r="O37">
        <f>K37+L37+M37+N37</f>
        <v/>
      </c>
      <c r="P37">
        <f>K37+ROUND(AC37*Premissas!$D$24,0)+M37+N37</f>
        <v/>
      </c>
      <c r="Q37">
        <f>ROUND(IF(A37-1-Premissas!$D$21&gt;=0,OFFSET($P$4,A37-1-Premissas!$D$21,0),0)*(1-Premissas!$D$20/100),0)</f>
        <v/>
      </c>
      <c r="R37">
        <f>ROUND(F37*Premissas!$D$11+N37*Premissas!$D$31/100,0)+ROUND((E37+B37)*Premissas!$D$10,0)+ROUND(Q37*Premissas!$D$8/100,0)+ROUND(Premissas!$D$35+(B37+C37)*Premissas!$D$36,0)</f>
        <v/>
      </c>
      <c r="S37">
        <f>O37-R37</f>
        <v/>
      </c>
      <c r="T37">
        <f>ROUND(O37*Premissas!$D$9/100,0)</f>
        <v/>
      </c>
      <c r="U37">
        <f>ROUND(AB37*Premissas!$D$33,0)</f>
        <v/>
      </c>
      <c r="V37">
        <f>Premissas!$D$37+ROUND(Premissas!$D$12*Premissas!$D$38+D37*Premissas!$D$27,0)</f>
        <v/>
      </c>
      <c r="W37">
        <f>Premissas!$D$39</f>
        <v/>
      </c>
      <c r="X37">
        <f>S37-T37-ROUND(Premissas!$D$12*Premissas!$D$38+D37*Premissas!$D$27,0)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Premissas!$D$32+(B37+C37)/Premissas!$D$34</f>
        <v/>
      </c>
      <c r="AC37">
        <f>D37+AC25*(1-Premissas!$D$26/12)^12</f>
        <v/>
      </c>
    </row>
    <row r="38">
      <c r="A38" t="n">
        <v>35</v>
      </c>
      <c r="B38">
        <f>B37*(1-Premissas!$D$18/12)+Premissas!$D$12</f>
        <v/>
      </c>
      <c r="C38">
        <f>IF($B$2=1,C37*(1-Premissas!$D$26/12)+D38,0)</f>
        <v/>
      </c>
      <c r="D38">
        <f>IF(AND($B$2=1,A38&gt;=Premissas!$D$23),Premissas!$D$22,0)</f>
        <v/>
      </c>
      <c r="E38">
        <f>B38*Premissas!$D$28</f>
        <v/>
      </c>
      <c r="F38">
        <f>B38*Premissas!$D$13/12*MIN(1,A38/Premissas!$D$17)</f>
        <v/>
      </c>
      <c r="G38">
        <f>F38*Premissas!$D$14</f>
        <v/>
      </c>
      <c r="H38">
        <f>IF(IF(A38-1-Premissas!$D$16&gt;=0,OFFSET($J$4,A38-1-Premissas!$D$16,0),0)&gt;0,ROUND(IF(A38-1-Premissas!$D$16&gt;=0,OFFSET($J$4,A38-1-Premissas!$D$16,0),0)*10000/Premissas!$D$5*Premissas!$D$15,0),0)</f>
        <v/>
      </c>
      <c r="I38">
        <f>ROUND(G38*Premissas!$D$6/10000,0)</f>
        <v/>
      </c>
      <c r="J38">
        <f>ROUND(G38*Premissas!$D$5/10000,0)</f>
        <v/>
      </c>
      <c r="K38">
        <f>IF(IF(A38-1-Premissas!$D$16&gt;=0,OFFSET($A$4,A38-1-Premissas!$D$16,0)&gt;=Premissas!$D$19,FALSE),ROUND(IF(A38-1-Premissas!$D$16&gt;=0,OFFSET($J$4,A38-1-Premissas!$D$16,0),0)*Premissas!$D$15,0),0)</f>
        <v/>
      </c>
      <c r="L38">
        <f>ROUND(C38*Premissas!$D$24/12,0)</f>
        <v/>
      </c>
      <c r="M38">
        <f>ROUND(D38*Premissas!$D$25,0)</f>
        <v/>
      </c>
      <c r="N38">
        <f>ROUND(E38*Premissas!$D$29+B38*Premissas!$D$30,0)</f>
        <v/>
      </c>
      <c r="O38">
        <f>K38+L38+M38+N38</f>
        <v/>
      </c>
      <c r="P38">
        <f>K38+ROUND(AC38*Premissas!$D$24,0)+M38+N38</f>
        <v/>
      </c>
      <c r="Q38">
        <f>ROUND(IF(A38-1-Premissas!$D$21&gt;=0,OFFSET($P$4,A38-1-Premissas!$D$21,0),0)*(1-Premissas!$D$20/100),0)</f>
        <v/>
      </c>
      <c r="R38">
        <f>ROUND(F38*Premissas!$D$11+N38*Premissas!$D$31/100,0)+ROUND((E38+B38)*Premissas!$D$10,0)+ROUND(Q38*Premissas!$D$8/100,0)+ROUND(Premissas!$D$35+(B38+C38)*Premissas!$D$36,0)</f>
        <v/>
      </c>
      <c r="S38">
        <f>O38-R38</f>
        <v/>
      </c>
      <c r="T38">
        <f>ROUND(O38*Premissas!$D$9/100,0)</f>
        <v/>
      </c>
      <c r="U38">
        <f>ROUND(AB38*Premissas!$D$33,0)</f>
        <v/>
      </c>
      <c r="V38">
        <f>Premissas!$D$37+ROUND(Premissas!$D$12*Premissas!$D$38+D38*Premissas!$D$27,0)</f>
        <v/>
      </c>
      <c r="W38">
        <f>Premissas!$D$39</f>
        <v/>
      </c>
      <c r="X38">
        <f>S38-T38-ROUND(Premissas!$D$12*Premissas!$D$38+D38*Premissas!$D$27,0)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Premissas!$D$32+(B38+C38)/Premissas!$D$34</f>
        <v/>
      </c>
      <c r="AC38">
        <f>D38+AC26*(1-Premissas!$D$26/12)^12</f>
        <v/>
      </c>
    </row>
    <row r="39">
      <c r="A39" t="n">
        <v>36</v>
      </c>
      <c r="B39">
        <f>B38*(1-Premissas!$D$18/12)+Premissas!$D$12</f>
        <v/>
      </c>
      <c r="C39">
        <f>IF($B$2=1,C38*(1-Premissas!$D$26/12)+D39,0)</f>
        <v/>
      </c>
      <c r="D39">
        <f>IF(AND($B$2=1,A39&gt;=Premissas!$D$23),Premissas!$D$22,0)</f>
        <v/>
      </c>
      <c r="E39">
        <f>B39*Premissas!$D$28</f>
        <v/>
      </c>
      <c r="F39">
        <f>B39*Premissas!$D$13/12*MIN(1,A39/Premissas!$D$17)</f>
        <v/>
      </c>
      <c r="G39">
        <f>F39*Premissas!$D$14</f>
        <v/>
      </c>
      <c r="H39">
        <f>IF(IF(A39-1-Premissas!$D$16&gt;=0,OFFSET($J$4,A39-1-Premissas!$D$16,0),0)&gt;0,ROUND(IF(A39-1-Premissas!$D$16&gt;=0,OFFSET($J$4,A39-1-Premissas!$D$16,0),0)*10000/Premissas!$D$5*Premissas!$D$15,0),0)</f>
        <v/>
      </c>
      <c r="I39">
        <f>ROUND(G39*Premissas!$D$6/10000,0)</f>
        <v/>
      </c>
      <c r="J39">
        <f>ROUND(G39*Premissas!$D$5/10000,0)</f>
        <v/>
      </c>
      <c r="K39">
        <f>IF(IF(A39-1-Premissas!$D$16&gt;=0,OFFSET($A$4,A39-1-Premissas!$D$16,0)&gt;=Premissas!$D$19,FALSE),ROUND(IF(A39-1-Premissas!$D$16&gt;=0,OFFSET($J$4,A39-1-Premissas!$D$16,0),0)*Premissas!$D$15,0),0)</f>
        <v/>
      </c>
      <c r="L39">
        <f>ROUND(C39*Premissas!$D$24/12,0)</f>
        <v/>
      </c>
      <c r="M39">
        <f>ROUND(D39*Premissas!$D$25,0)</f>
        <v/>
      </c>
      <c r="N39">
        <f>ROUND(E39*Premissas!$D$29+B39*Premissas!$D$30,0)</f>
        <v/>
      </c>
      <c r="O39">
        <f>K39+L39+M39+N39</f>
        <v/>
      </c>
      <c r="P39">
        <f>K39+ROUND(AC39*Premissas!$D$24,0)+M39+N39</f>
        <v/>
      </c>
      <c r="Q39">
        <f>ROUND(IF(A39-1-Premissas!$D$21&gt;=0,OFFSET($P$4,A39-1-Premissas!$D$21,0),0)*(1-Premissas!$D$20/100),0)</f>
        <v/>
      </c>
      <c r="R39">
        <f>ROUND(F39*Premissas!$D$11+N39*Premissas!$D$31/100,0)+ROUND((E39+B39)*Premissas!$D$10,0)+ROUND(Q39*Premissas!$D$8/100,0)+ROUND(Premissas!$D$35+(B39+C39)*Premissas!$D$36,0)</f>
        <v/>
      </c>
      <c r="S39">
        <f>O39-R39</f>
        <v/>
      </c>
      <c r="T39">
        <f>ROUND(O39*Premissas!$D$9/100,0)</f>
        <v/>
      </c>
      <c r="U39">
        <f>ROUND(AB39*Premissas!$D$33,0)</f>
        <v/>
      </c>
      <c r="V39">
        <f>Premissas!$D$37+ROUND(Premissas!$D$12*Premissas!$D$38+D39*Premissas!$D$27,0)</f>
        <v/>
      </c>
      <c r="W39">
        <f>Premissas!$D$39</f>
        <v/>
      </c>
      <c r="X39">
        <f>S39-T39-ROUND(Premissas!$D$12*Premissas!$D$38+D39*Premissas!$D$27,0)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Premissas!$D$32+(B39+C39)/Premissas!$D$34</f>
        <v/>
      </c>
      <c r="AC39">
        <f>D39+AC27*(1-Premissas!$D$26/12)^12</f>
        <v/>
      </c>
    </row>
    <row r="40">
      <c r="A40" t="n">
        <v>37</v>
      </c>
      <c r="B40">
        <f>B39*(1-Premissas!$D$18/12)+Premissas!$D$12</f>
        <v/>
      </c>
      <c r="C40">
        <f>IF($B$2=1,C39*(1-Premissas!$D$26/12)+D40,0)</f>
        <v/>
      </c>
      <c r="D40">
        <f>IF(AND($B$2=1,A40&gt;=Premissas!$D$23),Premissas!$D$22,0)</f>
        <v/>
      </c>
      <c r="E40">
        <f>B40*Premissas!$D$28</f>
        <v/>
      </c>
      <c r="F40">
        <f>B40*Premissas!$D$13/12*MIN(1,A40/Premissas!$D$17)</f>
        <v/>
      </c>
      <c r="G40">
        <f>F40*Premissas!$D$14</f>
        <v/>
      </c>
      <c r="H40">
        <f>IF(IF(A40-1-Premissas!$D$16&gt;=0,OFFSET($J$4,A40-1-Premissas!$D$16,0),0)&gt;0,ROUND(IF(A40-1-Premissas!$D$16&gt;=0,OFFSET($J$4,A40-1-Premissas!$D$16,0),0)*10000/Premissas!$D$5*Premissas!$D$15,0),0)</f>
        <v/>
      </c>
      <c r="I40">
        <f>ROUND(G40*Premissas!$D$6/10000,0)</f>
        <v/>
      </c>
      <c r="J40">
        <f>ROUND(G40*Premissas!$D$5/10000,0)</f>
        <v/>
      </c>
      <c r="K40">
        <f>IF(IF(A40-1-Premissas!$D$16&gt;=0,OFFSET($A$4,A40-1-Premissas!$D$16,0)&gt;=Premissas!$D$19,FALSE),ROUND(IF(A40-1-Premissas!$D$16&gt;=0,OFFSET($J$4,A40-1-Premissas!$D$16,0),0)*Premissas!$D$15,0),0)</f>
        <v/>
      </c>
      <c r="L40">
        <f>ROUND(C40*Premissas!$D$24/12,0)</f>
        <v/>
      </c>
      <c r="M40">
        <f>ROUND(D40*Premissas!$D$25,0)</f>
        <v/>
      </c>
      <c r="N40">
        <f>ROUND(E40*Premissas!$D$29+B40*Premissas!$D$30,0)</f>
        <v/>
      </c>
      <c r="O40">
        <f>K40+L40+M40+N40</f>
        <v/>
      </c>
      <c r="P40">
        <f>K40+ROUND(AC40*Premissas!$D$24,0)+M40+N40</f>
        <v/>
      </c>
      <c r="Q40">
        <f>ROUND(IF(A40-1-Premissas!$D$21&gt;=0,OFFSET($P$4,A40-1-Premissas!$D$21,0),0)*(1-Premissas!$D$20/100),0)</f>
        <v/>
      </c>
      <c r="R40">
        <f>ROUND(F40*Premissas!$D$11+N40*Premissas!$D$31/100,0)+ROUND((E40+B40)*Premissas!$D$10,0)+ROUND(Q40*Premissas!$D$8/100,0)+ROUND(Premissas!$D$35+(B40+C40)*Premissas!$D$36,0)</f>
        <v/>
      </c>
      <c r="S40">
        <f>O40-R40</f>
        <v/>
      </c>
      <c r="T40">
        <f>ROUND(O40*Premissas!$D$9/100,0)</f>
        <v/>
      </c>
      <c r="U40">
        <f>ROUND(AB40*Premissas!$D$33,0)</f>
        <v/>
      </c>
      <c r="V40">
        <f>Premissas!$D$37+ROUND(Premissas!$D$12*Premissas!$D$38+D40*Premissas!$D$27,0)</f>
        <v/>
      </c>
      <c r="W40">
        <f>Premissas!$D$39</f>
        <v/>
      </c>
      <c r="X40">
        <f>S40-T40-ROUND(Premissas!$D$12*Premissas!$D$38+D40*Premissas!$D$27,0)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Premissas!$D$32+(B40+C40)/Premissas!$D$34</f>
        <v/>
      </c>
      <c r="AC40">
        <f>D40+AC28*(1-Premissas!$D$26/12)^12</f>
        <v/>
      </c>
    </row>
    <row r="41">
      <c r="A41" t="n">
        <v>38</v>
      </c>
      <c r="B41">
        <f>B40*(1-Premissas!$D$18/12)+Premissas!$D$12</f>
        <v/>
      </c>
      <c r="C41">
        <f>IF($B$2=1,C40*(1-Premissas!$D$26/12)+D41,0)</f>
        <v/>
      </c>
      <c r="D41">
        <f>IF(AND($B$2=1,A41&gt;=Premissas!$D$23),Premissas!$D$22,0)</f>
        <v/>
      </c>
      <c r="E41">
        <f>B41*Premissas!$D$28</f>
        <v/>
      </c>
      <c r="F41">
        <f>B41*Premissas!$D$13/12*MIN(1,A41/Premissas!$D$17)</f>
        <v/>
      </c>
      <c r="G41">
        <f>F41*Premissas!$D$14</f>
        <v/>
      </c>
      <c r="H41">
        <f>IF(IF(A41-1-Premissas!$D$16&gt;=0,OFFSET($J$4,A41-1-Premissas!$D$16,0),0)&gt;0,ROUND(IF(A41-1-Premissas!$D$16&gt;=0,OFFSET($J$4,A41-1-Premissas!$D$16,0),0)*10000/Premissas!$D$5*Premissas!$D$15,0),0)</f>
        <v/>
      </c>
      <c r="I41">
        <f>ROUND(G41*Premissas!$D$6/10000,0)</f>
        <v/>
      </c>
      <c r="J41">
        <f>ROUND(G41*Premissas!$D$5/10000,0)</f>
        <v/>
      </c>
      <c r="K41">
        <f>IF(IF(A41-1-Premissas!$D$16&gt;=0,OFFSET($A$4,A41-1-Premissas!$D$16,0)&gt;=Premissas!$D$19,FALSE),ROUND(IF(A41-1-Premissas!$D$16&gt;=0,OFFSET($J$4,A41-1-Premissas!$D$16,0),0)*Premissas!$D$15,0),0)</f>
        <v/>
      </c>
      <c r="L41">
        <f>ROUND(C41*Premissas!$D$24/12,0)</f>
        <v/>
      </c>
      <c r="M41">
        <f>ROUND(D41*Premissas!$D$25,0)</f>
        <v/>
      </c>
      <c r="N41">
        <f>ROUND(E41*Premissas!$D$29+B41*Premissas!$D$30,0)</f>
        <v/>
      </c>
      <c r="O41">
        <f>K41+L41+M41+N41</f>
        <v/>
      </c>
      <c r="P41">
        <f>K41+ROUND(AC41*Premissas!$D$24,0)+M41+N41</f>
        <v/>
      </c>
      <c r="Q41">
        <f>ROUND(IF(A41-1-Premissas!$D$21&gt;=0,OFFSET($P$4,A41-1-Premissas!$D$21,0),0)*(1-Premissas!$D$20/100),0)</f>
        <v/>
      </c>
      <c r="R41">
        <f>ROUND(F41*Premissas!$D$11+N41*Premissas!$D$31/100,0)+ROUND((E41+B41)*Premissas!$D$10,0)+ROUND(Q41*Premissas!$D$8/100,0)+ROUND(Premissas!$D$35+(B41+C41)*Premissas!$D$36,0)</f>
        <v/>
      </c>
      <c r="S41">
        <f>O41-R41</f>
        <v/>
      </c>
      <c r="T41">
        <f>ROUND(O41*Premissas!$D$9/100,0)</f>
        <v/>
      </c>
      <c r="U41">
        <f>ROUND(AB41*Premissas!$D$33,0)</f>
        <v/>
      </c>
      <c r="V41">
        <f>Premissas!$D$37+ROUND(Premissas!$D$12*Premissas!$D$38+D41*Premissas!$D$27,0)</f>
        <v/>
      </c>
      <c r="W41">
        <f>Premissas!$D$39</f>
        <v/>
      </c>
      <c r="X41">
        <f>S41-T41-ROUND(Premissas!$D$12*Premissas!$D$38+D41*Premissas!$D$27,0)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Premissas!$D$32+(B41+C41)/Premissas!$D$34</f>
        <v/>
      </c>
      <c r="AC41">
        <f>D41+AC29*(1-Premissas!$D$26/12)^12</f>
        <v/>
      </c>
    </row>
    <row r="42">
      <c r="A42" t="n">
        <v>39</v>
      </c>
      <c r="B42">
        <f>B41*(1-Premissas!$D$18/12)+Premissas!$D$12</f>
        <v/>
      </c>
      <c r="C42">
        <f>IF($B$2=1,C41*(1-Premissas!$D$26/12)+D42,0)</f>
        <v/>
      </c>
      <c r="D42">
        <f>IF(AND($B$2=1,A42&gt;=Premissas!$D$23),Premissas!$D$22,0)</f>
        <v/>
      </c>
      <c r="E42">
        <f>B42*Premissas!$D$28</f>
        <v/>
      </c>
      <c r="F42">
        <f>B42*Premissas!$D$13/12*MIN(1,A42/Premissas!$D$17)</f>
        <v/>
      </c>
      <c r="G42">
        <f>F42*Premissas!$D$14</f>
        <v/>
      </c>
      <c r="H42">
        <f>IF(IF(A42-1-Premissas!$D$16&gt;=0,OFFSET($J$4,A42-1-Premissas!$D$16,0),0)&gt;0,ROUND(IF(A42-1-Premissas!$D$16&gt;=0,OFFSET($J$4,A42-1-Premissas!$D$16,0),0)*10000/Premissas!$D$5*Premissas!$D$15,0),0)</f>
        <v/>
      </c>
      <c r="I42">
        <f>ROUND(G42*Premissas!$D$6/10000,0)</f>
        <v/>
      </c>
      <c r="J42">
        <f>ROUND(G42*Premissas!$D$5/10000,0)</f>
        <v/>
      </c>
      <c r="K42">
        <f>IF(IF(A42-1-Premissas!$D$16&gt;=0,OFFSET($A$4,A42-1-Premissas!$D$16,0)&gt;=Premissas!$D$19,FALSE),ROUND(IF(A42-1-Premissas!$D$16&gt;=0,OFFSET($J$4,A42-1-Premissas!$D$16,0),0)*Premissas!$D$15,0),0)</f>
        <v/>
      </c>
      <c r="L42">
        <f>ROUND(C42*Premissas!$D$24/12,0)</f>
        <v/>
      </c>
      <c r="M42">
        <f>ROUND(D42*Premissas!$D$25,0)</f>
        <v/>
      </c>
      <c r="N42">
        <f>ROUND(E42*Premissas!$D$29+B42*Premissas!$D$30,0)</f>
        <v/>
      </c>
      <c r="O42">
        <f>K42+L42+M42+N42</f>
        <v/>
      </c>
      <c r="P42">
        <f>K42+ROUND(AC42*Premissas!$D$24,0)+M42+N42</f>
        <v/>
      </c>
      <c r="Q42">
        <f>ROUND(IF(A42-1-Premissas!$D$21&gt;=0,OFFSET($P$4,A42-1-Premissas!$D$21,0),0)*(1-Premissas!$D$20/100),0)</f>
        <v/>
      </c>
      <c r="R42">
        <f>ROUND(F42*Premissas!$D$11+N42*Premissas!$D$31/100,0)+ROUND((E42+B42)*Premissas!$D$10,0)+ROUND(Q42*Premissas!$D$8/100,0)+ROUND(Premissas!$D$35+(B42+C42)*Premissas!$D$36,0)</f>
        <v/>
      </c>
      <c r="S42">
        <f>O42-R42</f>
        <v/>
      </c>
      <c r="T42">
        <f>ROUND(O42*Premissas!$D$9/100,0)</f>
        <v/>
      </c>
      <c r="U42">
        <f>ROUND(AB42*Premissas!$D$33,0)</f>
        <v/>
      </c>
      <c r="V42">
        <f>Premissas!$D$37+ROUND(Premissas!$D$12*Premissas!$D$38+D42*Premissas!$D$27,0)</f>
        <v/>
      </c>
      <c r="W42">
        <f>Premissas!$D$39</f>
        <v/>
      </c>
      <c r="X42">
        <f>S42-T42-ROUND(Premissas!$D$12*Premissas!$D$38+D42*Premissas!$D$27,0)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Premissas!$D$32+(B42+C42)/Premissas!$D$34</f>
        <v/>
      </c>
      <c r="AC42">
        <f>D42+AC30*(1-Premissas!$D$26/12)^12</f>
        <v/>
      </c>
    </row>
    <row r="43">
      <c r="A43" t="n">
        <v>40</v>
      </c>
      <c r="B43">
        <f>B42*(1-Premissas!$D$18/12)+Premissas!$D$12</f>
        <v/>
      </c>
      <c r="C43">
        <f>IF($B$2=1,C42*(1-Premissas!$D$26/12)+D43,0)</f>
        <v/>
      </c>
      <c r="D43">
        <f>IF(AND($B$2=1,A43&gt;=Premissas!$D$23),Premissas!$D$22,0)</f>
        <v/>
      </c>
      <c r="E43">
        <f>B43*Premissas!$D$28</f>
        <v/>
      </c>
      <c r="F43">
        <f>B43*Premissas!$D$13/12*MIN(1,A43/Premissas!$D$17)</f>
        <v/>
      </c>
      <c r="G43">
        <f>F43*Premissas!$D$14</f>
        <v/>
      </c>
      <c r="H43">
        <f>IF(IF(A43-1-Premissas!$D$16&gt;=0,OFFSET($J$4,A43-1-Premissas!$D$16,0),0)&gt;0,ROUND(IF(A43-1-Premissas!$D$16&gt;=0,OFFSET($J$4,A43-1-Premissas!$D$16,0),0)*10000/Premissas!$D$5*Premissas!$D$15,0),0)</f>
        <v/>
      </c>
      <c r="I43">
        <f>ROUND(G43*Premissas!$D$6/10000,0)</f>
        <v/>
      </c>
      <c r="J43">
        <f>ROUND(G43*Premissas!$D$5/10000,0)</f>
        <v/>
      </c>
      <c r="K43">
        <f>IF(IF(A43-1-Premissas!$D$16&gt;=0,OFFSET($A$4,A43-1-Premissas!$D$16,0)&gt;=Premissas!$D$19,FALSE),ROUND(IF(A43-1-Premissas!$D$16&gt;=0,OFFSET($J$4,A43-1-Premissas!$D$16,0),0)*Premissas!$D$15,0),0)</f>
        <v/>
      </c>
      <c r="L43">
        <f>ROUND(C43*Premissas!$D$24/12,0)</f>
        <v/>
      </c>
      <c r="M43">
        <f>ROUND(D43*Premissas!$D$25,0)</f>
        <v/>
      </c>
      <c r="N43">
        <f>ROUND(E43*Premissas!$D$29+B43*Premissas!$D$30,0)</f>
        <v/>
      </c>
      <c r="O43">
        <f>K43+L43+M43+N43</f>
        <v/>
      </c>
      <c r="P43">
        <f>K43+ROUND(AC43*Premissas!$D$24,0)+M43+N43</f>
        <v/>
      </c>
      <c r="Q43">
        <f>ROUND(IF(A43-1-Premissas!$D$21&gt;=0,OFFSET($P$4,A43-1-Premissas!$D$21,0),0)*(1-Premissas!$D$20/100),0)</f>
        <v/>
      </c>
      <c r="R43">
        <f>ROUND(F43*Premissas!$D$11+N43*Premissas!$D$31/100,0)+ROUND((E43+B43)*Premissas!$D$10,0)+ROUND(Q43*Premissas!$D$8/100,0)+ROUND(Premissas!$D$35+(B43+C43)*Premissas!$D$36,0)</f>
        <v/>
      </c>
      <c r="S43">
        <f>O43-R43</f>
        <v/>
      </c>
      <c r="T43">
        <f>ROUND(O43*Premissas!$D$9/100,0)</f>
        <v/>
      </c>
      <c r="U43">
        <f>ROUND(AB43*Premissas!$D$33,0)</f>
        <v/>
      </c>
      <c r="V43">
        <f>Premissas!$D$37+ROUND(Premissas!$D$12*Premissas!$D$38+D43*Premissas!$D$27,0)</f>
        <v/>
      </c>
      <c r="W43">
        <f>Premissas!$D$39</f>
        <v/>
      </c>
      <c r="X43">
        <f>S43-T43-ROUND(Premissas!$D$12*Premissas!$D$38+D43*Premissas!$D$27,0)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Premissas!$D$32+(B43+C43)/Premissas!$D$34</f>
        <v/>
      </c>
      <c r="AC43">
        <f>D43+AC31*(1-Premissas!$D$26/12)^12</f>
        <v/>
      </c>
    </row>
    <row r="44">
      <c r="A44" t="n">
        <v>41</v>
      </c>
      <c r="B44">
        <f>B43*(1-Premissas!$D$18/12)+Premissas!$D$12</f>
        <v/>
      </c>
      <c r="C44">
        <f>IF($B$2=1,C43*(1-Premissas!$D$26/12)+D44,0)</f>
        <v/>
      </c>
      <c r="D44">
        <f>IF(AND($B$2=1,A44&gt;=Premissas!$D$23),Premissas!$D$22,0)</f>
        <v/>
      </c>
      <c r="E44">
        <f>B44*Premissas!$D$28</f>
        <v/>
      </c>
      <c r="F44">
        <f>B44*Premissas!$D$13/12*MIN(1,A44/Premissas!$D$17)</f>
        <v/>
      </c>
      <c r="G44">
        <f>F44*Premissas!$D$14</f>
        <v/>
      </c>
      <c r="H44">
        <f>IF(IF(A44-1-Premissas!$D$16&gt;=0,OFFSET($J$4,A44-1-Premissas!$D$16,0),0)&gt;0,ROUND(IF(A44-1-Premissas!$D$16&gt;=0,OFFSET($J$4,A44-1-Premissas!$D$16,0),0)*10000/Premissas!$D$5*Premissas!$D$15,0),0)</f>
        <v/>
      </c>
      <c r="I44">
        <f>ROUND(G44*Premissas!$D$6/10000,0)</f>
        <v/>
      </c>
      <c r="J44">
        <f>ROUND(G44*Premissas!$D$5/10000,0)</f>
        <v/>
      </c>
      <c r="K44">
        <f>IF(IF(A44-1-Premissas!$D$16&gt;=0,OFFSET($A$4,A44-1-Premissas!$D$16,0)&gt;=Premissas!$D$19,FALSE),ROUND(IF(A44-1-Premissas!$D$16&gt;=0,OFFSET($J$4,A44-1-Premissas!$D$16,0),0)*Premissas!$D$15,0),0)</f>
        <v/>
      </c>
      <c r="L44">
        <f>ROUND(C44*Premissas!$D$24/12,0)</f>
        <v/>
      </c>
      <c r="M44">
        <f>ROUND(D44*Premissas!$D$25,0)</f>
        <v/>
      </c>
      <c r="N44">
        <f>ROUND(E44*Premissas!$D$29+B44*Premissas!$D$30,0)</f>
        <v/>
      </c>
      <c r="O44">
        <f>K44+L44+M44+N44</f>
        <v/>
      </c>
      <c r="P44">
        <f>K44+ROUND(AC44*Premissas!$D$24,0)+M44+N44</f>
        <v/>
      </c>
      <c r="Q44">
        <f>ROUND(IF(A44-1-Premissas!$D$21&gt;=0,OFFSET($P$4,A44-1-Premissas!$D$21,0),0)*(1-Premissas!$D$20/100),0)</f>
        <v/>
      </c>
      <c r="R44">
        <f>ROUND(F44*Premissas!$D$11+N44*Premissas!$D$31/100,0)+ROUND((E44+B44)*Premissas!$D$10,0)+ROUND(Q44*Premissas!$D$8/100,0)+ROUND(Premissas!$D$35+(B44+C44)*Premissas!$D$36,0)</f>
        <v/>
      </c>
      <c r="S44">
        <f>O44-R44</f>
        <v/>
      </c>
      <c r="T44">
        <f>ROUND(O44*Premissas!$D$9/100,0)</f>
        <v/>
      </c>
      <c r="U44">
        <f>ROUND(AB44*Premissas!$D$33,0)</f>
        <v/>
      </c>
      <c r="V44">
        <f>Premissas!$D$37+ROUND(Premissas!$D$12*Premissas!$D$38+D44*Premissas!$D$27,0)</f>
        <v/>
      </c>
      <c r="W44">
        <f>Premissas!$D$39</f>
        <v/>
      </c>
      <c r="X44">
        <f>S44-T44-ROUND(Premissas!$D$12*Premissas!$D$38+D44*Premissas!$D$27,0)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Premissas!$D$32+(B44+C44)/Premissas!$D$34</f>
        <v/>
      </c>
      <c r="AC44">
        <f>D44+AC32*(1-Premissas!$D$26/12)^12</f>
        <v/>
      </c>
    </row>
    <row r="45">
      <c r="A45" t="n">
        <v>42</v>
      </c>
      <c r="B45">
        <f>B44*(1-Premissas!$D$18/12)+Premissas!$D$12</f>
        <v/>
      </c>
      <c r="C45">
        <f>IF($B$2=1,C44*(1-Premissas!$D$26/12)+D45,0)</f>
        <v/>
      </c>
      <c r="D45">
        <f>IF(AND($B$2=1,A45&gt;=Premissas!$D$23),Premissas!$D$22,0)</f>
        <v/>
      </c>
      <c r="E45">
        <f>B45*Premissas!$D$28</f>
        <v/>
      </c>
      <c r="F45">
        <f>B45*Premissas!$D$13/12*MIN(1,A45/Premissas!$D$17)</f>
        <v/>
      </c>
      <c r="G45">
        <f>F45*Premissas!$D$14</f>
        <v/>
      </c>
      <c r="H45">
        <f>IF(IF(A45-1-Premissas!$D$16&gt;=0,OFFSET($J$4,A45-1-Premissas!$D$16,0),0)&gt;0,ROUND(IF(A45-1-Premissas!$D$16&gt;=0,OFFSET($J$4,A45-1-Premissas!$D$16,0),0)*10000/Premissas!$D$5*Premissas!$D$15,0),0)</f>
        <v/>
      </c>
      <c r="I45">
        <f>ROUND(G45*Premissas!$D$6/10000,0)</f>
        <v/>
      </c>
      <c r="J45">
        <f>ROUND(G45*Premissas!$D$5/10000,0)</f>
        <v/>
      </c>
      <c r="K45">
        <f>IF(IF(A45-1-Premissas!$D$16&gt;=0,OFFSET($A$4,A45-1-Premissas!$D$16,0)&gt;=Premissas!$D$19,FALSE),ROUND(IF(A45-1-Premissas!$D$16&gt;=0,OFFSET($J$4,A45-1-Premissas!$D$16,0),0)*Premissas!$D$15,0),0)</f>
        <v/>
      </c>
      <c r="L45">
        <f>ROUND(C45*Premissas!$D$24/12,0)</f>
        <v/>
      </c>
      <c r="M45">
        <f>ROUND(D45*Premissas!$D$25,0)</f>
        <v/>
      </c>
      <c r="N45">
        <f>ROUND(E45*Premissas!$D$29+B45*Premissas!$D$30,0)</f>
        <v/>
      </c>
      <c r="O45">
        <f>K45+L45+M45+N45</f>
        <v/>
      </c>
      <c r="P45">
        <f>K45+ROUND(AC45*Premissas!$D$24,0)+M45+N45</f>
        <v/>
      </c>
      <c r="Q45">
        <f>ROUND(IF(A45-1-Premissas!$D$21&gt;=0,OFFSET($P$4,A45-1-Premissas!$D$21,0),0)*(1-Premissas!$D$20/100),0)</f>
        <v/>
      </c>
      <c r="R45">
        <f>ROUND(F45*Premissas!$D$11+N45*Premissas!$D$31/100,0)+ROUND((E45+B45)*Premissas!$D$10,0)+ROUND(Q45*Premissas!$D$8/100,0)+ROUND(Premissas!$D$35+(B45+C45)*Premissas!$D$36,0)</f>
        <v/>
      </c>
      <c r="S45">
        <f>O45-R45</f>
        <v/>
      </c>
      <c r="T45">
        <f>ROUND(O45*Premissas!$D$9/100,0)</f>
        <v/>
      </c>
      <c r="U45">
        <f>ROUND(AB45*Premissas!$D$33,0)</f>
        <v/>
      </c>
      <c r="V45">
        <f>Premissas!$D$37+ROUND(Premissas!$D$12*Premissas!$D$38+D45*Premissas!$D$27,0)</f>
        <v/>
      </c>
      <c r="W45">
        <f>Premissas!$D$39</f>
        <v/>
      </c>
      <c r="X45">
        <f>S45-T45-ROUND(Premissas!$D$12*Premissas!$D$38+D45*Premissas!$D$27,0)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Premissas!$D$32+(B45+C45)/Premissas!$D$34</f>
        <v/>
      </c>
      <c r="AC45">
        <f>D45+AC33*(1-Premissas!$D$26/12)^12</f>
        <v/>
      </c>
    </row>
    <row r="46">
      <c r="A46" t="n">
        <v>43</v>
      </c>
      <c r="B46">
        <f>B45*(1-Premissas!$D$18/12)+Premissas!$D$12</f>
        <v/>
      </c>
      <c r="C46">
        <f>IF($B$2=1,C45*(1-Premissas!$D$26/12)+D46,0)</f>
        <v/>
      </c>
      <c r="D46">
        <f>IF(AND($B$2=1,A46&gt;=Premissas!$D$23),Premissas!$D$22,0)</f>
        <v/>
      </c>
      <c r="E46">
        <f>B46*Premissas!$D$28</f>
        <v/>
      </c>
      <c r="F46">
        <f>B46*Premissas!$D$13/12*MIN(1,A46/Premissas!$D$17)</f>
        <v/>
      </c>
      <c r="G46">
        <f>F46*Premissas!$D$14</f>
        <v/>
      </c>
      <c r="H46">
        <f>IF(IF(A46-1-Premissas!$D$16&gt;=0,OFFSET($J$4,A46-1-Premissas!$D$16,0),0)&gt;0,ROUND(IF(A46-1-Premissas!$D$16&gt;=0,OFFSET($J$4,A46-1-Premissas!$D$16,0),0)*10000/Premissas!$D$5*Premissas!$D$15,0),0)</f>
        <v/>
      </c>
      <c r="I46">
        <f>ROUND(G46*Premissas!$D$6/10000,0)</f>
        <v/>
      </c>
      <c r="J46">
        <f>ROUND(G46*Premissas!$D$5/10000,0)</f>
        <v/>
      </c>
      <c r="K46">
        <f>IF(IF(A46-1-Premissas!$D$16&gt;=0,OFFSET($A$4,A46-1-Premissas!$D$16,0)&gt;=Premissas!$D$19,FALSE),ROUND(IF(A46-1-Premissas!$D$16&gt;=0,OFFSET($J$4,A46-1-Premissas!$D$16,0),0)*Premissas!$D$15,0),0)</f>
        <v/>
      </c>
      <c r="L46">
        <f>ROUND(C46*Premissas!$D$24/12,0)</f>
        <v/>
      </c>
      <c r="M46">
        <f>ROUND(D46*Premissas!$D$25,0)</f>
        <v/>
      </c>
      <c r="N46">
        <f>ROUND(E46*Premissas!$D$29+B46*Premissas!$D$30,0)</f>
        <v/>
      </c>
      <c r="O46">
        <f>K46+L46+M46+N46</f>
        <v/>
      </c>
      <c r="P46">
        <f>K46+ROUND(AC46*Premissas!$D$24,0)+M46+N46</f>
        <v/>
      </c>
      <c r="Q46">
        <f>ROUND(IF(A46-1-Premissas!$D$21&gt;=0,OFFSET($P$4,A46-1-Premissas!$D$21,0),0)*(1-Premissas!$D$20/100),0)</f>
        <v/>
      </c>
      <c r="R46">
        <f>ROUND(F46*Premissas!$D$11+N46*Premissas!$D$31/100,0)+ROUND((E46+B46)*Premissas!$D$10,0)+ROUND(Q46*Premissas!$D$8/100,0)+ROUND(Premissas!$D$35+(B46+C46)*Premissas!$D$36,0)</f>
        <v/>
      </c>
      <c r="S46">
        <f>O46-R46</f>
        <v/>
      </c>
      <c r="T46">
        <f>ROUND(O46*Premissas!$D$9/100,0)</f>
        <v/>
      </c>
      <c r="U46">
        <f>ROUND(AB46*Premissas!$D$33,0)</f>
        <v/>
      </c>
      <c r="V46">
        <f>Premissas!$D$37+ROUND(Premissas!$D$12*Premissas!$D$38+D46*Premissas!$D$27,0)</f>
        <v/>
      </c>
      <c r="W46">
        <f>Premissas!$D$39</f>
        <v/>
      </c>
      <c r="X46">
        <f>S46-T46-ROUND(Premissas!$D$12*Premissas!$D$38+D46*Premissas!$D$27,0)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Premissas!$D$32+(B46+C46)/Premissas!$D$34</f>
        <v/>
      </c>
      <c r="AC46">
        <f>D46+AC34*(1-Premissas!$D$26/12)^12</f>
        <v/>
      </c>
    </row>
    <row r="47">
      <c r="A47" t="n">
        <v>44</v>
      </c>
      <c r="B47">
        <f>B46*(1-Premissas!$D$18/12)+Premissas!$D$12</f>
        <v/>
      </c>
      <c r="C47">
        <f>IF($B$2=1,C46*(1-Premissas!$D$26/12)+D47,0)</f>
        <v/>
      </c>
      <c r="D47">
        <f>IF(AND($B$2=1,A47&gt;=Premissas!$D$23),Premissas!$D$22,0)</f>
        <v/>
      </c>
      <c r="E47">
        <f>B47*Premissas!$D$28</f>
        <v/>
      </c>
      <c r="F47">
        <f>B47*Premissas!$D$13/12*MIN(1,A47/Premissas!$D$17)</f>
        <v/>
      </c>
      <c r="G47">
        <f>F47*Premissas!$D$14</f>
        <v/>
      </c>
      <c r="H47">
        <f>IF(IF(A47-1-Premissas!$D$16&gt;=0,OFFSET($J$4,A47-1-Premissas!$D$16,0),0)&gt;0,ROUND(IF(A47-1-Premissas!$D$16&gt;=0,OFFSET($J$4,A47-1-Premissas!$D$16,0),0)*10000/Premissas!$D$5*Premissas!$D$15,0),0)</f>
        <v/>
      </c>
      <c r="I47">
        <f>ROUND(G47*Premissas!$D$6/10000,0)</f>
        <v/>
      </c>
      <c r="J47">
        <f>ROUND(G47*Premissas!$D$5/10000,0)</f>
        <v/>
      </c>
      <c r="K47">
        <f>IF(IF(A47-1-Premissas!$D$16&gt;=0,OFFSET($A$4,A47-1-Premissas!$D$16,0)&gt;=Premissas!$D$19,FALSE),ROUND(IF(A47-1-Premissas!$D$16&gt;=0,OFFSET($J$4,A47-1-Premissas!$D$16,0),0)*Premissas!$D$15,0),0)</f>
        <v/>
      </c>
      <c r="L47">
        <f>ROUND(C47*Premissas!$D$24/12,0)</f>
        <v/>
      </c>
      <c r="M47">
        <f>ROUND(D47*Premissas!$D$25,0)</f>
        <v/>
      </c>
      <c r="N47">
        <f>ROUND(E47*Premissas!$D$29+B47*Premissas!$D$30,0)</f>
        <v/>
      </c>
      <c r="O47">
        <f>K47+L47+M47+N47</f>
        <v/>
      </c>
      <c r="P47">
        <f>K47+ROUND(AC47*Premissas!$D$24,0)+M47+N47</f>
        <v/>
      </c>
      <c r="Q47">
        <f>ROUND(IF(A47-1-Premissas!$D$21&gt;=0,OFFSET($P$4,A47-1-Premissas!$D$21,0),0)*(1-Premissas!$D$20/100),0)</f>
        <v/>
      </c>
      <c r="R47">
        <f>ROUND(F47*Premissas!$D$11+N47*Premissas!$D$31/100,0)+ROUND((E47+B47)*Premissas!$D$10,0)+ROUND(Q47*Premissas!$D$8/100,0)+ROUND(Premissas!$D$35+(B47+C47)*Premissas!$D$36,0)</f>
        <v/>
      </c>
      <c r="S47">
        <f>O47-R47</f>
        <v/>
      </c>
      <c r="T47">
        <f>ROUND(O47*Premissas!$D$9/100,0)</f>
        <v/>
      </c>
      <c r="U47">
        <f>ROUND(AB47*Premissas!$D$33,0)</f>
        <v/>
      </c>
      <c r="V47">
        <f>Premissas!$D$37+ROUND(Premissas!$D$12*Premissas!$D$38+D47*Premissas!$D$27,0)</f>
        <v/>
      </c>
      <c r="W47">
        <f>Premissas!$D$39</f>
        <v/>
      </c>
      <c r="X47">
        <f>S47-T47-ROUND(Premissas!$D$12*Premissas!$D$38+D47*Premissas!$D$27,0)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Premissas!$D$32+(B47+C47)/Premissas!$D$34</f>
        <v/>
      </c>
      <c r="AC47">
        <f>D47+AC35*(1-Premissas!$D$26/12)^12</f>
        <v/>
      </c>
    </row>
    <row r="48">
      <c r="A48" t="n">
        <v>45</v>
      </c>
      <c r="B48">
        <f>B47*(1-Premissas!$D$18/12)+Premissas!$D$12</f>
        <v/>
      </c>
      <c r="C48">
        <f>IF($B$2=1,C47*(1-Premissas!$D$26/12)+D48,0)</f>
        <v/>
      </c>
      <c r="D48">
        <f>IF(AND($B$2=1,A48&gt;=Premissas!$D$23),Premissas!$D$22,0)</f>
        <v/>
      </c>
      <c r="E48">
        <f>B48*Premissas!$D$28</f>
        <v/>
      </c>
      <c r="F48">
        <f>B48*Premissas!$D$13/12*MIN(1,A48/Premissas!$D$17)</f>
        <v/>
      </c>
      <c r="G48">
        <f>F48*Premissas!$D$14</f>
        <v/>
      </c>
      <c r="H48">
        <f>IF(IF(A48-1-Premissas!$D$16&gt;=0,OFFSET($J$4,A48-1-Premissas!$D$16,0),0)&gt;0,ROUND(IF(A48-1-Premissas!$D$16&gt;=0,OFFSET($J$4,A48-1-Premissas!$D$16,0),0)*10000/Premissas!$D$5*Premissas!$D$15,0),0)</f>
        <v/>
      </c>
      <c r="I48">
        <f>ROUND(G48*Premissas!$D$6/10000,0)</f>
        <v/>
      </c>
      <c r="J48">
        <f>ROUND(G48*Premissas!$D$5/10000,0)</f>
        <v/>
      </c>
      <c r="K48">
        <f>IF(IF(A48-1-Premissas!$D$16&gt;=0,OFFSET($A$4,A48-1-Premissas!$D$16,0)&gt;=Premissas!$D$19,FALSE),ROUND(IF(A48-1-Premissas!$D$16&gt;=0,OFFSET($J$4,A48-1-Premissas!$D$16,0),0)*Premissas!$D$15,0),0)</f>
        <v/>
      </c>
      <c r="L48">
        <f>ROUND(C48*Premissas!$D$24/12,0)</f>
        <v/>
      </c>
      <c r="M48">
        <f>ROUND(D48*Premissas!$D$25,0)</f>
        <v/>
      </c>
      <c r="N48">
        <f>ROUND(E48*Premissas!$D$29+B48*Premissas!$D$30,0)</f>
        <v/>
      </c>
      <c r="O48">
        <f>K48+L48+M48+N48</f>
        <v/>
      </c>
      <c r="P48">
        <f>K48+ROUND(AC48*Premissas!$D$24,0)+M48+N48</f>
        <v/>
      </c>
      <c r="Q48">
        <f>ROUND(IF(A48-1-Premissas!$D$21&gt;=0,OFFSET($P$4,A48-1-Premissas!$D$21,0),0)*(1-Premissas!$D$20/100),0)</f>
        <v/>
      </c>
      <c r="R48">
        <f>ROUND(F48*Premissas!$D$11+N48*Premissas!$D$31/100,0)+ROUND((E48+B48)*Premissas!$D$10,0)+ROUND(Q48*Premissas!$D$8/100,0)+ROUND(Premissas!$D$35+(B48+C48)*Premissas!$D$36,0)</f>
        <v/>
      </c>
      <c r="S48">
        <f>O48-R48</f>
        <v/>
      </c>
      <c r="T48">
        <f>ROUND(O48*Premissas!$D$9/100,0)</f>
        <v/>
      </c>
      <c r="U48">
        <f>ROUND(AB48*Premissas!$D$33,0)</f>
        <v/>
      </c>
      <c r="V48">
        <f>Premissas!$D$37+ROUND(Premissas!$D$12*Premissas!$D$38+D48*Premissas!$D$27,0)</f>
        <v/>
      </c>
      <c r="W48">
        <f>Premissas!$D$39</f>
        <v/>
      </c>
      <c r="X48">
        <f>S48-T48-ROUND(Premissas!$D$12*Premissas!$D$38+D48*Premissas!$D$27,0)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Premissas!$D$32+(B48+C48)/Premissas!$D$34</f>
        <v/>
      </c>
      <c r="AC48">
        <f>D48+AC36*(1-Premissas!$D$26/12)^12</f>
        <v/>
      </c>
    </row>
    <row r="49">
      <c r="A49" t="n">
        <v>46</v>
      </c>
      <c r="B49">
        <f>B48*(1-Premissas!$D$18/12)+Premissas!$D$12</f>
        <v/>
      </c>
      <c r="C49">
        <f>IF($B$2=1,C48*(1-Premissas!$D$26/12)+D49,0)</f>
        <v/>
      </c>
      <c r="D49">
        <f>IF(AND($B$2=1,A49&gt;=Premissas!$D$23),Premissas!$D$22,0)</f>
        <v/>
      </c>
      <c r="E49">
        <f>B49*Premissas!$D$28</f>
        <v/>
      </c>
      <c r="F49">
        <f>B49*Premissas!$D$13/12*MIN(1,A49/Premissas!$D$17)</f>
        <v/>
      </c>
      <c r="G49">
        <f>F49*Premissas!$D$14</f>
        <v/>
      </c>
      <c r="H49">
        <f>IF(IF(A49-1-Premissas!$D$16&gt;=0,OFFSET($J$4,A49-1-Premissas!$D$16,0),0)&gt;0,ROUND(IF(A49-1-Premissas!$D$16&gt;=0,OFFSET($J$4,A49-1-Premissas!$D$16,0),0)*10000/Premissas!$D$5*Premissas!$D$15,0),0)</f>
        <v/>
      </c>
      <c r="I49">
        <f>ROUND(G49*Premissas!$D$6/10000,0)</f>
        <v/>
      </c>
      <c r="J49">
        <f>ROUND(G49*Premissas!$D$5/10000,0)</f>
        <v/>
      </c>
      <c r="K49">
        <f>IF(IF(A49-1-Premissas!$D$16&gt;=0,OFFSET($A$4,A49-1-Premissas!$D$16,0)&gt;=Premissas!$D$19,FALSE),ROUND(IF(A49-1-Premissas!$D$16&gt;=0,OFFSET($J$4,A49-1-Premissas!$D$16,0),0)*Premissas!$D$15,0),0)</f>
        <v/>
      </c>
      <c r="L49">
        <f>ROUND(C49*Premissas!$D$24/12,0)</f>
        <v/>
      </c>
      <c r="M49">
        <f>ROUND(D49*Premissas!$D$25,0)</f>
        <v/>
      </c>
      <c r="N49">
        <f>ROUND(E49*Premissas!$D$29+B49*Premissas!$D$30,0)</f>
        <v/>
      </c>
      <c r="O49">
        <f>K49+L49+M49+N49</f>
        <v/>
      </c>
      <c r="P49">
        <f>K49+ROUND(AC49*Premissas!$D$24,0)+M49+N49</f>
        <v/>
      </c>
      <c r="Q49">
        <f>ROUND(IF(A49-1-Premissas!$D$21&gt;=0,OFFSET($P$4,A49-1-Premissas!$D$21,0),0)*(1-Premissas!$D$20/100),0)</f>
        <v/>
      </c>
      <c r="R49">
        <f>ROUND(F49*Premissas!$D$11+N49*Premissas!$D$31/100,0)+ROUND((E49+B49)*Premissas!$D$10,0)+ROUND(Q49*Premissas!$D$8/100,0)+ROUND(Premissas!$D$35+(B49+C49)*Premissas!$D$36,0)</f>
        <v/>
      </c>
      <c r="S49">
        <f>O49-R49</f>
        <v/>
      </c>
      <c r="T49">
        <f>ROUND(O49*Premissas!$D$9/100,0)</f>
        <v/>
      </c>
      <c r="U49">
        <f>ROUND(AB49*Premissas!$D$33,0)</f>
        <v/>
      </c>
      <c r="V49">
        <f>Premissas!$D$37+ROUND(Premissas!$D$12*Premissas!$D$38+D49*Premissas!$D$27,0)</f>
        <v/>
      </c>
      <c r="W49">
        <f>Premissas!$D$39</f>
        <v/>
      </c>
      <c r="X49">
        <f>S49-T49-ROUND(Premissas!$D$12*Premissas!$D$38+D49*Premissas!$D$27,0)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Premissas!$D$32+(B49+C49)/Premissas!$D$34</f>
        <v/>
      </c>
      <c r="AC49">
        <f>D49+AC37*(1-Premissas!$D$26/12)^12</f>
        <v/>
      </c>
    </row>
    <row r="50">
      <c r="A50" t="n">
        <v>47</v>
      </c>
      <c r="B50">
        <f>B49*(1-Premissas!$D$18/12)+Premissas!$D$12</f>
        <v/>
      </c>
      <c r="C50">
        <f>IF($B$2=1,C49*(1-Premissas!$D$26/12)+D50,0)</f>
        <v/>
      </c>
      <c r="D50">
        <f>IF(AND($B$2=1,A50&gt;=Premissas!$D$23),Premissas!$D$22,0)</f>
        <v/>
      </c>
      <c r="E50">
        <f>B50*Premissas!$D$28</f>
        <v/>
      </c>
      <c r="F50">
        <f>B50*Premissas!$D$13/12*MIN(1,A50/Premissas!$D$17)</f>
        <v/>
      </c>
      <c r="G50">
        <f>F50*Premissas!$D$14</f>
        <v/>
      </c>
      <c r="H50">
        <f>IF(IF(A50-1-Premissas!$D$16&gt;=0,OFFSET($J$4,A50-1-Premissas!$D$16,0),0)&gt;0,ROUND(IF(A50-1-Premissas!$D$16&gt;=0,OFFSET($J$4,A50-1-Premissas!$D$16,0),0)*10000/Premissas!$D$5*Premissas!$D$15,0),0)</f>
        <v/>
      </c>
      <c r="I50">
        <f>ROUND(G50*Premissas!$D$6/10000,0)</f>
        <v/>
      </c>
      <c r="J50">
        <f>ROUND(G50*Premissas!$D$5/10000,0)</f>
        <v/>
      </c>
      <c r="K50">
        <f>IF(IF(A50-1-Premissas!$D$16&gt;=0,OFFSET($A$4,A50-1-Premissas!$D$16,0)&gt;=Premissas!$D$19,FALSE),ROUND(IF(A50-1-Premissas!$D$16&gt;=0,OFFSET($J$4,A50-1-Premissas!$D$16,0),0)*Premissas!$D$15,0),0)</f>
        <v/>
      </c>
      <c r="L50">
        <f>ROUND(C50*Premissas!$D$24/12,0)</f>
        <v/>
      </c>
      <c r="M50">
        <f>ROUND(D50*Premissas!$D$25,0)</f>
        <v/>
      </c>
      <c r="N50">
        <f>ROUND(E50*Premissas!$D$29+B50*Premissas!$D$30,0)</f>
        <v/>
      </c>
      <c r="O50">
        <f>K50+L50+M50+N50</f>
        <v/>
      </c>
      <c r="P50">
        <f>K50+ROUND(AC50*Premissas!$D$24,0)+M50+N50</f>
        <v/>
      </c>
      <c r="Q50">
        <f>ROUND(IF(A50-1-Premissas!$D$21&gt;=0,OFFSET($P$4,A50-1-Premissas!$D$21,0),0)*(1-Premissas!$D$20/100),0)</f>
        <v/>
      </c>
      <c r="R50">
        <f>ROUND(F50*Premissas!$D$11+N50*Premissas!$D$31/100,0)+ROUND((E50+B50)*Premissas!$D$10,0)+ROUND(Q50*Premissas!$D$8/100,0)+ROUND(Premissas!$D$35+(B50+C50)*Premissas!$D$36,0)</f>
        <v/>
      </c>
      <c r="S50">
        <f>O50-R50</f>
        <v/>
      </c>
      <c r="T50">
        <f>ROUND(O50*Premissas!$D$9/100,0)</f>
        <v/>
      </c>
      <c r="U50">
        <f>ROUND(AB50*Premissas!$D$33,0)</f>
        <v/>
      </c>
      <c r="V50">
        <f>Premissas!$D$37+ROUND(Premissas!$D$12*Premissas!$D$38+D50*Premissas!$D$27,0)</f>
        <v/>
      </c>
      <c r="W50">
        <f>Premissas!$D$39</f>
        <v/>
      </c>
      <c r="X50">
        <f>S50-T50-ROUND(Premissas!$D$12*Premissas!$D$38+D50*Premissas!$D$27,0)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Premissas!$D$32+(B50+C50)/Premissas!$D$34</f>
        <v/>
      </c>
      <c r="AC50">
        <f>D50+AC38*(1-Premissas!$D$26/12)^12</f>
        <v/>
      </c>
    </row>
    <row r="51">
      <c r="A51" t="n">
        <v>48</v>
      </c>
      <c r="B51">
        <f>B50*(1-Premissas!$D$18/12)+Premissas!$D$12</f>
        <v/>
      </c>
      <c r="C51">
        <f>IF($B$2=1,C50*(1-Premissas!$D$26/12)+D51,0)</f>
        <v/>
      </c>
      <c r="D51">
        <f>IF(AND($B$2=1,A51&gt;=Premissas!$D$23),Premissas!$D$22,0)</f>
        <v/>
      </c>
      <c r="E51">
        <f>B51*Premissas!$D$28</f>
        <v/>
      </c>
      <c r="F51">
        <f>B51*Premissas!$D$13/12*MIN(1,A51/Premissas!$D$17)</f>
        <v/>
      </c>
      <c r="G51">
        <f>F51*Premissas!$D$14</f>
        <v/>
      </c>
      <c r="H51">
        <f>IF(IF(A51-1-Premissas!$D$16&gt;=0,OFFSET($J$4,A51-1-Premissas!$D$16,0),0)&gt;0,ROUND(IF(A51-1-Premissas!$D$16&gt;=0,OFFSET($J$4,A51-1-Premissas!$D$16,0),0)*10000/Premissas!$D$5*Premissas!$D$15,0),0)</f>
        <v/>
      </c>
      <c r="I51">
        <f>ROUND(G51*Premissas!$D$6/10000,0)</f>
        <v/>
      </c>
      <c r="J51">
        <f>ROUND(G51*Premissas!$D$5/10000,0)</f>
        <v/>
      </c>
      <c r="K51">
        <f>IF(IF(A51-1-Premissas!$D$16&gt;=0,OFFSET($A$4,A51-1-Premissas!$D$16,0)&gt;=Premissas!$D$19,FALSE),ROUND(IF(A51-1-Premissas!$D$16&gt;=0,OFFSET($J$4,A51-1-Premissas!$D$16,0),0)*Premissas!$D$15,0),0)</f>
        <v/>
      </c>
      <c r="L51">
        <f>ROUND(C51*Premissas!$D$24/12,0)</f>
        <v/>
      </c>
      <c r="M51">
        <f>ROUND(D51*Premissas!$D$25,0)</f>
        <v/>
      </c>
      <c r="N51">
        <f>ROUND(E51*Premissas!$D$29+B51*Premissas!$D$30,0)</f>
        <v/>
      </c>
      <c r="O51">
        <f>K51+L51+M51+N51</f>
        <v/>
      </c>
      <c r="P51">
        <f>K51+ROUND(AC51*Premissas!$D$24,0)+M51+N51</f>
        <v/>
      </c>
      <c r="Q51">
        <f>ROUND(IF(A51-1-Premissas!$D$21&gt;=0,OFFSET($P$4,A51-1-Premissas!$D$21,0),0)*(1-Premissas!$D$20/100),0)</f>
        <v/>
      </c>
      <c r="R51">
        <f>ROUND(F51*Premissas!$D$11+N51*Premissas!$D$31/100,0)+ROUND((E51+B51)*Premissas!$D$10,0)+ROUND(Q51*Premissas!$D$8/100,0)+ROUND(Premissas!$D$35+(B51+C51)*Premissas!$D$36,0)</f>
        <v/>
      </c>
      <c r="S51">
        <f>O51-R51</f>
        <v/>
      </c>
      <c r="T51">
        <f>ROUND(O51*Premissas!$D$9/100,0)</f>
        <v/>
      </c>
      <c r="U51">
        <f>ROUND(AB51*Premissas!$D$33,0)</f>
        <v/>
      </c>
      <c r="V51">
        <f>Premissas!$D$37+ROUND(Premissas!$D$12*Premissas!$D$38+D51*Premissas!$D$27,0)</f>
        <v/>
      </c>
      <c r="W51">
        <f>Premissas!$D$39</f>
        <v/>
      </c>
      <c r="X51">
        <f>S51-T51-ROUND(Premissas!$D$12*Premissas!$D$38+D51*Premissas!$D$27,0)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Premissas!$D$32+(B51+C51)/Premissas!$D$34</f>
        <v/>
      </c>
      <c r="AC51">
        <f>D51+AC39*(1-Premissas!$D$26/12)^12</f>
        <v/>
      </c>
    </row>
    <row r="52">
      <c r="A52" t="n">
        <v>49</v>
      </c>
      <c r="B52">
        <f>B51*(1-Premissas!$D$18/12)+Premissas!$D$12</f>
        <v/>
      </c>
      <c r="C52">
        <f>IF($B$2=1,C51*(1-Premissas!$D$26/12)+D52,0)</f>
        <v/>
      </c>
      <c r="D52">
        <f>IF(AND($B$2=1,A52&gt;=Premissas!$D$23),Premissas!$D$22,0)</f>
        <v/>
      </c>
      <c r="E52">
        <f>B52*Premissas!$D$28</f>
        <v/>
      </c>
      <c r="F52">
        <f>B52*Premissas!$D$13/12*MIN(1,A52/Premissas!$D$17)</f>
        <v/>
      </c>
      <c r="G52">
        <f>F52*Premissas!$D$14</f>
        <v/>
      </c>
      <c r="H52">
        <f>IF(IF(A52-1-Premissas!$D$16&gt;=0,OFFSET($J$4,A52-1-Premissas!$D$16,0),0)&gt;0,ROUND(IF(A52-1-Premissas!$D$16&gt;=0,OFFSET($J$4,A52-1-Premissas!$D$16,0),0)*10000/Premissas!$D$5*Premissas!$D$15,0),0)</f>
        <v/>
      </c>
      <c r="I52">
        <f>ROUND(G52*Premissas!$D$6/10000,0)</f>
        <v/>
      </c>
      <c r="J52">
        <f>ROUND(G52*Premissas!$D$5/10000,0)</f>
        <v/>
      </c>
      <c r="K52">
        <f>IF(IF(A52-1-Premissas!$D$16&gt;=0,OFFSET($A$4,A52-1-Premissas!$D$16,0)&gt;=Premissas!$D$19,FALSE),ROUND(IF(A52-1-Premissas!$D$16&gt;=0,OFFSET($J$4,A52-1-Premissas!$D$16,0),0)*Premissas!$D$15,0),0)</f>
        <v/>
      </c>
      <c r="L52">
        <f>ROUND(C52*Premissas!$D$24/12,0)</f>
        <v/>
      </c>
      <c r="M52">
        <f>ROUND(D52*Premissas!$D$25,0)</f>
        <v/>
      </c>
      <c r="N52">
        <f>ROUND(E52*Premissas!$D$29+B52*Premissas!$D$30,0)</f>
        <v/>
      </c>
      <c r="O52">
        <f>K52+L52+M52+N52</f>
        <v/>
      </c>
      <c r="P52">
        <f>K52+ROUND(AC52*Premissas!$D$24,0)+M52+N52</f>
        <v/>
      </c>
      <c r="Q52">
        <f>ROUND(IF(A52-1-Premissas!$D$21&gt;=0,OFFSET($P$4,A52-1-Premissas!$D$21,0),0)*(1-Premissas!$D$20/100),0)</f>
        <v/>
      </c>
      <c r="R52">
        <f>ROUND(F52*Premissas!$D$11+N52*Premissas!$D$31/100,0)+ROUND((E52+B52)*Premissas!$D$10,0)+ROUND(Q52*Premissas!$D$8/100,0)+ROUND(Premissas!$D$35+(B52+C52)*Premissas!$D$36,0)</f>
        <v/>
      </c>
      <c r="S52">
        <f>O52-R52</f>
        <v/>
      </c>
      <c r="T52">
        <f>ROUND(O52*Premissas!$D$9/100,0)</f>
        <v/>
      </c>
      <c r="U52">
        <f>ROUND(AB52*Premissas!$D$33,0)</f>
        <v/>
      </c>
      <c r="V52">
        <f>Premissas!$D$37+ROUND(Premissas!$D$12*Premissas!$D$38+D52*Premissas!$D$27,0)</f>
        <v/>
      </c>
      <c r="W52">
        <f>Premissas!$D$39</f>
        <v/>
      </c>
      <c r="X52">
        <f>S52-T52-ROUND(Premissas!$D$12*Premissas!$D$38+D52*Premissas!$D$27,0)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Premissas!$D$32+(B52+C52)/Premissas!$D$34</f>
        <v/>
      </c>
      <c r="AC52">
        <f>D52+AC40*(1-Premissas!$D$26/12)^12</f>
        <v/>
      </c>
    </row>
    <row r="53">
      <c r="A53" t="n">
        <v>50</v>
      </c>
      <c r="B53">
        <f>B52*(1-Premissas!$D$18/12)+Premissas!$D$12</f>
        <v/>
      </c>
      <c r="C53">
        <f>IF($B$2=1,C52*(1-Premissas!$D$26/12)+D53,0)</f>
        <v/>
      </c>
      <c r="D53">
        <f>IF(AND($B$2=1,A53&gt;=Premissas!$D$23),Premissas!$D$22,0)</f>
        <v/>
      </c>
      <c r="E53">
        <f>B53*Premissas!$D$28</f>
        <v/>
      </c>
      <c r="F53">
        <f>B53*Premissas!$D$13/12*MIN(1,A53/Premissas!$D$17)</f>
        <v/>
      </c>
      <c r="G53">
        <f>F53*Premissas!$D$14</f>
        <v/>
      </c>
      <c r="H53">
        <f>IF(IF(A53-1-Premissas!$D$16&gt;=0,OFFSET($J$4,A53-1-Premissas!$D$16,0),0)&gt;0,ROUND(IF(A53-1-Premissas!$D$16&gt;=0,OFFSET($J$4,A53-1-Premissas!$D$16,0),0)*10000/Premissas!$D$5*Premissas!$D$15,0),0)</f>
        <v/>
      </c>
      <c r="I53">
        <f>ROUND(G53*Premissas!$D$6/10000,0)</f>
        <v/>
      </c>
      <c r="J53">
        <f>ROUND(G53*Premissas!$D$5/10000,0)</f>
        <v/>
      </c>
      <c r="K53">
        <f>IF(IF(A53-1-Premissas!$D$16&gt;=0,OFFSET($A$4,A53-1-Premissas!$D$16,0)&gt;=Premissas!$D$19,FALSE),ROUND(IF(A53-1-Premissas!$D$16&gt;=0,OFFSET($J$4,A53-1-Premissas!$D$16,0),0)*Premissas!$D$15,0),0)</f>
        <v/>
      </c>
      <c r="L53">
        <f>ROUND(C53*Premissas!$D$24/12,0)</f>
        <v/>
      </c>
      <c r="M53">
        <f>ROUND(D53*Premissas!$D$25,0)</f>
        <v/>
      </c>
      <c r="N53">
        <f>ROUND(E53*Premissas!$D$29+B53*Premissas!$D$30,0)</f>
        <v/>
      </c>
      <c r="O53">
        <f>K53+L53+M53+N53</f>
        <v/>
      </c>
      <c r="P53">
        <f>K53+ROUND(AC53*Premissas!$D$24,0)+M53+N53</f>
        <v/>
      </c>
      <c r="Q53">
        <f>ROUND(IF(A53-1-Premissas!$D$21&gt;=0,OFFSET($P$4,A53-1-Premissas!$D$21,0),0)*(1-Premissas!$D$20/100),0)</f>
        <v/>
      </c>
      <c r="R53">
        <f>ROUND(F53*Premissas!$D$11+N53*Premissas!$D$31/100,0)+ROUND((E53+B53)*Premissas!$D$10,0)+ROUND(Q53*Premissas!$D$8/100,0)+ROUND(Premissas!$D$35+(B53+C53)*Premissas!$D$36,0)</f>
        <v/>
      </c>
      <c r="S53">
        <f>O53-R53</f>
        <v/>
      </c>
      <c r="T53">
        <f>ROUND(O53*Premissas!$D$9/100,0)</f>
        <v/>
      </c>
      <c r="U53">
        <f>ROUND(AB53*Premissas!$D$33,0)</f>
        <v/>
      </c>
      <c r="V53">
        <f>Premissas!$D$37+ROUND(Premissas!$D$12*Premissas!$D$38+D53*Premissas!$D$27,0)</f>
        <v/>
      </c>
      <c r="W53">
        <f>Premissas!$D$39</f>
        <v/>
      </c>
      <c r="X53">
        <f>S53-T53-ROUND(Premissas!$D$12*Premissas!$D$38+D53*Premissas!$D$27,0)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Premissas!$D$32+(B53+C53)/Premissas!$D$34</f>
        <v/>
      </c>
      <c r="AC53">
        <f>D53+AC41*(1-Premissas!$D$26/12)^12</f>
        <v/>
      </c>
    </row>
    <row r="54">
      <c r="A54" t="n">
        <v>51</v>
      </c>
      <c r="B54">
        <f>B53*(1-Premissas!$D$18/12)+Premissas!$D$12</f>
        <v/>
      </c>
      <c r="C54">
        <f>IF($B$2=1,C53*(1-Premissas!$D$26/12)+D54,0)</f>
        <v/>
      </c>
      <c r="D54">
        <f>IF(AND($B$2=1,A54&gt;=Premissas!$D$23),Premissas!$D$22,0)</f>
        <v/>
      </c>
      <c r="E54">
        <f>B54*Premissas!$D$28</f>
        <v/>
      </c>
      <c r="F54">
        <f>B54*Premissas!$D$13/12*MIN(1,A54/Premissas!$D$17)</f>
        <v/>
      </c>
      <c r="G54">
        <f>F54*Premissas!$D$14</f>
        <v/>
      </c>
      <c r="H54">
        <f>IF(IF(A54-1-Premissas!$D$16&gt;=0,OFFSET($J$4,A54-1-Premissas!$D$16,0),0)&gt;0,ROUND(IF(A54-1-Premissas!$D$16&gt;=0,OFFSET($J$4,A54-1-Premissas!$D$16,0),0)*10000/Premissas!$D$5*Premissas!$D$15,0),0)</f>
        <v/>
      </c>
      <c r="I54">
        <f>ROUND(G54*Premissas!$D$6/10000,0)</f>
        <v/>
      </c>
      <c r="J54">
        <f>ROUND(G54*Premissas!$D$5/10000,0)</f>
        <v/>
      </c>
      <c r="K54">
        <f>IF(IF(A54-1-Premissas!$D$16&gt;=0,OFFSET($A$4,A54-1-Premissas!$D$16,0)&gt;=Premissas!$D$19,FALSE),ROUND(IF(A54-1-Premissas!$D$16&gt;=0,OFFSET($J$4,A54-1-Premissas!$D$16,0),0)*Premissas!$D$15,0),0)</f>
        <v/>
      </c>
      <c r="L54">
        <f>ROUND(C54*Premissas!$D$24/12,0)</f>
        <v/>
      </c>
      <c r="M54">
        <f>ROUND(D54*Premissas!$D$25,0)</f>
        <v/>
      </c>
      <c r="N54">
        <f>ROUND(E54*Premissas!$D$29+B54*Premissas!$D$30,0)</f>
        <v/>
      </c>
      <c r="O54">
        <f>K54+L54+M54+N54</f>
        <v/>
      </c>
      <c r="P54">
        <f>K54+ROUND(AC54*Premissas!$D$24,0)+M54+N54</f>
        <v/>
      </c>
      <c r="Q54">
        <f>ROUND(IF(A54-1-Premissas!$D$21&gt;=0,OFFSET($P$4,A54-1-Premissas!$D$21,0),0)*(1-Premissas!$D$20/100),0)</f>
        <v/>
      </c>
      <c r="R54">
        <f>ROUND(F54*Premissas!$D$11+N54*Premissas!$D$31/100,0)+ROUND((E54+B54)*Premissas!$D$10,0)+ROUND(Q54*Premissas!$D$8/100,0)+ROUND(Premissas!$D$35+(B54+C54)*Premissas!$D$36,0)</f>
        <v/>
      </c>
      <c r="S54">
        <f>O54-R54</f>
        <v/>
      </c>
      <c r="T54">
        <f>ROUND(O54*Premissas!$D$9/100,0)</f>
        <v/>
      </c>
      <c r="U54">
        <f>ROUND(AB54*Premissas!$D$33,0)</f>
        <v/>
      </c>
      <c r="V54">
        <f>Premissas!$D$37+ROUND(Premissas!$D$12*Premissas!$D$38+D54*Premissas!$D$27,0)</f>
        <v/>
      </c>
      <c r="W54">
        <f>Premissas!$D$39</f>
        <v/>
      </c>
      <c r="X54">
        <f>S54-T54-ROUND(Premissas!$D$12*Premissas!$D$38+D54*Premissas!$D$27,0)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Premissas!$D$32+(B54+C54)/Premissas!$D$34</f>
        <v/>
      </c>
      <c r="AC54">
        <f>D54+AC42*(1-Premissas!$D$26/12)^12</f>
        <v/>
      </c>
    </row>
    <row r="55">
      <c r="A55" t="n">
        <v>52</v>
      </c>
      <c r="B55">
        <f>B54*(1-Premissas!$D$18/12)+Premissas!$D$12</f>
        <v/>
      </c>
      <c r="C55">
        <f>IF($B$2=1,C54*(1-Premissas!$D$26/12)+D55,0)</f>
        <v/>
      </c>
      <c r="D55">
        <f>IF(AND($B$2=1,A55&gt;=Premissas!$D$23),Premissas!$D$22,0)</f>
        <v/>
      </c>
      <c r="E55">
        <f>B55*Premissas!$D$28</f>
        <v/>
      </c>
      <c r="F55">
        <f>B55*Premissas!$D$13/12*MIN(1,A55/Premissas!$D$17)</f>
        <v/>
      </c>
      <c r="G55">
        <f>F55*Premissas!$D$14</f>
        <v/>
      </c>
      <c r="H55">
        <f>IF(IF(A55-1-Premissas!$D$16&gt;=0,OFFSET($J$4,A55-1-Premissas!$D$16,0),0)&gt;0,ROUND(IF(A55-1-Premissas!$D$16&gt;=0,OFFSET($J$4,A55-1-Premissas!$D$16,0),0)*10000/Premissas!$D$5*Premissas!$D$15,0),0)</f>
        <v/>
      </c>
      <c r="I55">
        <f>ROUND(G55*Premissas!$D$6/10000,0)</f>
        <v/>
      </c>
      <c r="J55">
        <f>ROUND(G55*Premissas!$D$5/10000,0)</f>
        <v/>
      </c>
      <c r="K55">
        <f>IF(IF(A55-1-Premissas!$D$16&gt;=0,OFFSET($A$4,A55-1-Premissas!$D$16,0)&gt;=Premissas!$D$19,FALSE),ROUND(IF(A55-1-Premissas!$D$16&gt;=0,OFFSET($J$4,A55-1-Premissas!$D$16,0),0)*Premissas!$D$15,0),0)</f>
        <v/>
      </c>
      <c r="L55">
        <f>ROUND(C55*Premissas!$D$24/12,0)</f>
        <v/>
      </c>
      <c r="M55">
        <f>ROUND(D55*Premissas!$D$25,0)</f>
        <v/>
      </c>
      <c r="N55">
        <f>ROUND(E55*Premissas!$D$29+B55*Premissas!$D$30,0)</f>
        <v/>
      </c>
      <c r="O55">
        <f>K55+L55+M55+N55</f>
        <v/>
      </c>
      <c r="P55">
        <f>K55+ROUND(AC55*Premissas!$D$24,0)+M55+N55</f>
        <v/>
      </c>
      <c r="Q55">
        <f>ROUND(IF(A55-1-Premissas!$D$21&gt;=0,OFFSET($P$4,A55-1-Premissas!$D$21,0),0)*(1-Premissas!$D$20/100),0)</f>
        <v/>
      </c>
      <c r="R55">
        <f>ROUND(F55*Premissas!$D$11+N55*Premissas!$D$31/100,0)+ROUND((E55+B55)*Premissas!$D$10,0)+ROUND(Q55*Premissas!$D$8/100,0)+ROUND(Premissas!$D$35+(B55+C55)*Premissas!$D$36,0)</f>
        <v/>
      </c>
      <c r="S55">
        <f>O55-R55</f>
        <v/>
      </c>
      <c r="T55">
        <f>ROUND(O55*Premissas!$D$9/100,0)</f>
        <v/>
      </c>
      <c r="U55">
        <f>ROUND(AB55*Premissas!$D$33,0)</f>
        <v/>
      </c>
      <c r="V55">
        <f>Premissas!$D$37+ROUND(Premissas!$D$12*Premissas!$D$38+D55*Premissas!$D$27,0)</f>
        <v/>
      </c>
      <c r="W55">
        <f>Premissas!$D$39</f>
        <v/>
      </c>
      <c r="X55">
        <f>S55-T55-ROUND(Premissas!$D$12*Premissas!$D$38+D55*Premissas!$D$27,0)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Premissas!$D$32+(B55+C55)/Premissas!$D$34</f>
        <v/>
      </c>
      <c r="AC55">
        <f>D55+AC43*(1-Premissas!$D$26/12)^12</f>
        <v/>
      </c>
    </row>
    <row r="56">
      <c r="A56" t="n">
        <v>53</v>
      </c>
      <c r="B56">
        <f>B55*(1-Premissas!$D$18/12)+Premissas!$D$12</f>
        <v/>
      </c>
      <c r="C56">
        <f>IF($B$2=1,C55*(1-Premissas!$D$26/12)+D56,0)</f>
        <v/>
      </c>
      <c r="D56">
        <f>IF(AND($B$2=1,A56&gt;=Premissas!$D$23),Premissas!$D$22,0)</f>
        <v/>
      </c>
      <c r="E56">
        <f>B56*Premissas!$D$28</f>
        <v/>
      </c>
      <c r="F56">
        <f>B56*Premissas!$D$13/12*MIN(1,A56/Premissas!$D$17)</f>
        <v/>
      </c>
      <c r="G56">
        <f>F56*Premissas!$D$14</f>
        <v/>
      </c>
      <c r="H56">
        <f>IF(IF(A56-1-Premissas!$D$16&gt;=0,OFFSET($J$4,A56-1-Premissas!$D$16,0),0)&gt;0,ROUND(IF(A56-1-Premissas!$D$16&gt;=0,OFFSET($J$4,A56-1-Premissas!$D$16,0),0)*10000/Premissas!$D$5*Premissas!$D$15,0),0)</f>
        <v/>
      </c>
      <c r="I56">
        <f>ROUND(G56*Premissas!$D$6/10000,0)</f>
        <v/>
      </c>
      <c r="J56">
        <f>ROUND(G56*Premissas!$D$5/10000,0)</f>
        <v/>
      </c>
      <c r="K56">
        <f>IF(IF(A56-1-Premissas!$D$16&gt;=0,OFFSET($A$4,A56-1-Premissas!$D$16,0)&gt;=Premissas!$D$19,FALSE),ROUND(IF(A56-1-Premissas!$D$16&gt;=0,OFFSET($J$4,A56-1-Premissas!$D$16,0),0)*Premissas!$D$15,0),0)</f>
        <v/>
      </c>
      <c r="L56">
        <f>ROUND(C56*Premissas!$D$24/12,0)</f>
        <v/>
      </c>
      <c r="M56">
        <f>ROUND(D56*Premissas!$D$25,0)</f>
        <v/>
      </c>
      <c r="N56">
        <f>ROUND(E56*Premissas!$D$29+B56*Premissas!$D$30,0)</f>
        <v/>
      </c>
      <c r="O56">
        <f>K56+L56+M56+N56</f>
        <v/>
      </c>
      <c r="P56">
        <f>K56+ROUND(AC56*Premissas!$D$24,0)+M56+N56</f>
        <v/>
      </c>
      <c r="Q56">
        <f>ROUND(IF(A56-1-Premissas!$D$21&gt;=0,OFFSET($P$4,A56-1-Premissas!$D$21,0),0)*(1-Premissas!$D$20/100),0)</f>
        <v/>
      </c>
      <c r="R56">
        <f>ROUND(F56*Premissas!$D$11+N56*Premissas!$D$31/100,0)+ROUND((E56+B56)*Premissas!$D$10,0)+ROUND(Q56*Premissas!$D$8/100,0)+ROUND(Premissas!$D$35+(B56+C56)*Premissas!$D$36,0)</f>
        <v/>
      </c>
      <c r="S56">
        <f>O56-R56</f>
        <v/>
      </c>
      <c r="T56">
        <f>ROUND(O56*Premissas!$D$9/100,0)</f>
        <v/>
      </c>
      <c r="U56">
        <f>ROUND(AB56*Premissas!$D$33,0)</f>
        <v/>
      </c>
      <c r="V56">
        <f>Premissas!$D$37+ROUND(Premissas!$D$12*Premissas!$D$38+D56*Premissas!$D$27,0)</f>
        <v/>
      </c>
      <c r="W56">
        <f>Premissas!$D$39</f>
        <v/>
      </c>
      <c r="X56">
        <f>S56-T56-ROUND(Premissas!$D$12*Premissas!$D$38+D56*Premissas!$D$27,0)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Premissas!$D$32+(B56+C56)/Premissas!$D$34</f>
        <v/>
      </c>
      <c r="AC56">
        <f>D56+AC44*(1-Premissas!$D$26/12)^12</f>
        <v/>
      </c>
    </row>
    <row r="57">
      <c r="A57" t="n">
        <v>54</v>
      </c>
      <c r="B57">
        <f>B56*(1-Premissas!$D$18/12)+Premissas!$D$12</f>
        <v/>
      </c>
      <c r="C57">
        <f>IF($B$2=1,C56*(1-Premissas!$D$26/12)+D57,0)</f>
        <v/>
      </c>
      <c r="D57">
        <f>IF(AND($B$2=1,A57&gt;=Premissas!$D$23),Premissas!$D$22,0)</f>
        <v/>
      </c>
      <c r="E57">
        <f>B57*Premissas!$D$28</f>
        <v/>
      </c>
      <c r="F57">
        <f>B57*Premissas!$D$13/12*MIN(1,A57/Premissas!$D$17)</f>
        <v/>
      </c>
      <c r="G57">
        <f>F57*Premissas!$D$14</f>
        <v/>
      </c>
      <c r="H57">
        <f>IF(IF(A57-1-Premissas!$D$16&gt;=0,OFFSET($J$4,A57-1-Premissas!$D$16,0),0)&gt;0,ROUND(IF(A57-1-Premissas!$D$16&gt;=0,OFFSET($J$4,A57-1-Premissas!$D$16,0),0)*10000/Premissas!$D$5*Premissas!$D$15,0),0)</f>
        <v/>
      </c>
      <c r="I57">
        <f>ROUND(G57*Premissas!$D$6/10000,0)</f>
        <v/>
      </c>
      <c r="J57">
        <f>ROUND(G57*Premissas!$D$5/10000,0)</f>
        <v/>
      </c>
      <c r="K57">
        <f>IF(IF(A57-1-Premissas!$D$16&gt;=0,OFFSET($A$4,A57-1-Premissas!$D$16,0)&gt;=Premissas!$D$19,FALSE),ROUND(IF(A57-1-Premissas!$D$16&gt;=0,OFFSET($J$4,A57-1-Premissas!$D$16,0),0)*Premissas!$D$15,0),0)</f>
        <v/>
      </c>
      <c r="L57">
        <f>ROUND(C57*Premissas!$D$24/12,0)</f>
        <v/>
      </c>
      <c r="M57">
        <f>ROUND(D57*Premissas!$D$25,0)</f>
        <v/>
      </c>
      <c r="N57">
        <f>ROUND(E57*Premissas!$D$29+B57*Premissas!$D$30,0)</f>
        <v/>
      </c>
      <c r="O57">
        <f>K57+L57+M57+N57</f>
        <v/>
      </c>
      <c r="P57">
        <f>K57+ROUND(AC57*Premissas!$D$24,0)+M57+N57</f>
        <v/>
      </c>
      <c r="Q57">
        <f>ROUND(IF(A57-1-Premissas!$D$21&gt;=0,OFFSET($P$4,A57-1-Premissas!$D$21,0),0)*(1-Premissas!$D$20/100),0)</f>
        <v/>
      </c>
      <c r="R57">
        <f>ROUND(F57*Premissas!$D$11+N57*Premissas!$D$31/100,0)+ROUND((E57+B57)*Premissas!$D$10,0)+ROUND(Q57*Premissas!$D$8/100,0)+ROUND(Premissas!$D$35+(B57+C57)*Premissas!$D$36,0)</f>
        <v/>
      </c>
      <c r="S57">
        <f>O57-R57</f>
        <v/>
      </c>
      <c r="T57">
        <f>ROUND(O57*Premissas!$D$9/100,0)</f>
        <v/>
      </c>
      <c r="U57">
        <f>ROUND(AB57*Premissas!$D$33,0)</f>
        <v/>
      </c>
      <c r="V57">
        <f>Premissas!$D$37+ROUND(Premissas!$D$12*Premissas!$D$38+D57*Premissas!$D$27,0)</f>
        <v/>
      </c>
      <c r="W57">
        <f>Premissas!$D$39</f>
        <v/>
      </c>
      <c r="X57">
        <f>S57-T57-ROUND(Premissas!$D$12*Premissas!$D$38+D57*Premissas!$D$27,0)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Premissas!$D$32+(B57+C57)/Premissas!$D$34</f>
        <v/>
      </c>
      <c r="AC57">
        <f>D57+AC45*(1-Premissas!$D$26/12)^12</f>
        <v/>
      </c>
    </row>
    <row r="58">
      <c r="A58" t="n">
        <v>55</v>
      </c>
      <c r="B58">
        <f>B57*(1-Premissas!$D$18/12)+Premissas!$D$12</f>
        <v/>
      </c>
      <c r="C58">
        <f>IF($B$2=1,C57*(1-Premissas!$D$26/12)+D58,0)</f>
        <v/>
      </c>
      <c r="D58">
        <f>IF(AND($B$2=1,A58&gt;=Premissas!$D$23),Premissas!$D$22,0)</f>
        <v/>
      </c>
      <c r="E58">
        <f>B58*Premissas!$D$28</f>
        <v/>
      </c>
      <c r="F58">
        <f>B58*Premissas!$D$13/12*MIN(1,A58/Premissas!$D$17)</f>
        <v/>
      </c>
      <c r="G58">
        <f>F58*Premissas!$D$14</f>
        <v/>
      </c>
      <c r="H58">
        <f>IF(IF(A58-1-Premissas!$D$16&gt;=0,OFFSET($J$4,A58-1-Premissas!$D$16,0),0)&gt;0,ROUND(IF(A58-1-Premissas!$D$16&gt;=0,OFFSET($J$4,A58-1-Premissas!$D$16,0),0)*10000/Premissas!$D$5*Premissas!$D$15,0),0)</f>
        <v/>
      </c>
      <c r="I58">
        <f>ROUND(G58*Premissas!$D$6/10000,0)</f>
        <v/>
      </c>
      <c r="J58">
        <f>ROUND(G58*Premissas!$D$5/10000,0)</f>
        <v/>
      </c>
      <c r="K58">
        <f>IF(IF(A58-1-Premissas!$D$16&gt;=0,OFFSET($A$4,A58-1-Premissas!$D$16,0)&gt;=Premissas!$D$19,FALSE),ROUND(IF(A58-1-Premissas!$D$16&gt;=0,OFFSET($J$4,A58-1-Premissas!$D$16,0),0)*Premissas!$D$15,0),0)</f>
        <v/>
      </c>
      <c r="L58">
        <f>ROUND(C58*Premissas!$D$24/12,0)</f>
        <v/>
      </c>
      <c r="M58">
        <f>ROUND(D58*Premissas!$D$25,0)</f>
        <v/>
      </c>
      <c r="N58">
        <f>ROUND(E58*Premissas!$D$29+B58*Premissas!$D$30,0)</f>
        <v/>
      </c>
      <c r="O58">
        <f>K58+L58+M58+N58</f>
        <v/>
      </c>
      <c r="P58">
        <f>K58+ROUND(AC58*Premissas!$D$24,0)+M58+N58</f>
        <v/>
      </c>
      <c r="Q58">
        <f>ROUND(IF(A58-1-Premissas!$D$21&gt;=0,OFFSET($P$4,A58-1-Premissas!$D$21,0),0)*(1-Premissas!$D$20/100),0)</f>
        <v/>
      </c>
      <c r="R58">
        <f>ROUND(F58*Premissas!$D$11+N58*Premissas!$D$31/100,0)+ROUND((E58+B58)*Premissas!$D$10,0)+ROUND(Q58*Premissas!$D$8/100,0)+ROUND(Premissas!$D$35+(B58+C58)*Premissas!$D$36,0)</f>
        <v/>
      </c>
      <c r="S58">
        <f>O58-R58</f>
        <v/>
      </c>
      <c r="T58">
        <f>ROUND(O58*Premissas!$D$9/100,0)</f>
        <v/>
      </c>
      <c r="U58">
        <f>ROUND(AB58*Premissas!$D$33,0)</f>
        <v/>
      </c>
      <c r="V58">
        <f>Premissas!$D$37+ROUND(Premissas!$D$12*Premissas!$D$38+D58*Premissas!$D$27,0)</f>
        <v/>
      </c>
      <c r="W58">
        <f>Premissas!$D$39</f>
        <v/>
      </c>
      <c r="X58">
        <f>S58-T58-ROUND(Premissas!$D$12*Premissas!$D$38+D58*Premissas!$D$27,0)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Premissas!$D$32+(B58+C58)/Premissas!$D$34</f>
        <v/>
      </c>
      <c r="AC58">
        <f>D58+AC46*(1-Premissas!$D$26/12)^12</f>
        <v/>
      </c>
    </row>
    <row r="59">
      <c r="A59" t="n">
        <v>56</v>
      </c>
      <c r="B59">
        <f>B58*(1-Premissas!$D$18/12)+Premissas!$D$12</f>
        <v/>
      </c>
      <c r="C59">
        <f>IF($B$2=1,C58*(1-Premissas!$D$26/12)+D59,0)</f>
        <v/>
      </c>
      <c r="D59">
        <f>IF(AND($B$2=1,A59&gt;=Premissas!$D$23),Premissas!$D$22,0)</f>
        <v/>
      </c>
      <c r="E59">
        <f>B59*Premissas!$D$28</f>
        <v/>
      </c>
      <c r="F59">
        <f>B59*Premissas!$D$13/12*MIN(1,A59/Premissas!$D$17)</f>
        <v/>
      </c>
      <c r="G59">
        <f>F59*Premissas!$D$14</f>
        <v/>
      </c>
      <c r="H59">
        <f>IF(IF(A59-1-Premissas!$D$16&gt;=0,OFFSET($J$4,A59-1-Premissas!$D$16,0),0)&gt;0,ROUND(IF(A59-1-Premissas!$D$16&gt;=0,OFFSET($J$4,A59-1-Premissas!$D$16,0),0)*10000/Premissas!$D$5*Premissas!$D$15,0),0)</f>
        <v/>
      </c>
      <c r="I59">
        <f>ROUND(G59*Premissas!$D$6/10000,0)</f>
        <v/>
      </c>
      <c r="J59">
        <f>ROUND(G59*Premissas!$D$5/10000,0)</f>
        <v/>
      </c>
      <c r="K59">
        <f>IF(IF(A59-1-Premissas!$D$16&gt;=0,OFFSET($A$4,A59-1-Premissas!$D$16,0)&gt;=Premissas!$D$19,FALSE),ROUND(IF(A59-1-Premissas!$D$16&gt;=0,OFFSET($J$4,A59-1-Premissas!$D$16,0),0)*Premissas!$D$15,0),0)</f>
        <v/>
      </c>
      <c r="L59">
        <f>ROUND(C59*Premissas!$D$24/12,0)</f>
        <v/>
      </c>
      <c r="M59">
        <f>ROUND(D59*Premissas!$D$25,0)</f>
        <v/>
      </c>
      <c r="N59">
        <f>ROUND(E59*Premissas!$D$29+B59*Premissas!$D$30,0)</f>
        <v/>
      </c>
      <c r="O59">
        <f>K59+L59+M59+N59</f>
        <v/>
      </c>
      <c r="P59">
        <f>K59+ROUND(AC59*Premissas!$D$24,0)+M59+N59</f>
        <v/>
      </c>
      <c r="Q59">
        <f>ROUND(IF(A59-1-Premissas!$D$21&gt;=0,OFFSET($P$4,A59-1-Premissas!$D$21,0),0)*(1-Premissas!$D$20/100),0)</f>
        <v/>
      </c>
      <c r="R59">
        <f>ROUND(F59*Premissas!$D$11+N59*Premissas!$D$31/100,0)+ROUND((E59+B59)*Premissas!$D$10,0)+ROUND(Q59*Premissas!$D$8/100,0)+ROUND(Premissas!$D$35+(B59+C59)*Premissas!$D$36,0)</f>
        <v/>
      </c>
      <c r="S59">
        <f>O59-R59</f>
        <v/>
      </c>
      <c r="T59">
        <f>ROUND(O59*Premissas!$D$9/100,0)</f>
        <v/>
      </c>
      <c r="U59">
        <f>ROUND(AB59*Premissas!$D$33,0)</f>
        <v/>
      </c>
      <c r="V59">
        <f>Premissas!$D$37+ROUND(Premissas!$D$12*Premissas!$D$38+D59*Premissas!$D$27,0)</f>
        <v/>
      </c>
      <c r="W59">
        <f>Premissas!$D$39</f>
        <v/>
      </c>
      <c r="X59">
        <f>S59-T59-ROUND(Premissas!$D$12*Premissas!$D$38+D59*Premissas!$D$27,0)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Premissas!$D$32+(B59+C59)/Premissas!$D$34</f>
        <v/>
      </c>
      <c r="AC59">
        <f>D59+AC47*(1-Premissas!$D$26/12)^12</f>
        <v/>
      </c>
    </row>
    <row r="60">
      <c r="A60" t="n">
        <v>57</v>
      </c>
      <c r="B60">
        <f>B59*(1-Premissas!$D$18/12)+Premissas!$D$12</f>
        <v/>
      </c>
      <c r="C60">
        <f>IF($B$2=1,C59*(1-Premissas!$D$26/12)+D60,0)</f>
        <v/>
      </c>
      <c r="D60">
        <f>IF(AND($B$2=1,A60&gt;=Premissas!$D$23),Premissas!$D$22,0)</f>
        <v/>
      </c>
      <c r="E60">
        <f>B60*Premissas!$D$28</f>
        <v/>
      </c>
      <c r="F60">
        <f>B60*Premissas!$D$13/12*MIN(1,A60/Premissas!$D$17)</f>
        <v/>
      </c>
      <c r="G60">
        <f>F60*Premissas!$D$14</f>
        <v/>
      </c>
      <c r="H60">
        <f>IF(IF(A60-1-Premissas!$D$16&gt;=0,OFFSET($J$4,A60-1-Premissas!$D$16,0),0)&gt;0,ROUND(IF(A60-1-Premissas!$D$16&gt;=0,OFFSET($J$4,A60-1-Premissas!$D$16,0),0)*10000/Premissas!$D$5*Premissas!$D$15,0),0)</f>
        <v/>
      </c>
      <c r="I60">
        <f>ROUND(G60*Premissas!$D$6/10000,0)</f>
        <v/>
      </c>
      <c r="J60">
        <f>ROUND(G60*Premissas!$D$5/10000,0)</f>
        <v/>
      </c>
      <c r="K60">
        <f>IF(IF(A60-1-Premissas!$D$16&gt;=0,OFFSET($A$4,A60-1-Premissas!$D$16,0)&gt;=Premissas!$D$19,FALSE),ROUND(IF(A60-1-Premissas!$D$16&gt;=0,OFFSET($J$4,A60-1-Premissas!$D$16,0),0)*Premissas!$D$15,0),0)</f>
        <v/>
      </c>
      <c r="L60">
        <f>ROUND(C60*Premissas!$D$24/12,0)</f>
        <v/>
      </c>
      <c r="M60">
        <f>ROUND(D60*Premissas!$D$25,0)</f>
        <v/>
      </c>
      <c r="N60">
        <f>ROUND(E60*Premissas!$D$29+B60*Premissas!$D$30,0)</f>
        <v/>
      </c>
      <c r="O60">
        <f>K60+L60+M60+N60</f>
        <v/>
      </c>
      <c r="P60">
        <f>K60+ROUND(AC60*Premissas!$D$24,0)+M60+N60</f>
        <v/>
      </c>
      <c r="Q60">
        <f>ROUND(IF(A60-1-Premissas!$D$21&gt;=0,OFFSET($P$4,A60-1-Premissas!$D$21,0),0)*(1-Premissas!$D$20/100),0)</f>
        <v/>
      </c>
      <c r="R60">
        <f>ROUND(F60*Premissas!$D$11+N60*Premissas!$D$31/100,0)+ROUND((E60+B60)*Premissas!$D$10,0)+ROUND(Q60*Premissas!$D$8/100,0)+ROUND(Premissas!$D$35+(B60+C60)*Premissas!$D$36,0)</f>
        <v/>
      </c>
      <c r="S60">
        <f>O60-R60</f>
        <v/>
      </c>
      <c r="T60">
        <f>ROUND(O60*Premissas!$D$9/100,0)</f>
        <v/>
      </c>
      <c r="U60">
        <f>ROUND(AB60*Premissas!$D$33,0)</f>
        <v/>
      </c>
      <c r="V60">
        <f>Premissas!$D$37+ROUND(Premissas!$D$12*Premissas!$D$38+D60*Premissas!$D$27,0)</f>
        <v/>
      </c>
      <c r="W60">
        <f>Premissas!$D$39</f>
        <v/>
      </c>
      <c r="X60">
        <f>S60-T60-ROUND(Premissas!$D$12*Premissas!$D$38+D60*Premissas!$D$27,0)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Premissas!$D$32+(B60+C60)/Premissas!$D$34</f>
        <v/>
      </c>
      <c r="AC60">
        <f>D60+AC48*(1-Premissas!$D$26/12)^12</f>
        <v/>
      </c>
    </row>
    <row r="61">
      <c r="A61" t="n">
        <v>58</v>
      </c>
      <c r="B61">
        <f>B60*(1-Premissas!$D$18/12)+Premissas!$D$12</f>
        <v/>
      </c>
      <c r="C61">
        <f>IF($B$2=1,C60*(1-Premissas!$D$26/12)+D61,0)</f>
        <v/>
      </c>
      <c r="D61">
        <f>IF(AND($B$2=1,A61&gt;=Premissas!$D$23),Premissas!$D$22,0)</f>
        <v/>
      </c>
      <c r="E61">
        <f>B61*Premissas!$D$28</f>
        <v/>
      </c>
      <c r="F61">
        <f>B61*Premissas!$D$13/12*MIN(1,A61/Premissas!$D$17)</f>
        <v/>
      </c>
      <c r="G61">
        <f>F61*Premissas!$D$14</f>
        <v/>
      </c>
      <c r="H61">
        <f>IF(IF(A61-1-Premissas!$D$16&gt;=0,OFFSET($J$4,A61-1-Premissas!$D$16,0),0)&gt;0,ROUND(IF(A61-1-Premissas!$D$16&gt;=0,OFFSET($J$4,A61-1-Premissas!$D$16,0),0)*10000/Premissas!$D$5*Premissas!$D$15,0),0)</f>
        <v/>
      </c>
      <c r="I61">
        <f>ROUND(G61*Premissas!$D$6/10000,0)</f>
        <v/>
      </c>
      <c r="J61">
        <f>ROUND(G61*Premissas!$D$5/10000,0)</f>
        <v/>
      </c>
      <c r="K61">
        <f>IF(IF(A61-1-Premissas!$D$16&gt;=0,OFFSET($A$4,A61-1-Premissas!$D$16,0)&gt;=Premissas!$D$19,FALSE),ROUND(IF(A61-1-Premissas!$D$16&gt;=0,OFFSET($J$4,A61-1-Premissas!$D$16,0),0)*Premissas!$D$15,0),0)</f>
        <v/>
      </c>
      <c r="L61">
        <f>ROUND(C61*Premissas!$D$24/12,0)</f>
        <v/>
      </c>
      <c r="M61">
        <f>ROUND(D61*Premissas!$D$25,0)</f>
        <v/>
      </c>
      <c r="N61">
        <f>ROUND(E61*Premissas!$D$29+B61*Premissas!$D$30,0)</f>
        <v/>
      </c>
      <c r="O61">
        <f>K61+L61+M61+N61</f>
        <v/>
      </c>
      <c r="P61">
        <f>K61+ROUND(AC61*Premissas!$D$24,0)+M61+N61</f>
        <v/>
      </c>
      <c r="Q61">
        <f>ROUND(IF(A61-1-Premissas!$D$21&gt;=0,OFFSET($P$4,A61-1-Premissas!$D$21,0),0)*(1-Premissas!$D$20/100),0)</f>
        <v/>
      </c>
      <c r="R61">
        <f>ROUND(F61*Premissas!$D$11+N61*Premissas!$D$31/100,0)+ROUND((E61+B61)*Premissas!$D$10,0)+ROUND(Q61*Premissas!$D$8/100,0)+ROUND(Premissas!$D$35+(B61+C61)*Premissas!$D$36,0)</f>
        <v/>
      </c>
      <c r="S61">
        <f>O61-R61</f>
        <v/>
      </c>
      <c r="T61">
        <f>ROUND(O61*Premissas!$D$9/100,0)</f>
        <v/>
      </c>
      <c r="U61">
        <f>ROUND(AB61*Premissas!$D$33,0)</f>
        <v/>
      </c>
      <c r="V61">
        <f>Premissas!$D$37+ROUND(Premissas!$D$12*Premissas!$D$38+D61*Premissas!$D$27,0)</f>
        <v/>
      </c>
      <c r="W61">
        <f>Premissas!$D$39</f>
        <v/>
      </c>
      <c r="X61">
        <f>S61-T61-ROUND(Premissas!$D$12*Premissas!$D$38+D61*Premissas!$D$27,0)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Premissas!$D$32+(B61+C61)/Premissas!$D$34</f>
        <v/>
      </c>
      <c r="AC61">
        <f>D61+AC49*(1-Premissas!$D$26/12)^12</f>
        <v/>
      </c>
    </row>
    <row r="62">
      <c r="A62" t="n">
        <v>59</v>
      </c>
      <c r="B62">
        <f>B61*(1-Premissas!$D$18/12)+Premissas!$D$12</f>
        <v/>
      </c>
      <c r="C62">
        <f>IF($B$2=1,C61*(1-Premissas!$D$26/12)+D62,0)</f>
        <v/>
      </c>
      <c r="D62">
        <f>IF(AND($B$2=1,A62&gt;=Premissas!$D$23),Premissas!$D$22,0)</f>
        <v/>
      </c>
      <c r="E62">
        <f>B62*Premissas!$D$28</f>
        <v/>
      </c>
      <c r="F62">
        <f>B62*Premissas!$D$13/12*MIN(1,A62/Premissas!$D$17)</f>
        <v/>
      </c>
      <c r="G62">
        <f>F62*Premissas!$D$14</f>
        <v/>
      </c>
      <c r="H62">
        <f>IF(IF(A62-1-Premissas!$D$16&gt;=0,OFFSET($J$4,A62-1-Premissas!$D$16,0),0)&gt;0,ROUND(IF(A62-1-Premissas!$D$16&gt;=0,OFFSET($J$4,A62-1-Premissas!$D$16,0),0)*10000/Premissas!$D$5*Premissas!$D$15,0),0)</f>
        <v/>
      </c>
      <c r="I62">
        <f>ROUND(G62*Premissas!$D$6/10000,0)</f>
        <v/>
      </c>
      <c r="J62">
        <f>ROUND(G62*Premissas!$D$5/10000,0)</f>
        <v/>
      </c>
      <c r="K62">
        <f>IF(IF(A62-1-Premissas!$D$16&gt;=0,OFFSET($A$4,A62-1-Premissas!$D$16,0)&gt;=Premissas!$D$19,FALSE),ROUND(IF(A62-1-Premissas!$D$16&gt;=0,OFFSET($J$4,A62-1-Premissas!$D$16,0),0)*Premissas!$D$15,0),0)</f>
        <v/>
      </c>
      <c r="L62">
        <f>ROUND(C62*Premissas!$D$24/12,0)</f>
        <v/>
      </c>
      <c r="M62">
        <f>ROUND(D62*Premissas!$D$25,0)</f>
        <v/>
      </c>
      <c r="N62">
        <f>ROUND(E62*Premissas!$D$29+B62*Premissas!$D$30,0)</f>
        <v/>
      </c>
      <c r="O62">
        <f>K62+L62+M62+N62</f>
        <v/>
      </c>
      <c r="P62">
        <f>K62+ROUND(AC62*Premissas!$D$24,0)+M62+N62</f>
        <v/>
      </c>
      <c r="Q62">
        <f>ROUND(IF(A62-1-Premissas!$D$21&gt;=0,OFFSET($P$4,A62-1-Premissas!$D$21,0),0)*(1-Premissas!$D$20/100),0)</f>
        <v/>
      </c>
      <c r="R62">
        <f>ROUND(F62*Premissas!$D$11+N62*Premissas!$D$31/100,0)+ROUND((E62+B62)*Premissas!$D$10,0)+ROUND(Q62*Premissas!$D$8/100,0)+ROUND(Premissas!$D$35+(B62+C62)*Premissas!$D$36,0)</f>
        <v/>
      </c>
      <c r="S62">
        <f>O62-R62</f>
        <v/>
      </c>
      <c r="T62">
        <f>ROUND(O62*Premissas!$D$9/100,0)</f>
        <v/>
      </c>
      <c r="U62">
        <f>ROUND(AB62*Premissas!$D$33,0)</f>
        <v/>
      </c>
      <c r="V62">
        <f>Premissas!$D$37+ROUND(Premissas!$D$12*Premissas!$D$38+D62*Premissas!$D$27,0)</f>
        <v/>
      </c>
      <c r="W62">
        <f>Premissas!$D$39</f>
        <v/>
      </c>
      <c r="X62">
        <f>S62-T62-ROUND(Premissas!$D$12*Premissas!$D$38+D62*Premissas!$D$27,0)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Premissas!$D$32+(B62+C62)/Premissas!$D$34</f>
        <v/>
      </c>
      <c r="AC62">
        <f>D62+AC50*(1-Premissas!$D$26/12)^12</f>
        <v/>
      </c>
    </row>
    <row r="63">
      <c r="A63" t="n">
        <v>60</v>
      </c>
      <c r="B63">
        <f>B62*(1-Premissas!$D$18/12)+Premissas!$D$12</f>
        <v/>
      </c>
      <c r="C63">
        <f>IF($B$2=1,C62*(1-Premissas!$D$26/12)+D63,0)</f>
        <v/>
      </c>
      <c r="D63">
        <f>IF(AND($B$2=1,A63&gt;=Premissas!$D$23),Premissas!$D$22,0)</f>
        <v/>
      </c>
      <c r="E63">
        <f>B63*Premissas!$D$28</f>
        <v/>
      </c>
      <c r="F63">
        <f>B63*Premissas!$D$13/12*MIN(1,A63/Premissas!$D$17)</f>
        <v/>
      </c>
      <c r="G63">
        <f>F63*Premissas!$D$14</f>
        <v/>
      </c>
      <c r="H63">
        <f>IF(IF(A63-1-Premissas!$D$16&gt;=0,OFFSET($J$4,A63-1-Premissas!$D$16,0),0)&gt;0,ROUND(IF(A63-1-Premissas!$D$16&gt;=0,OFFSET($J$4,A63-1-Premissas!$D$16,0),0)*10000/Premissas!$D$5*Premissas!$D$15,0),0)</f>
        <v/>
      </c>
      <c r="I63">
        <f>ROUND(G63*Premissas!$D$6/10000,0)</f>
        <v/>
      </c>
      <c r="J63">
        <f>ROUND(G63*Premissas!$D$5/10000,0)</f>
        <v/>
      </c>
      <c r="K63">
        <f>IF(IF(A63-1-Premissas!$D$16&gt;=0,OFFSET($A$4,A63-1-Premissas!$D$16,0)&gt;=Premissas!$D$19,FALSE),ROUND(IF(A63-1-Premissas!$D$16&gt;=0,OFFSET($J$4,A63-1-Premissas!$D$16,0),0)*Premissas!$D$15,0),0)</f>
        <v/>
      </c>
      <c r="L63">
        <f>ROUND(C63*Premissas!$D$24/12,0)</f>
        <v/>
      </c>
      <c r="M63">
        <f>ROUND(D63*Premissas!$D$25,0)</f>
        <v/>
      </c>
      <c r="N63">
        <f>ROUND(E63*Premissas!$D$29+B63*Premissas!$D$30,0)</f>
        <v/>
      </c>
      <c r="O63">
        <f>K63+L63+M63+N63</f>
        <v/>
      </c>
      <c r="P63">
        <f>K63+ROUND(AC63*Premissas!$D$24,0)+M63+N63</f>
        <v/>
      </c>
      <c r="Q63">
        <f>ROUND(IF(A63-1-Premissas!$D$21&gt;=0,OFFSET($P$4,A63-1-Premissas!$D$21,0),0)*(1-Premissas!$D$20/100),0)</f>
        <v/>
      </c>
      <c r="R63">
        <f>ROUND(F63*Premissas!$D$11+N63*Premissas!$D$31/100,0)+ROUND((E63+B63)*Premissas!$D$10,0)+ROUND(Q63*Premissas!$D$8/100,0)+ROUND(Premissas!$D$35+(B63+C63)*Premissas!$D$36,0)</f>
        <v/>
      </c>
      <c r="S63">
        <f>O63-R63</f>
        <v/>
      </c>
      <c r="T63">
        <f>ROUND(O63*Premissas!$D$9/100,0)</f>
        <v/>
      </c>
      <c r="U63">
        <f>ROUND(AB63*Premissas!$D$33,0)</f>
        <v/>
      </c>
      <c r="V63">
        <f>Premissas!$D$37+ROUND(Premissas!$D$12*Premissas!$D$38+D63*Premissas!$D$27,0)</f>
        <v/>
      </c>
      <c r="W63">
        <f>Premissas!$D$39</f>
        <v/>
      </c>
      <c r="X63">
        <f>S63-T63-ROUND(Premissas!$D$12*Premissas!$D$38+D63*Premissas!$D$27,0)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Premissas!$D$32+(B63+C63)/Premissas!$D$34</f>
        <v/>
      </c>
      <c r="AC63">
        <f>D63+AC51*(1-Premissas!$D$26/12)^12</f>
        <v/>
      </c>
    </row>
    <row r="64">
      <c r="A64" t="n">
        <v>61</v>
      </c>
      <c r="B64">
        <f>B63*(1-Premissas!$D$18/12)+Premissas!$D$12</f>
        <v/>
      </c>
      <c r="C64">
        <f>IF($B$2=1,C63*(1-Premissas!$D$26/12)+D64,0)</f>
        <v/>
      </c>
      <c r="D64">
        <f>IF(AND($B$2=1,A64&gt;=Premissas!$D$23),Premissas!$D$22,0)</f>
        <v/>
      </c>
      <c r="E64">
        <f>B64*Premissas!$D$28</f>
        <v/>
      </c>
      <c r="F64">
        <f>B64*Premissas!$D$13/12*MIN(1,A64/Premissas!$D$17)</f>
        <v/>
      </c>
      <c r="G64">
        <f>F64*Premissas!$D$14</f>
        <v/>
      </c>
      <c r="H64">
        <f>IF(IF(A64-1-Premissas!$D$16&gt;=0,OFFSET($J$4,A64-1-Premissas!$D$16,0),0)&gt;0,ROUND(IF(A64-1-Premissas!$D$16&gt;=0,OFFSET($J$4,A64-1-Premissas!$D$16,0),0)*10000/Premissas!$D$5*Premissas!$D$15,0),0)</f>
        <v/>
      </c>
      <c r="I64">
        <f>ROUND(G64*Premissas!$D$6/10000,0)</f>
        <v/>
      </c>
      <c r="J64">
        <f>ROUND(G64*Premissas!$D$5/10000,0)</f>
        <v/>
      </c>
      <c r="K64">
        <f>IF(IF(A64-1-Premissas!$D$16&gt;=0,OFFSET($A$4,A64-1-Premissas!$D$16,0)&gt;=Premissas!$D$19,FALSE),ROUND(IF(A64-1-Premissas!$D$16&gt;=0,OFFSET($J$4,A64-1-Premissas!$D$16,0),0)*Premissas!$D$15,0),0)</f>
        <v/>
      </c>
      <c r="L64">
        <f>ROUND(C64*Premissas!$D$24/12,0)</f>
        <v/>
      </c>
      <c r="M64">
        <f>ROUND(D64*Premissas!$D$25,0)</f>
        <v/>
      </c>
      <c r="N64">
        <f>ROUND(E64*Premissas!$D$29+B64*Premissas!$D$30,0)</f>
        <v/>
      </c>
      <c r="O64">
        <f>K64+L64+M64+N64</f>
        <v/>
      </c>
      <c r="P64">
        <f>K64+ROUND(AC64*Premissas!$D$24,0)+M64+N64</f>
        <v/>
      </c>
      <c r="Q64">
        <f>ROUND(IF(A64-1-Premissas!$D$21&gt;=0,OFFSET($P$4,A64-1-Premissas!$D$21,0),0)*(1-Premissas!$D$20/100),0)</f>
        <v/>
      </c>
      <c r="R64">
        <f>ROUND(F64*Premissas!$D$11+N64*Premissas!$D$31/100,0)+ROUND((E64+B64)*Premissas!$D$10,0)+ROUND(Q64*Premissas!$D$8/100,0)+ROUND(Premissas!$D$35+(B64+C64)*Premissas!$D$36,0)</f>
        <v/>
      </c>
      <c r="S64">
        <f>O64-R64</f>
        <v/>
      </c>
      <c r="T64">
        <f>ROUND(O64*Premissas!$D$9/100,0)</f>
        <v/>
      </c>
      <c r="U64">
        <f>ROUND(AB64*Premissas!$D$33,0)</f>
        <v/>
      </c>
      <c r="V64">
        <f>Premissas!$D$37+ROUND(Premissas!$D$12*Premissas!$D$38+D64*Premissas!$D$27,0)</f>
        <v/>
      </c>
      <c r="W64">
        <f>Premissas!$D$39</f>
        <v/>
      </c>
      <c r="X64">
        <f>S64-T64-ROUND(Premissas!$D$12*Premissas!$D$38+D64*Premissas!$D$27,0)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Premissas!$D$32+(B64+C64)/Premissas!$D$34</f>
        <v/>
      </c>
      <c r="AC64">
        <f>D64+AC52*(1-Premissas!$D$26/12)^12</f>
        <v/>
      </c>
    </row>
    <row r="65">
      <c r="A65" t="n">
        <v>62</v>
      </c>
      <c r="B65">
        <f>B64*(1-Premissas!$D$18/12)+Premissas!$D$12</f>
        <v/>
      </c>
      <c r="C65">
        <f>IF($B$2=1,C64*(1-Premissas!$D$26/12)+D65,0)</f>
        <v/>
      </c>
      <c r="D65">
        <f>IF(AND($B$2=1,A65&gt;=Premissas!$D$23),Premissas!$D$22,0)</f>
        <v/>
      </c>
      <c r="E65">
        <f>B65*Premissas!$D$28</f>
        <v/>
      </c>
      <c r="F65">
        <f>B65*Premissas!$D$13/12*MIN(1,A65/Premissas!$D$17)</f>
        <v/>
      </c>
      <c r="G65">
        <f>F65*Premissas!$D$14</f>
        <v/>
      </c>
      <c r="H65">
        <f>IF(IF(A65-1-Premissas!$D$16&gt;=0,OFFSET($J$4,A65-1-Premissas!$D$16,0),0)&gt;0,ROUND(IF(A65-1-Premissas!$D$16&gt;=0,OFFSET($J$4,A65-1-Premissas!$D$16,0),0)*10000/Premissas!$D$5*Premissas!$D$15,0),0)</f>
        <v/>
      </c>
      <c r="I65">
        <f>ROUND(G65*Premissas!$D$6/10000,0)</f>
        <v/>
      </c>
      <c r="J65">
        <f>ROUND(G65*Premissas!$D$5/10000,0)</f>
        <v/>
      </c>
      <c r="K65">
        <f>IF(IF(A65-1-Premissas!$D$16&gt;=0,OFFSET($A$4,A65-1-Premissas!$D$16,0)&gt;=Premissas!$D$19,FALSE),ROUND(IF(A65-1-Premissas!$D$16&gt;=0,OFFSET($J$4,A65-1-Premissas!$D$16,0),0)*Premissas!$D$15,0),0)</f>
        <v/>
      </c>
      <c r="L65">
        <f>ROUND(C65*Premissas!$D$24/12,0)</f>
        <v/>
      </c>
      <c r="M65">
        <f>ROUND(D65*Premissas!$D$25,0)</f>
        <v/>
      </c>
      <c r="N65">
        <f>ROUND(E65*Premissas!$D$29+B65*Premissas!$D$30,0)</f>
        <v/>
      </c>
      <c r="O65">
        <f>K65+L65+M65+N65</f>
        <v/>
      </c>
      <c r="P65">
        <f>K65+ROUND(AC65*Premissas!$D$24,0)+M65+N65</f>
        <v/>
      </c>
      <c r="Q65">
        <f>ROUND(IF(A65-1-Premissas!$D$21&gt;=0,OFFSET($P$4,A65-1-Premissas!$D$21,0),0)*(1-Premissas!$D$20/100),0)</f>
        <v/>
      </c>
      <c r="R65">
        <f>ROUND(F65*Premissas!$D$11+N65*Premissas!$D$31/100,0)+ROUND((E65+B65)*Premissas!$D$10,0)+ROUND(Q65*Premissas!$D$8/100,0)+ROUND(Premissas!$D$35+(B65+C65)*Premissas!$D$36,0)</f>
        <v/>
      </c>
      <c r="S65">
        <f>O65-R65</f>
        <v/>
      </c>
      <c r="T65">
        <f>ROUND(O65*Premissas!$D$9/100,0)</f>
        <v/>
      </c>
      <c r="U65">
        <f>ROUND(AB65*Premissas!$D$33,0)</f>
        <v/>
      </c>
      <c r="V65">
        <f>Premissas!$D$37+ROUND(Premissas!$D$12*Premissas!$D$38+D65*Premissas!$D$27,0)</f>
        <v/>
      </c>
      <c r="W65">
        <f>Premissas!$D$39</f>
        <v/>
      </c>
      <c r="X65">
        <f>S65-T65-ROUND(Premissas!$D$12*Premissas!$D$38+D65*Premissas!$D$27,0)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Premissas!$D$32+(B65+C65)/Premissas!$D$34</f>
        <v/>
      </c>
      <c r="AC65">
        <f>D65+AC53*(1-Premissas!$D$26/12)^12</f>
        <v/>
      </c>
    </row>
    <row r="66">
      <c r="A66" t="n">
        <v>63</v>
      </c>
      <c r="B66">
        <f>B65*(1-Premissas!$D$18/12)+Premissas!$D$12</f>
        <v/>
      </c>
      <c r="C66">
        <f>IF($B$2=1,C65*(1-Premissas!$D$26/12)+D66,0)</f>
        <v/>
      </c>
      <c r="D66">
        <f>IF(AND($B$2=1,A66&gt;=Premissas!$D$23),Premissas!$D$22,0)</f>
        <v/>
      </c>
      <c r="E66">
        <f>B66*Premissas!$D$28</f>
        <v/>
      </c>
      <c r="F66">
        <f>B66*Premissas!$D$13/12*MIN(1,A66/Premissas!$D$17)</f>
        <v/>
      </c>
      <c r="G66">
        <f>F66*Premissas!$D$14</f>
        <v/>
      </c>
      <c r="H66">
        <f>IF(IF(A66-1-Premissas!$D$16&gt;=0,OFFSET($J$4,A66-1-Premissas!$D$16,0),0)&gt;0,ROUND(IF(A66-1-Premissas!$D$16&gt;=0,OFFSET($J$4,A66-1-Premissas!$D$16,0),0)*10000/Premissas!$D$5*Premissas!$D$15,0),0)</f>
        <v/>
      </c>
      <c r="I66">
        <f>ROUND(G66*Premissas!$D$6/10000,0)</f>
        <v/>
      </c>
      <c r="J66">
        <f>ROUND(G66*Premissas!$D$5/10000,0)</f>
        <v/>
      </c>
      <c r="K66">
        <f>IF(IF(A66-1-Premissas!$D$16&gt;=0,OFFSET($A$4,A66-1-Premissas!$D$16,0)&gt;=Premissas!$D$19,FALSE),ROUND(IF(A66-1-Premissas!$D$16&gt;=0,OFFSET($J$4,A66-1-Premissas!$D$16,0),0)*Premissas!$D$15,0),0)</f>
        <v/>
      </c>
      <c r="L66">
        <f>ROUND(C66*Premissas!$D$24/12,0)</f>
        <v/>
      </c>
      <c r="M66">
        <f>ROUND(D66*Premissas!$D$25,0)</f>
        <v/>
      </c>
      <c r="N66">
        <f>ROUND(E66*Premissas!$D$29+B66*Premissas!$D$30,0)</f>
        <v/>
      </c>
      <c r="O66">
        <f>K66+L66+M66+N66</f>
        <v/>
      </c>
      <c r="P66">
        <f>K66+ROUND(AC66*Premissas!$D$24,0)+M66+N66</f>
        <v/>
      </c>
      <c r="Q66">
        <f>ROUND(IF(A66-1-Premissas!$D$21&gt;=0,OFFSET($P$4,A66-1-Premissas!$D$21,0),0)*(1-Premissas!$D$20/100),0)</f>
        <v/>
      </c>
      <c r="R66">
        <f>ROUND(F66*Premissas!$D$11+N66*Premissas!$D$31/100,0)+ROUND((E66+B66)*Premissas!$D$10,0)+ROUND(Q66*Premissas!$D$8/100,0)+ROUND(Premissas!$D$35+(B66+C66)*Premissas!$D$36,0)</f>
        <v/>
      </c>
      <c r="S66">
        <f>O66-R66</f>
        <v/>
      </c>
      <c r="T66">
        <f>ROUND(O66*Premissas!$D$9/100,0)</f>
        <v/>
      </c>
      <c r="U66">
        <f>ROUND(AB66*Premissas!$D$33,0)</f>
        <v/>
      </c>
      <c r="V66">
        <f>Premissas!$D$37+ROUND(Premissas!$D$12*Premissas!$D$38+D66*Premissas!$D$27,0)</f>
        <v/>
      </c>
      <c r="W66">
        <f>Premissas!$D$39</f>
        <v/>
      </c>
      <c r="X66">
        <f>S66-T66-ROUND(Premissas!$D$12*Premissas!$D$38+D66*Premissas!$D$27,0)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Premissas!$D$32+(B66+C66)/Premissas!$D$34</f>
        <v/>
      </c>
      <c r="AC66">
        <f>D66+AC54*(1-Premissas!$D$26/12)^12</f>
        <v/>
      </c>
    </row>
    <row r="67">
      <c r="A67" t="n">
        <v>64</v>
      </c>
      <c r="B67">
        <f>B66*(1-Premissas!$D$18/12)+Premissas!$D$12</f>
        <v/>
      </c>
      <c r="C67">
        <f>IF($B$2=1,C66*(1-Premissas!$D$26/12)+D67,0)</f>
        <v/>
      </c>
      <c r="D67">
        <f>IF(AND($B$2=1,A67&gt;=Premissas!$D$23),Premissas!$D$22,0)</f>
        <v/>
      </c>
      <c r="E67">
        <f>B67*Premissas!$D$28</f>
        <v/>
      </c>
      <c r="F67">
        <f>B67*Premissas!$D$13/12*MIN(1,A67/Premissas!$D$17)</f>
        <v/>
      </c>
      <c r="G67">
        <f>F67*Premissas!$D$14</f>
        <v/>
      </c>
      <c r="H67">
        <f>IF(IF(A67-1-Premissas!$D$16&gt;=0,OFFSET($J$4,A67-1-Premissas!$D$16,0),0)&gt;0,ROUND(IF(A67-1-Premissas!$D$16&gt;=0,OFFSET($J$4,A67-1-Premissas!$D$16,0),0)*10000/Premissas!$D$5*Premissas!$D$15,0),0)</f>
        <v/>
      </c>
      <c r="I67">
        <f>ROUND(G67*Premissas!$D$6/10000,0)</f>
        <v/>
      </c>
      <c r="J67">
        <f>ROUND(G67*Premissas!$D$5/10000,0)</f>
        <v/>
      </c>
      <c r="K67">
        <f>IF(IF(A67-1-Premissas!$D$16&gt;=0,OFFSET($A$4,A67-1-Premissas!$D$16,0)&gt;=Premissas!$D$19,FALSE),ROUND(IF(A67-1-Premissas!$D$16&gt;=0,OFFSET($J$4,A67-1-Premissas!$D$16,0),0)*Premissas!$D$15,0),0)</f>
        <v/>
      </c>
      <c r="L67">
        <f>ROUND(C67*Premissas!$D$24/12,0)</f>
        <v/>
      </c>
      <c r="M67">
        <f>ROUND(D67*Premissas!$D$25,0)</f>
        <v/>
      </c>
      <c r="N67">
        <f>ROUND(E67*Premissas!$D$29+B67*Premissas!$D$30,0)</f>
        <v/>
      </c>
      <c r="O67">
        <f>K67+L67+M67+N67</f>
        <v/>
      </c>
      <c r="P67">
        <f>K67+ROUND(AC67*Premissas!$D$24,0)+M67+N67</f>
        <v/>
      </c>
      <c r="Q67">
        <f>ROUND(IF(A67-1-Premissas!$D$21&gt;=0,OFFSET($P$4,A67-1-Premissas!$D$21,0),0)*(1-Premissas!$D$20/100),0)</f>
        <v/>
      </c>
      <c r="R67">
        <f>ROUND(F67*Premissas!$D$11+N67*Premissas!$D$31/100,0)+ROUND((E67+B67)*Premissas!$D$10,0)+ROUND(Q67*Premissas!$D$8/100,0)+ROUND(Premissas!$D$35+(B67+C67)*Premissas!$D$36,0)</f>
        <v/>
      </c>
      <c r="S67">
        <f>O67-R67</f>
        <v/>
      </c>
      <c r="T67">
        <f>ROUND(O67*Premissas!$D$9/100,0)</f>
        <v/>
      </c>
      <c r="U67">
        <f>ROUND(AB67*Premissas!$D$33,0)</f>
        <v/>
      </c>
      <c r="V67">
        <f>Premissas!$D$37+ROUND(Premissas!$D$12*Premissas!$D$38+D67*Premissas!$D$27,0)</f>
        <v/>
      </c>
      <c r="W67">
        <f>Premissas!$D$39</f>
        <v/>
      </c>
      <c r="X67">
        <f>S67-T67-ROUND(Premissas!$D$12*Premissas!$D$38+D67*Premissas!$D$27,0)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Premissas!$D$32+(B67+C67)/Premissas!$D$34</f>
        <v/>
      </c>
      <c r="AC67">
        <f>D67+AC55*(1-Premissas!$D$26/12)^12</f>
        <v/>
      </c>
    </row>
    <row r="68">
      <c r="A68" t="n">
        <v>65</v>
      </c>
      <c r="B68">
        <f>B67*(1-Premissas!$D$18/12)+Premissas!$D$12</f>
        <v/>
      </c>
      <c r="C68">
        <f>IF($B$2=1,C67*(1-Premissas!$D$26/12)+D68,0)</f>
        <v/>
      </c>
      <c r="D68">
        <f>IF(AND($B$2=1,A68&gt;=Premissas!$D$23),Premissas!$D$22,0)</f>
        <v/>
      </c>
      <c r="E68">
        <f>B68*Premissas!$D$28</f>
        <v/>
      </c>
      <c r="F68">
        <f>B68*Premissas!$D$13/12*MIN(1,A68/Premissas!$D$17)</f>
        <v/>
      </c>
      <c r="G68">
        <f>F68*Premissas!$D$14</f>
        <v/>
      </c>
      <c r="H68">
        <f>IF(IF(A68-1-Premissas!$D$16&gt;=0,OFFSET($J$4,A68-1-Premissas!$D$16,0),0)&gt;0,ROUND(IF(A68-1-Premissas!$D$16&gt;=0,OFFSET($J$4,A68-1-Premissas!$D$16,0),0)*10000/Premissas!$D$5*Premissas!$D$15,0),0)</f>
        <v/>
      </c>
      <c r="I68">
        <f>ROUND(G68*Premissas!$D$6/10000,0)</f>
        <v/>
      </c>
      <c r="J68">
        <f>ROUND(G68*Premissas!$D$5/10000,0)</f>
        <v/>
      </c>
      <c r="K68">
        <f>IF(IF(A68-1-Premissas!$D$16&gt;=0,OFFSET($A$4,A68-1-Premissas!$D$16,0)&gt;=Premissas!$D$19,FALSE),ROUND(IF(A68-1-Premissas!$D$16&gt;=0,OFFSET($J$4,A68-1-Premissas!$D$16,0),0)*Premissas!$D$15,0),0)</f>
        <v/>
      </c>
      <c r="L68">
        <f>ROUND(C68*Premissas!$D$24/12,0)</f>
        <v/>
      </c>
      <c r="M68">
        <f>ROUND(D68*Premissas!$D$25,0)</f>
        <v/>
      </c>
      <c r="N68">
        <f>ROUND(E68*Premissas!$D$29+B68*Premissas!$D$30,0)</f>
        <v/>
      </c>
      <c r="O68">
        <f>K68+L68+M68+N68</f>
        <v/>
      </c>
      <c r="P68">
        <f>K68+ROUND(AC68*Premissas!$D$24,0)+M68+N68</f>
        <v/>
      </c>
      <c r="Q68">
        <f>ROUND(IF(A68-1-Premissas!$D$21&gt;=0,OFFSET($P$4,A68-1-Premissas!$D$21,0),0)*(1-Premissas!$D$20/100),0)</f>
        <v/>
      </c>
      <c r="R68">
        <f>ROUND(F68*Premissas!$D$11+N68*Premissas!$D$31/100,0)+ROUND((E68+B68)*Premissas!$D$10,0)+ROUND(Q68*Premissas!$D$8/100,0)+ROUND(Premissas!$D$35+(B68+C68)*Premissas!$D$36,0)</f>
        <v/>
      </c>
      <c r="S68">
        <f>O68-R68</f>
        <v/>
      </c>
      <c r="T68">
        <f>ROUND(O68*Premissas!$D$9/100,0)</f>
        <v/>
      </c>
      <c r="U68">
        <f>ROUND(AB68*Premissas!$D$33,0)</f>
        <v/>
      </c>
      <c r="V68">
        <f>Premissas!$D$37+ROUND(Premissas!$D$12*Premissas!$D$38+D68*Premissas!$D$27,0)</f>
        <v/>
      </c>
      <c r="W68">
        <f>Premissas!$D$39</f>
        <v/>
      </c>
      <c r="X68">
        <f>S68-T68-ROUND(Premissas!$D$12*Premissas!$D$38+D68*Premissas!$D$27,0)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Premissas!$D$32+(B68+C68)/Premissas!$D$34</f>
        <v/>
      </c>
      <c r="AC68">
        <f>D68+AC56*(1-Premissas!$D$26/12)^12</f>
        <v/>
      </c>
    </row>
    <row r="69">
      <c r="A69" t="n">
        <v>66</v>
      </c>
      <c r="B69">
        <f>B68*(1-Premissas!$D$18/12)+Premissas!$D$12</f>
        <v/>
      </c>
      <c r="C69">
        <f>IF($B$2=1,C68*(1-Premissas!$D$26/12)+D69,0)</f>
        <v/>
      </c>
      <c r="D69">
        <f>IF(AND($B$2=1,A69&gt;=Premissas!$D$23),Premissas!$D$22,0)</f>
        <v/>
      </c>
      <c r="E69">
        <f>B69*Premissas!$D$28</f>
        <v/>
      </c>
      <c r="F69">
        <f>B69*Premissas!$D$13/12*MIN(1,A69/Premissas!$D$17)</f>
        <v/>
      </c>
      <c r="G69">
        <f>F69*Premissas!$D$14</f>
        <v/>
      </c>
      <c r="H69">
        <f>IF(IF(A69-1-Premissas!$D$16&gt;=0,OFFSET($J$4,A69-1-Premissas!$D$16,0),0)&gt;0,ROUND(IF(A69-1-Premissas!$D$16&gt;=0,OFFSET($J$4,A69-1-Premissas!$D$16,0),0)*10000/Premissas!$D$5*Premissas!$D$15,0),0)</f>
        <v/>
      </c>
      <c r="I69">
        <f>ROUND(G69*Premissas!$D$6/10000,0)</f>
        <v/>
      </c>
      <c r="J69">
        <f>ROUND(G69*Premissas!$D$5/10000,0)</f>
        <v/>
      </c>
      <c r="K69">
        <f>IF(IF(A69-1-Premissas!$D$16&gt;=0,OFFSET($A$4,A69-1-Premissas!$D$16,0)&gt;=Premissas!$D$19,FALSE),ROUND(IF(A69-1-Premissas!$D$16&gt;=0,OFFSET($J$4,A69-1-Premissas!$D$16,0),0)*Premissas!$D$15,0),0)</f>
        <v/>
      </c>
      <c r="L69">
        <f>ROUND(C69*Premissas!$D$24/12,0)</f>
        <v/>
      </c>
      <c r="M69">
        <f>ROUND(D69*Premissas!$D$25,0)</f>
        <v/>
      </c>
      <c r="N69">
        <f>ROUND(E69*Premissas!$D$29+B69*Premissas!$D$30,0)</f>
        <v/>
      </c>
      <c r="O69">
        <f>K69+L69+M69+N69</f>
        <v/>
      </c>
      <c r="P69">
        <f>K69+ROUND(AC69*Premissas!$D$24,0)+M69+N69</f>
        <v/>
      </c>
      <c r="Q69">
        <f>ROUND(IF(A69-1-Premissas!$D$21&gt;=0,OFFSET($P$4,A69-1-Premissas!$D$21,0),0)*(1-Premissas!$D$20/100),0)</f>
        <v/>
      </c>
      <c r="R69">
        <f>ROUND(F69*Premissas!$D$11+N69*Premissas!$D$31/100,0)+ROUND((E69+B69)*Premissas!$D$10,0)+ROUND(Q69*Premissas!$D$8/100,0)+ROUND(Premissas!$D$35+(B69+C69)*Premissas!$D$36,0)</f>
        <v/>
      </c>
      <c r="S69">
        <f>O69-R69</f>
        <v/>
      </c>
      <c r="T69">
        <f>ROUND(O69*Premissas!$D$9/100,0)</f>
        <v/>
      </c>
      <c r="U69">
        <f>ROUND(AB69*Premissas!$D$33,0)</f>
        <v/>
      </c>
      <c r="V69">
        <f>Premissas!$D$37+ROUND(Premissas!$D$12*Premissas!$D$38+D69*Premissas!$D$27,0)</f>
        <v/>
      </c>
      <c r="W69">
        <f>Premissas!$D$39</f>
        <v/>
      </c>
      <c r="X69">
        <f>S69-T69-ROUND(Premissas!$D$12*Premissas!$D$38+D69*Premissas!$D$27,0)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Premissas!$D$32+(B69+C69)/Premissas!$D$34</f>
        <v/>
      </c>
      <c r="AC69">
        <f>D69+AC57*(1-Premissas!$D$26/12)^12</f>
        <v/>
      </c>
    </row>
    <row r="70">
      <c r="A70" t="n">
        <v>67</v>
      </c>
      <c r="B70">
        <f>B69*(1-Premissas!$D$18/12)+Premissas!$D$12</f>
        <v/>
      </c>
      <c r="C70">
        <f>IF($B$2=1,C69*(1-Premissas!$D$26/12)+D70,0)</f>
        <v/>
      </c>
      <c r="D70">
        <f>IF(AND($B$2=1,A70&gt;=Premissas!$D$23),Premissas!$D$22,0)</f>
        <v/>
      </c>
      <c r="E70">
        <f>B70*Premissas!$D$28</f>
        <v/>
      </c>
      <c r="F70">
        <f>B70*Premissas!$D$13/12*MIN(1,A70/Premissas!$D$17)</f>
        <v/>
      </c>
      <c r="G70">
        <f>F70*Premissas!$D$14</f>
        <v/>
      </c>
      <c r="H70">
        <f>IF(IF(A70-1-Premissas!$D$16&gt;=0,OFFSET($J$4,A70-1-Premissas!$D$16,0),0)&gt;0,ROUND(IF(A70-1-Premissas!$D$16&gt;=0,OFFSET($J$4,A70-1-Premissas!$D$16,0),0)*10000/Premissas!$D$5*Premissas!$D$15,0),0)</f>
        <v/>
      </c>
      <c r="I70">
        <f>ROUND(G70*Premissas!$D$6/10000,0)</f>
        <v/>
      </c>
      <c r="J70">
        <f>ROUND(G70*Premissas!$D$5/10000,0)</f>
        <v/>
      </c>
      <c r="K70">
        <f>IF(IF(A70-1-Premissas!$D$16&gt;=0,OFFSET($A$4,A70-1-Premissas!$D$16,0)&gt;=Premissas!$D$19,FALSE),ROUND(IF(A70-1-Premissas!$D$16&gt;=0,OFFSET($J$4,A70-1-Premissas!$D$16,0),0)*Premissas!$D$15,0),0)</f>
        <v/>
      </c>
      <c r="L70">
        <f>ROUND(C70*Premissas!$D$24/12,0)</f>
        <v/>
      </c>
      <c r="M70">
        <f>ROUND(D70*Premissas!$D$25,0)</f>
        <v/>
      </c>
      <c r="N70">
        <f>ROUND(E70*Premissas!$D$29+B70*Premissas!$D$30,0)</f>
        <v/>
      </c>
      <c r="O70">
        <f>K70+L70+M70+N70</f>
        <v/>
      </c>
      <c r="P70">
        <f>K70+ROUND(AC70*Premissas!$D$24,0)+M70+N70</f>
        <v/>
      </c>
      <c r="Q70">
        <f>ROUND(IF(A70-1-Premissas!$D$21&gt;=0,OFFSET($P$4,A70-1-Premissas!$D$21,0),0)*(1-Premissas!$D$20/100),0)</f>
        <v/>
      </c>
      <c r="R70">
        <f>ROUND(F70*Premissas!$D$11+N70*Premissas!$D$31/100,0)+ROUND((E70+B70)*Premissas!$D$10,0)+ROUND(Q70*Premissas!$D$8/100,0)+ROUND(Premissas!$D$35+(B70+C70)*Premissas!$D$36,0)</f>
        <v/>
      </c>
      <c r="S70">
        <f>O70-R70</f>
        <v/>
      </c>
      <c r="T70">
        <f>ROUND(O70*Premissas!$D$9/100,0)</f>
        <v/>
      </c>
      <c r="U70">
        <f>ROUND(AB70*Premissas!$D$33,0)</f>
        <v/>
      </c>
      <c r="V70">
        <f>Premissas!$D$37+ROUND(Premissas!$D$12*Premissas!$D$38+D70*Premissas!$D$27,0)</f>
        <v/>
      </c>
      <c r="W70">
        <f>Premissas!$D$39</f>
        <v/>
      </c>
      <c r="X70">
        <f>S70-T70-ROUND(Premissas!$D$12*Premissas!$D$38+D70*Premissas!$D$27,0)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Premissas!$D$32+(B70+C70)/Premissas!$D$34</f>
        <v/>
      </c>
      <c r="AC70">
        <f>D70+AC58*(1-Premissas!$D$26/12)^12</f>
        <v/>
      </c>
    </row>
    <row r="71">
      <c r="A71" t="n">
        <v>68</v>
      </c>
      <c r="B71">
        <f>B70*(1-Premissas!$D$18/12)+Premissas!$D$12</f>
        <v/>
      </c>
      <c r="C71">
        <f>IF($B$2=1,C70*(1-Premissas!$D$26/12)+D71,0)</f>
        <v/>
      </c>
      <c r="D71">
        <f>IF(AND($B$2=1,A71&gt;=Premissas!$D$23),Premissas!$D$22,0)</f>
        <v/>
      </c>
      <c r="E71">
        <f>B71*Premissas!$D$28</f>
        <v/>
      </c>
      <c r="F71">
        <f>B71*Premissas!$D$13/12*MIN(1,A71/Premissas!$D$17)</f>
        <v/>
      </c>
      <c r="G71">
        <f>F71*Premissas!$D$14</f>
        <v/>
      </c>
      <c r="H71">
        <f>IF(IF(A71-1-Premissas!$D$16&gt;=0,OFFSET($J$4,A71-1-Premissas!$D$16,0),0)&gt;0,ROUND(IF(A71-1-Premissas!$D$16&gt;=0,OFFSET($J$4,A71-1-Premissas!$D$16,0),0)*10000/Premissas!$D$5*Premissas!$D$15,0),0)</f>
        <v/>
      </c>
      <c r="I71">
        <f>ROUND(G71*Premissas!$D$6/10000,0)</f>
        <v/>
      </c>
      <c r="J71">
        <f>ROUND(G71*Premissas!$D$5/10000,0)</f>
        <v/>
      </c>
      <c r="K71">
        <f>IF(IF(A71-1-Premissas!$D$16&gt;=0,OFFSET($A$4,A71-1-Premissas!$D$16,0)&gt;=Premissas!$D$19,FALSE),ROUND(IF(A71-1-Premissas!$D$16&gt;=0,OFFSET($J$4,A71-1-Premissas!$D$16,0),0)*Premissas!$D$15,0),0)</f>
        <v/>
      </c>
      <c r="L71">
        <f>ROUND(C71*Premissas!$D$24/12,0)</f>
        <v/>
      </c>
      <c r="M71">
        <f>ROUND(D71*Premissas!$D$25,0)</f>
        <v/>
      </c>
      <c r="N71">
        <f>ROUND(E71*Premissas!$D$29+B71*Premissas!$D$30,0)</f>
        <v/>
      </c>
      <c r="O71">
        <f>K71+L71+M71+N71</f>
        <v/>
      </c>
      <c r="P71">
        <f>K71+ROUND(AC71*Premissas!$D$24,0)+M71+N71</f>
        <v/>
      </c>
      <c r="Q71">
        <f>ROUND(IF(A71-1-Premissas!$D$21&gt;=0,OFFSET($P$4,A71-1-Premissas!$D$21,0),0)*(1-Premissas!$D$20/100),0)</f>
        <v/>
      </c>
      <c r="R71">
        <f>ROUND(F71*Premissas!$D$11+N71*Premissas!$D$31/100,0)+ROUND((E71+B71)*Premissas!$D$10,0)+ROUND(Q71*Premissas!$D$8/100,0)+ROUND(Premissas!$D$35+(B71+C71)*Premissas!$D$36,0)</f>
        <v/>
      </c>
      <c r="S71">
        <f>O71-R71</f>
        <v/>
      </c>
      <c r="T71">
        <f>ROUND(O71*Premissas!$D$9/100,0)</f>
        <v/>
      </c>
      <c r="U71">
        <f>ROUND(AB71*Premissas!$D$33,0)</f>
        <v/>
      </c>
      <c r="V71">
        <f>Premissas!$D$37+ROUND(Premissas!$D$12*Premissas!$D$38+D71*Premissas!$D$27,0)</f>
        <v/>
      </c>
      <c r="W71">
        <f>Premissas!$D$39</f>
        <v/>
      </c>
      <c r="X71">
        <f>S71-T71-ROUND(Premissas!$D$12*Premissas!$D$38+D71*Premissas!$D$27,0)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Premissas!$D$32+(B71+C71)/Premissas!$D$34</f>
        <v/>
      </c>
      <c r="AC71">
        <f>D71+AC59*(1-Premissas!$D$26/12)^12</f>
        <v/>
      </c>
    </row>
    <row r="72">
      <c r="A72" t="n">
        <v>69</v>
      </c>
      <c r="B72">
        <f>B71*(1-Premissas!$D$18/12)+Premissas!$D$12</f>
        <v/>
      </c>
      <c r="C72">
        <f>IF($B$2=1,C71*(1-Premissas!$D$26/12)+D72,0)</f>
        <v/>
      </c>
      <c r="D72">
        <f>IF(AND($B$2=1,A72&gt;=Premissas!$D$23),Premissas!$D$22,0)</f>
        <v/>
      </c>
      <c r="E72">
        <f>B72*Premissas!$D$28</f>
        <v/>
      </c>
      <c r="F72">
        <f>B72*Premissas!$D$13/12*MIN(1,A72/Premissas!$D$17)</f>
        <v/>
      </c>
      <c r="G72">
        <f>F72*Premissas!$D$14</f>
        <v/>
      </c>
      <c r="H72">
        <f>IF(IF(A72-1-Premissas!$D$16&gt;=0,OFFSET($J$4,A72-1-Premissas!$D$16,0),0)&gt;0,ROUND(IF(A72-1-Premissas!$D$16&gt;=0,OFFSET($J$4,A72-1-Premissas!$D$16,0),0)*10000/Premissas!$D$5*Premissas!$D$15,0),0)</f>
        <v/>
      </c>
      <c r="I72">
        <f>ROUND(G72*Premissas!$D$6/10000,0)</f>
        <v/>
      </c>
      <c r="J72">
        <f>ROUND(G72*Premissas!$D$5/10000,0)</f>
        <v/>
      </c>
      <c r="K72">
        <f>IF(IF(A72-1-Premissas!$D$16&gt;=0,OFFSET($A$4,A72-1-Premissas!$D$16,0)&gt;=Premissas!$D$19,FALSE),ROUND(IF(A72-1-Premissas!$D$16&gt;=0,OFFSET($J$4,A72-1-Premissas!$D$16,0),0)*Premissas!$D$15,0),0)</f>
        <v/>
      </c>
      <c r="L72">
        <f>ROUND(C72*Premissas!$D$24/12,0)</f>
        <v/>
      </c>
      <c r="M72">
        <f>ROUND(D72*Premissas!$D$25,0)</f>
        <v/>
      </c>
      <c r="N72">
        <f>ROUND(E72*Premissas!$D$29+B72*Premissas!$D$30,0)</f>
        <v/>
      </c>
      <c r="O72">
        <f>K72+L72+M72+N72</f>
        <v/>
      </c>
      <c r="P72">
        <f>K72+ROUND(AC72*Premissas!$D$24,0)+M72+N72</f>
        <v/>
      </c>
      <c r="Q72">
        <f>ROUND(IF(A72-1-Premissas!$D$21&gt;=0,OFFSET($P$4,A72-1-Premissas!$D$21,0),0)*(1-Premissas!$D$20/100),0)</f>
        <v/>
      </c>
      <c r="R72">
        <f>ROUND(F72*Premissas!$D$11+N72*Premissas!$D$31/100,0)+ROUND((E72+B72)*Premissas!$D$10,0)+ROUND(Q72*Premissas!$D$8/100,0)+ROUND(Premissas!$D$35+(B72+C72)*Premissas!$D$36,0)</f>
        <v/>
      </c>
      <c r="S72">
        <f>O72-R72</f>
        <v/>
      </c>
      <c r="T72">
        <f>ROUND(O72*Premissas!$D$9/100,0)</f>
        <v/>
      </c>
      <c r="U72">
        <f>ROUND(AB72*Premissas!$D$33,0)</f>
        <v/>
      </c>
      <c r="V72">
        <f>Premissas!$D$37+ROUND(Premissas!$D$12*Premissas!$D$38+D72*Premissas!$D$27,0)</f>
        <v/>
      </c>
      <c r="W72">
        <f>Premissas!$D$39</f>
        <v/>
      </c>
      <c r="X72">
        <f>S72-T72-ROUND(Premissas!$D$12*Premissas!$D$38+D72*Premissas!$D$27,0)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Premissas!$D$32+(B72+C72)/Premissas!$D$34</f>
        <v/>
      </c>
      <c r="AC72">
        <f>D72+AC60*(1-Premissas!$D$26/12)^12</f>
        <v/>
      </c>
    </row>
    <row r="73">
      <c r="A73" t="n">
        <v>70</v>
      </c>
      <c r="B73">
        <f>B72*(1-Premissas!$D$18/12)+Premissas!$D$12</f>
        <v/>
      </c>
      <c r="C73">
        <f>IF($B$2=1,C72*(1-Premissas!$D$26/12)+D73,0)</f>
        <v/>
      </c>
      <c r="D73">
        <f>IF(AND($B$2=1,A73&gt;=Premissas!$D$23),Premissas!$D$22,0)</f>
        <v/>
      </c>
      <c r="E73">
        <f>B73*Premissas!$D$28</f>
        <v/>
      </c>
      <c r="F73">
        <f>B73*Premissas!$D$13/12*MIN(1,A73/Premissas!$D$17)</f>
        <v/>
      </c>
      <c r="G73">
        <f>F73*Premissas!$D$14</f>
        <v/>
      </c>
      <c r="H73">
        <f>IF(IF(A73-1-Premissas!$D$16&gt;=0,OFFSET($J$4,A73-1-Premissas!$D$16,0),0)&gt;0,ROUND(IF(A73-1-Premissas!$D$16&gt;=0,OFFSET($J$4,A73-1-Premissas!$D$16,0),0)*10000/Premissas!$D$5*Premissas!$D$15,0),0)</f>
        <v/>
      </c>
      <c r="I73">
        <f>ROUND(G73*Premissas!$D$6/10000,0)</f>
        <v/>
      </c>
      <c r="J73">
        <f>ROUND(G73*Premissas!$D$5/10000,0)</f>
        <v/>
      </c>
      <c r="K73">
        <f>IF(IF(A73-1-Premissas!$D$16&gt;=0,OFFSET($A$4,A73-1-Premissas!$D$16,0)&gt;=Premissas!$D$19,FALSE),ROUND(IF(A73-1-Premissas!$D$16&gt;=0,OFFSET($J$4,A73-1-Premissas!$D$16,0),0)*Premissas!$D$15,0),0)</f>
        <v/>
      </c>
      <c r="L73">
        <f>ROUND(C73*Premissas!$D$24/12,0)</f>
        <v/>
      </c>
      <c r="M73">
        <f>ROUND(D73*Premissas!$D$25,0)</f>
        <v/>
      </c>
      <c r="N73">
        <f>ROUND(E73*Premissas!$D$29+B73*Premissas!$D$30,0)</f>
        <v/>
      </c>
      <c r="O73">
        <f>K73+L73+M73+N73</f>
        <v/>
      </c>
      <c r="P73">
        <f>K73+ROUND(AC73*Premissas!$D$24,0)+M73+N73</f>
        <v/>
      </c>
      <c r="Q73">
        <f>ROUND(IF(A73-1-Premissas!$D$21&gt;=0,OFFSET($P$4,A73-1-Premissas!$D$21,0),0)*(1-Premissas!$D$20/100),0)</f>
        <v/>
      </c>
      <c r="R73">
        <f>ROUND(F73*Premissas!$D$11+N73*Premissas!$D$31/100,0)+ROUND((E73+B73)*Premissas!$D$10,0)+ROUND(Q73*Premissas!$D$8/100,0)+ROUND(Premissas!$D$35+(B73+C73)*Premissas!$D$36,0)</f>
        <v/>
      </c>
      <c r="S73">
        <f>O73-R73</f>
        <v/>
      </c>
      <c r="T73">
        <f>ROUND(O73*Premissas!$D$9/100,0)</f>
        <v/>
      </c>
      <c r="U73">
        <f>ROUND(AB73*Premissas!$D$33,0)</f>
        <v/>
      </c>
      <c r="V73">
        <f>Premissas!$D$37+ROUND(Premissas!$D$12*Premissas!$D$38+D73*Premissas!$D$27,0)</f>
        <v/>
      </c>
      <c r="W73">
        <f>Premissas!$D$39</f>
        <v/>
      </c>
      <c r="X73">
        <f>S73-T73-ROUND(Premissas!$D$12*Premissas!$D$38+D73*Premissas!$D$27,0)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Premissas!$D$32+(B73+C73)/Premissas!$D$34</f>
        <v/>
      </c>
      <c r="AC73">
        <f>D73+AC61*(1-Premissas!$D$26/12)^12</f>
        <v/>
      </c>
    </row>
    <row r="74">
      <c r="A74" t="n">
        <v>71</v>
      </c>
      <c r="B74">
        <f>B73*(1-Premissas!$D$18/12)+Premissas!$D$12</f>
        <v/>
      </c>
      <c r="C74">
        <f>IF($B$2=1,C73*(1-Premissas!$D$26/12)+D74,0)</f>
        <v/>
      </c>
      <c r="D74">
        <f>IF(AND($B$2=1,A74&gt;=Premissas!$D$23),Premissas!$D$22,0)</f>
        <v/>
      </c>
      <c r="E74">
        <f>B74*Premissas!$D$28</f>
        <v/>
      </c>
      <c r="F74">
        <f>B74*Premissas!$D$13/12*MIN(1,A74/Premissas!$D$17)</f>
        <v/>
      </c>
      <c r="G74">
        <f>F74*Premissas!$D$14</f>
        <v/>
      </c>
      <c r="H74">
        <f>IF(IF(A74-1-Premissas!$D$16&gt;=0,OFFSET($J$4,A74-1-Premissas!$D$16,0),0)&gt;0,ROUND(IF(A74-1-Premissas!$D$16&gt;=0,OFFSET($J$4,A74-1-Premissas!$D$16,0),0)*10000/Premissas!$D$5*Premissas!$D$15,0),0)</f>
        <v/>
      </c>
      <c r="I74">
        <f>ROUND(G74*Premissas!$D$6/10000,0)</f>
        <v/>
      </c>
      <c r="J74">
        <f>ROUND(G74*Premissas!$D$5/10000,0)</f>
        <v/>
      </c>
      <c r="K74">
        <f>IF(IF(A74-1-Premissas!$D$16&gt;=0,OFFSET($A$4,A74-1-Premissas!$D$16,0)&gt;=Premissas!$D$19,FALSE),ROUND(IF(A74-1-Premissas!$D$16&gt;=0,OFFSET($J$4,A74-1-Premissas!$D$16,0),0)*Premissas!$D$15,0),0)</f>
        <v/>
      </c>
      <c r="L74">
        <f>ROUND(C74*Premissas!$D$24/12,0)</f>
        <v/>
      </c>
      <c r="M74">
        <f>ROUND(D74*Premissas!$D$25,0)</f>
        <v/>
      </c>
      <c r="N74">
        <f>ROUND(E74*Premissas!$D$29+B74*Premissas!$D$30,0)</f>
        <v/>
      </c>
      <c r="O74">
        <f>K74+L74+M74+N74</f>
        <v/>
      </c>
      <c r="P74">
        <f>K74+ROUND(AC74*Premissas!$D$24,0)+M74+N74</f>
        <v/>
      </c>
      <c r="Q74">
        <f>ROUND(IF(A74-1-Premissas!$D$21&gt;=0,OFFSET($P$4,A74-1-Premissas!$D$21,0),0)*(1-Premissas!$D$20/100),0)</f>
        <v/>
      </c>
      <c r="R74">
        <f>ROUND(F74*Premissas!$D$11+N74*Premissas!$D$31/100,0)+ROUND((E74+B74)*Premissas!$D$10,0)+ROUND(Q74*Premissas!$D$8/100,0)+ROUND(Premissas!$D$35+(B74+C74)*Premissas!$D$36,0)</f>
        <v/>
      </c>
      <c r="S74">
        <f>O74-R74</f>
        <v/>
      </c>
      <c r="T74">
        <f>ROUND(O74*Premissas!$D$9/100,0)</f>
        <v/>
      </c>
      <c r="U74">
        <f>ROUND(AB74*Premissas!$D$33,0)</f>
        <v/>
      </c>
      <c r="V74">
        <f>Premissas!$D$37+ROUND(Premissas!$D$12*Premissas!$D$38+D74*Premissas!$D$27,0)</f>
        <v/>
      </c>
      <c r="W74">
        <f>Premissas!$D$39</f>
        <v/>
      </c>
      <c r="X74">
        <f>S74-T74-ROUND(Premissas!$D$12*Premissas!$D$38+D74*Premissas!$D$27,0)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Premissas!$D$32+(B74+C74)/Premissas!$D$34</f>
        <v/>
      </c>
      <c r="AC74">
        <f>D74+AC62*(1-Premissas!$D$26/12)^12</f>
        <v/>
      </c>
    </row>
    <row r="75">
      <c r="A75" t="n">
        <v>72</v>
      </c>
      <c r="B75">
        <f>B74*(1-Premissas!$D$18/12)+Premissas!$D$12</f>
        <v/>
      </c>
      <c r="C75">
        <f>IF($B$2=1,C74*(1-Premissas!$D$26/12)+D75,0)</f>
        <v/>
      </c>
      <c r="D75">
        <f>IF(AND($B$2=1,A75&gt;=Premissas!$D$23),Premissas!$D$22,0)</f>
        <v/>
      </c>
      <c r="E75">
        <f>B75*Premissas!$D$28</f>
        <v/>
      </c>
      <c r="F75">
        <f>B75*Premissas!$D$13/12*MIN(1,A75/Premissas!$D$17)</f>
        <v/>
      </c>
      <c r="G75">
        <f>F75*Premissas!$D$14</f>
        <v/>
      </c>
      <c r="H75">
        <f>IF(IF(A75-1-Premissas!$D$16&gt;=0,OFFSET($J$4,A75-1-Premissas!$D$16,0),0)&gt;0,ROUND(IF(A75-1-Premissas!$D$16&gt;=0,OFFSET($J$4,A75-1-Premissas!$D$16,0),0)*10000/Premissas!$D$5*Premissas!$D$15,0),0)</f>
        <v/>
      </c>
      <c r="I75">
        <f>ROUND(G75*Premissas!$D$6/10000,0)</f>
        <v/>
      </c>
      <c r="J75">
        <f>ROUND(G75*Premissas!$D$5/10000,0)</f>
        <v/>
      </c>
      <c r="K75">
        <f>IF(IF(A75-1-Premissas!$D$16&gt;=0,OFFSET($A$4,A75-1-Premissas!$D$16,0)&gt;=Premissas!$D$19,FALSE),ROUND(IF(A75-1-Premissas!$D$16&gt;=0,OFFSET($J$4,A75-1-Premissas!$D$16,0),0)*Premissas!$D$15,0),0)</f>
        <v/>
      </c>
      <c r="L75">
        <f>ROUND(C75*Premissas!$D$24/12,0)</f>
        <v/>
      </c>
      <c r="M75">
        <f>ROUND(D75*Premissas!$D$25,0)</f>
        <v/>
      </c>
      <c r="N75">
        <f>ROUND(E75*Premissas!$D$29+B75*Premissas!$D$30,0)</f>
        <v/>
      </c>
      <c r="O75">
        <f>K75+L75+M75+N75</f>
        <v/>
      </c>
      <c r="P75">
        <f>K75+ROUND(AC75*Premissas!$D$24,0)+M75+N75</f>
        <v/>
      </c>
      <c r="Q75">
        <f>ROUND(IF(A75-1-Premissas!$D$21&gt;=0,OFFSET($P$4,A75-1-Premissas!$D$21,0),0)*(1-Premissas!$D$20/100),0)</f>
        <v/>
      </c>
      <c r="R75">
        <f>ROUND(F75*Premissas!$D$11+N75*Premissas!$D$31/100,0)+ROUND((E75+B75)*Premissas!$D$10,0)+ROUND(Q75*Premissas!$D$8/100,0)+ROUND(Premissas!$D$35+(B75+C75)*Premissas!$D$36,0)</f>
        <v/>
      </c>
      <c r="S75">
        <f>O75-R75</f>
        <v/>
      </c>
      <c r="T75">
        <f>ROUND(O75*Premissas!$D$9/100,0)</f>
        <v/>
      </c>
      <c r="U75">
        <f>ROUND(AB75*Premissas!$D$33,0)</f>
        <v/>
      </c>
      <c r="V75">
        <f>Premissas!$D$37+ROUND(Premissas!$D$12*Premissas!$D$38+D75*Premissas!$D$27,0)</f>
        <v/>
      </c>
      <c r="W75">
        <f>Premissas!$D$39</f>
        <v/>
      </c>
      <c r="X75">
        <f>S75-T75-ROUND(Premissas!$D$12*Premissas!$D$38+D75*Premissas!$D$27,0)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Premissas!$D$32+(B75+C75)/Premissas!$D$34</f>
        <v/>
      </c>
      <c r="AC75">
        <f>D75+AC63*(1-Premissas!$D$26/12)^12</f>
        <v/>
      </c>
    </row>
    <row r="76">
      <c r="A76" t="n">
        <v>73</v>
      </c>
      <c r="B76">
        <f>B75*(1-Premissas!$D$18/12)+Premissas!$D$12</f>
        <v/>
      </c>
      <c r="C76">
        <f>IF($B$2=1,C75*(1-Premissas!$D$26/12)+D76,0)</f>
        <v/>
      </c>
      <c r="D76">
        <f>IF(AND($B$2=1,A76&gt;=Premissas!$D$23),Premissas!$D$22,0)</f>
        <v/>
      </c>
      <c r="E76">
        <f>B76*Premissas!$D$28</f>
        <v/>
      </c>
      <c r="F76">
        <f>B76*Premissas!$D$13/12*MIN(1,A76/Premissas!$D$17)</f>
        <v/>
      </c>
      <c r="G76">
        <f>F76*Premissas!$D$14</f>
        <v/>
      </c>
      <c r="H76">
        <f>IF(IF(A76-1-Premissas!$D$16&gt;=0,OFFSET($J$4,A76-1-Premissas!$D$16,0),0)&gt;0,ROUND(IF(A76-1-Premissas!$D$16&gt;=0,OFFSET($J$4,A76-1-Premissas!$D$16,0),0)*10000/Premissas!$D$5*Premissas!$D$15,0),0)</f>
        <v/>
      </c>
      <c r="I76">
        <f>ROUND(G76*Premissas!$D$6/10000,0)</f>
        <v/>
      </c>
      <c r="J76">
        <f>ROUND(G76*Premissas!$D$5/10000,0)</f>
        <v/>
      </c>
      <c r="K76">
        <f>IF(IF(A76-1-Premissas!$D$16&gt;=0,OFFSET($A$4,A76-1-Premissas!$D$16,0)&gt;=Premissas!$D$19,FALSE),ROUND(IF(A76-1-Premissas!$D$16&gt;=0,OFFSET($J$4,A76-1-Premissas!$D$16,0),0)*Premissas!$D$15,0),0)</f>
        <v/>
      </c>
      <c r="L76">
        <f>ROUND(C76*Premissas!$D$24/12,0)</f>
        <v/>
      </c>
      <c r="M76">
        <f>ROUND(D76*Premissas!$D$25,0)</f>
        <v/>
      </c>
      <c r="N76">
        <f>ROUND(E76*Premissas!$D$29+B76*Premissas!$D$30,0)</f>
        <v/>
      </c>
      <c r="O76">
        <f>K76+L76+M76+N76</f>
        <v/>
      </c>
      <c r="P76">
        <f>K76+ROUND(AC76*Premissas!$D$24,0)+M76+N76</f>
        <v/>
      </c>
      <c r="Q76">
        <f>ROUND(IF(A76-1-Premissas!$D$21&gt;=0,OFFSET($P$4,A76-1-Premissas!$D$21,0),0)*(1-Premissas!$D$20/100),0)</f>
        <v/>
      </c>
      <c r="R76">
        <f>ROUND(F76*Premissas!$D$11+N76*Premissas!$D$31/100,0)+ROUND((E76+B76)*Premissas!$D$10,0)+ROUND(Q76*Premissas!$D$8/100,0)+ROUND(Premissas!$D$35+(B76+C76)*Premissas!$D$36,0)</f>
        <v/>
      </c>
      <c r="S76">
        <f>O76-R76</f>
        <v/>
      </c>
      <c r="T76">
        <f>ROUND(O76*Premissas!$D$9/100,0)</f>
        <v/>
      </c>
      <c r="U76">
        <f>ROUND(AB76*Premissas!$D$33,0)</f>
        <v/>
      </c>
      <c r="V76">
        <f>Premissas!$D$37+ROUND(Premissas!$D$12*Premissas!$D$38+D76*Premissas!$D$27,0)</f>
        <v/>
      </c>
      <c r="W76">
        <f>Premissas!$D$39</f>
        <v/>
      </c>
      <c r="X76">
        <f>S76-T76-ROUND(Premissas!$D$12*Premissas!$D$38+D76*Premissas!$D$27,0)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Premissas!$D$32+(B76+C76)/Premissas!$D$34</f>
        <v/>
      </c>
      <c r="AC76">
        <f>D76+AC64*(1-Premissas!$D$26/12)^12</f>
        <v/>
      </c>
    </row>
    <row r="77">
      <c r="A77" t="n">
        <v>74</v>
      </c>
      <c r="B77">
        <f>B76*(1-Premissas!$D$18/12)+Premissas!$D$12</f>
        <v/>
      </c>
      <c r="C77">
        <f>IF($B$2=1,C76*(1-Premissas!$D$26/12)+D77,0)</f>
        <v/>
      </c>
      <c r="D77">
        <f>IF(AND($B$2=1,A77&gt;=Premissas!$D$23),Premissas!$D$22,0)</f>
        <v/>
      </c>
      <c r="E77">
        <f>B77*Premissas!$D$28</f>
        <v/>
      </c>
      <c r="F77">
        <f>B77*Premissas!$D$13/12*MIN(1,A77/Premissas!$D$17)</f>
        <v/>
      </c>
      <c r="G77">
        <f>F77*Premissas!$D$14</f>
        <v/>
      </c>
      <c r="H77">
        <f>IF(IF(A77-1-Premissas!$D$16&gt;=0,OFFSET($J$4,A77-1-Premissas!$D$16,0),0)&gt;0,ROUND(IF(A77-1-Premissas!$D$16&gt;=0,OFFSET($J$4,A77-1-Premissas!$D$16,0),0)*10000/Premissas!$D$5*Premissas!$D$15,0),0)</f>
        <v/>
      </c>
      <c r="I77">
        <f>ROUND(G77*Premissas!$D$6/10000,0)</f>
        <v/>
      </c>
      <c r="J77">
        <f>ROUND(G77*Premissas!$D$5/10000,0)</f>
        <v/>
      </c>
      <c r="K77">
        <f>IF(IF(A77-1-Premissas!$D$16&gt;=0,OFFSET($A$4,A77-1-Premissas!$D$16,0)&gt;=Premissas!$D$19,FALSE),ROUND(IF(A77-1-Premissas!$D$16&gt;=0,OFFSET($J$4,A77-1-Premissas!$D$16,0),0)*Premissas!$D$15,0),0)</f>
        <v/>
      </c>
      <c r="L77">
        <f>ROUND(C77*Premissas!$D$24/12,0)</f>
        <v/>
      </c>
      <c r="M77">
        <f>ROUND(D77*Premissas!$D$25,0)</f>
        <v/>
      </c>
      <c r="N77">
        <f>ROUND(E77*Premissas!$D$29+B77*Premissas!$D$30,0)</f>
        <v/>
      </c>
      <c r="O77">
        <f>K77+L77+M77+N77</f>
        <v/>
      </c>
      <c r="P77">
        <f>K77+ROUND(AC77*Premissas!$D$24,0)+M77+N77</f>
        <v/>
      </c>
      <c r="Q77">
        <f>ROUND(IF(A77-1-Premissas!$D$21&gt;=0,OFFSET($P$4,A77-1-Premissas!$D$21,0),0)*(1-Premissas!$D$20/100),0)</f>
        <v/>
      </c>
      <c r="R77">
        <f>ROUND(F77*Premissas!$D$11+N77*Premissas!$D$31/100,0)+ROUND((E77+B77)*Premissas!$D$10,0)+ROUND(Q77*Premissas!$D$8/100,0)+ROUND(Premissas!$D$35+(B77+C77)*Premissas!$D$36,0)</f>
        <v/>
      </c>
      <c r="S77">
        <f>O77-R77</f>
        <v/>
      </c>
      <c r="T77">
        <f>ROUND(O77*Premissas!$D$9/100,0)</f>
        <v/>
      </c>
      <c r="U77">
        <f>ROUND(AB77*Premissas!$D$33,0)</f>
        <v/>
      </c>
      <c r="V77">
        <f>Premissas!$D$37+ROUND(Premissas!$D$12*Premissas!$D$38+D77*Premissas!$D$27,0)</f>
        <v/>
      </c>
      <c r="W77">
        <f>Premissas!$D$39</f>
        <v/>
      </c>
      <c r="X77">
        <f>S77-T77-ROUND(Premissas!$D$12*Premissas!$D$38+D77*Premissas!$D$27,0)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Premissas!$D$32+(B77+C77)/Premissas!$D$34</f>
        <v/>
      </c>
      <c r="AC77">
        <f>D77+AC65*(1-Premissas!$D$26/12)^12</f>
        <v/>
      </c>
    </row>
    <row r="78">
      <c r="A78" t="n">
        <v>75</v>
      </c>
      <c r="B78">
        <f>B77*(1-Premissas!$D$18/12)+Premissas!$D$12</f>
        <v/>
      </c>
      <c r="C78">
        <f>IF($B$2=1,C77*(1-Premissas!$D$26/12)+D78,0)</f>
        <v/>
      </c>
      <c r="D78">
        <f>IF(AND($B$2=1,A78&gt;=Premissas!$D$23),Premissas!$D$22,0)</f>
        <v/>
      </c>
      <c r="E78">
        <f>B78*Premissas!$D$28</f>
        <v/>
      </c>
      <c r="F78">
        <f>B78*Premissas!$D$13/12*MIN(1,A78/Premissas!$D$17)</f>
        <v/>
      </c>
      <c r="G78">
        <f>F78*Premissas!$D$14</f>
        <v/>
      </c>
      <c r="H78">
        <f>IF(IF(A78-1-Premissas!$D$16&gt;=0,OFFSET($J$4,A78-1-Premissas!$D$16,0),0)&gt;0,ROUND(IF(A78-1-Premissas!$D$16&gt;=0,OFFSET($J$4,A78-1-Premissas!$D$16,0),0)*10000/Premissas!$D$5*Premissas!$D$15,0),0)</f>
        <v/>
      </c>
      <c r="I78">
        <f>ROUND(G78*Premissas!$D$6/10000,0)</f>
        <v/>
      </c>
      <c r="J78">
        <f>ROUND(G78*Premissas!$D$5/10000,0)</f>
        <v/>
      </c>
      <c r="K78">
        <f>IF(IF(A78-1-Premissas!$D$16&gt;=0,OFFSET($A$4,A78-1-Premissas!$D$16,0)&gt;=Premissas!$D$19,FALSE),ROUND(IF(A78-1-Premissas!$D$16&gt;=0,OFFSET($J$4,A78-1-Premissas!$D$16,0),0)*Premissas!$D$15,0),0)</f>
        <v/>
      </c>
      <c r="L78">
        <f>ROUND(C78*Premissas!$D$24/12,0)</f>
        <v/>
      </c>
      <c r="M78">
        <f>ROUND(D78*Premissas!$D$25,0)</f>
        <v/>
      </c>
      <c r="N78">
        <f>ROUND(E78*Premissas!$D$29+B78*Premissas!$D$30,0)</f>
        <v/>
      </c>
      <c r="O78">
        <f>K78+L78+M78+N78</f>
        <v/>
      </c>
      <c r="P78">
        <f>K78+ROUND(AC78*Premissas!$D$24,0)+M78+N78</f>
        <v/>
      </c>
      <c r="Q78">
        <f>ROUND(IF(A78-1-Premissas!$D$21&gt;=0,OFFSET($P$4,A78-1-Premissas!$D$21,0),0)*(1-Premissas!$D$20/100),0)</f>
        <v/>
      </c>
      <c r="R78">
        <f>ROUND(F78*Premissas!$D$11+N78*Premissas!$D$31/100,0)+ROUND((E78+B78)*Premissas!$D$10,0)+ROUND(Q78*Premissas!$D$8/100,0)+ROUND(Premissas!$D$35+(B78+C78)*Premissas!$D$36,0)</f>
        <v/>
      </c>
      <c r="S78">
        <f>O78-R78</f>
        <v/>
      </c>
      <c r="T78">
        <f>ROUND(O78*Premissas!$D$9/100,0)</f>
        <v/>
      </c>
      <c r="U78">
        <f>ROUND(AB78*Premissas!$D$33,0)</f>
        <v/>
      </c>
      <c r="V78">
        <f>Premissas!$D$37+ROUND(Premissas!$D$12*Premissas!$D$38+D78*Premissas!$D$27,0)</f>
        <v/>
      </c>
      <c r="W78">
        <f>Premissas!$D$39</f>
        <v/>
      </c>
      <c r="X78">
        <f>S78-T78-ROUND(Premissas!$D$12*Premissas!$D$38+D78*Premissas!$D$27,0)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Premissas!$D$32+(B78+C78)/Premissas!$D$34</f>
        <v/>
      </c>
      <c r="AC78">
        <f>D78+AC66*(1-Premissas!$D$26/12)^12</f>
        <v/>
      </c>
    </row>
    <row r="79">
      <c r="A79" t="n">
        <v>76</v>
      </c>
      <c r="B79">
        <f>B78*(1-Premissas!$D$18/12)+Premissas!$D$12</f>
        <v/>
      </c>
      <c r="C79">
        <f>IF($B$2=1,C78*(1-Premissas!$D$26/12)+D79,0)</f>
        <v/>
      </c>
      <c r="D79">
        <f>IF(AND($B$2=1,A79&gt;=Premissas!$D$23),Premissas!$D$22,0)</f>
        <v/>
      </c>
      <c r="E79">
        <f>B79*Premissas!$D$28</f>
        <v/>
      </c>
      <c r="F79">
        <f>B79*Premissas!$D$13/12*MIN(1,A79/Premissas!$D$17)</f>
        <v/>
      </c>
      <c r="G79">
        <f>F79*Premissas!$D$14</f>
        <v/>
      </c>
      <c r="H79">
        <f>IF(IF(A79-1-Premissas!$D$16&gt;=0,OFFSET($J$4,A79-1-Premissas!$D$16,0),0)&gt;0,ROUND(IF(A79-1-Premissas!$D$16&gt;=0,OFFSET($J$4,A79-1-Premissas!$D$16,0),0)*10000/Premissas!$D$5*Premissas!$D$15,0),0)</f>
        <v/>
      </c>
      <c r="I79">
        <f>ROUND(G79*Premissas!$D$6/10000,0)</f>
        <v/>
      </c>
      <c r="J79">
        <f>ROUND(G79*Premissas!$D$5/10000,0)</f>
        <v/>
      </c>
      <c r="K79">
        <f>IF(IF(A79-1-Premissas!$D$16&gt;=0,OFFSET($A$4,A79-1-Premissas!$D$16,0)&gt;=Premissas!$D$19,FALSE),ROUND(IF(A79-1-Premissas!$D$16&gt;=0,OFFSET($J$4,A79-1-Premissas!$D$16,0),0)*Premissas!$D$15,0),0)</f>
        <v/>
      </c>
      <c r="L79">
        <f>ROUND(C79*Premissas!$D$24/12,0)</f>
        <v/>
      </c>
      <c r="M79">
        <f>ROUND(D79*Premissas!$D$25,0)</f>
        <v/>
      </c>
      <c r="N79">
        <f>ROUND(E79*Premissas!$D$29+B79*Premissas!$D$30,0)</f>
        <v/>
      </c>
      <c r="O79">
        <f>K79+L79+M79+N79</f>
        <v/>
      </c>
      <c r="P79">
        <f>K79+ROUND(AC79*Premissas!$D$24,0)+M79+N79</f>
        <v/>
      </c>
      <c r="Q79">
        <f>ROUND(IF(A79-1-Premissas!$D$21&gt;=0,OFFSET($P$4,A79-1-Premissas!$D$21,0),0)*(1-Premissas!$D$20/100),0)</f>
        <v/>
      </c>
      <c r="R79">
        <f>ROUND(F79*Premissas!$D$11+N79*Premissas!$D$31/100,0)+ROUND((E79+B79)*Premissas!$D$10,0)+ROUND(Q79*Premissas!$D$8/100,0)+ROUND(Premissas!$D$35+(B79+C79)*Premissas!$D$36,0)</f>
        <v/>
      </c>
      <c r="S79">
        <f>O79-R79</f>
        <v/>
      </c>
      <c r="T79">
        <f>ROUND(O79*Premissas!$D$9/100,0)</f>
        <v/>
      </c>
      <c r="U79">
        <f>ROUND(AB79*Premissas!$D$33,0)</f>
        <v/>
      </c>
      <c r="V79">
        <f>Premissas!$D$37+ROUND(Premissas!$D$12*Premissas!$D$38+D79*Premissas!$D$27,0)</f>
        <v/>
      </c>
      <c r="W79">
        <f>Premissas!$D$39</f>
        <v/>
      </c>
      <c r="X79">
        <f>S79-T79-ROUND(Premissas!$D$12*Premissas!$D$38+D79*Premissas!$D$27,0)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Premissas!$D$32+(B79+C79)/Premissas!$D$34</f>
        <v/>
      </c>
      <c r="AC79">
        <f>D79+AC67*(1-Premissas!$D$26/12)^12</f>
        <v/>
      </c>
    </row>
    <row r="80">
      <c r="A80" t="n">
        <v>77</v>
      </c>
      <c r="B80">
        <f>B79*(1-Premissas!$D$18/12)+Premissas!$D$12</f>
        <v/>
      </c>
      <c r="C80">
        <f>IF($B$2=1,C79*(1-Premissas!$D$26/12)+D80,0)</f>
        <v/>
      </c>
      <c r="D80">
        <f>IF(AND($B$2=1,A80&gt;=Premissas!$D$23),Premissas!$D$22,0)</f>
        <v/>
      </c>
      <c r="E80">
        <f>B80*Premissas!$D$28</f>
        <v/>
      </c>
      <c r="F80">
        <f>B80*Premissas!$D$13/12*MIN(1,A80/Premissas!$D$17)</f>
        <v/>
      </c>
      <c r="G80">
        <f>F80*Premissas!$D$14</f>
        <v/>
      </c>
      <c r="H80">
        <f>IF(IF(A80-1-Premissas!$D$16&gt;=0,OFFSET($J$4,A80-1-Premissas!$D$16,0),0)&gt;0,ROUND(IF(A80-1-Premissas!$D$16&gt;=0,OFFSET($J$4,A80-1-Premissas!$D$16,0),0)*10000/Premissas!$D$5*Premissas!$D$15,0),0)</f>
        <v/>
      </c>
      <c r="I80">
        <f>ROUND(G80*Premissas!$D$6/10000,0)</f>
        <v/>
      </c>
      <c r="J80">
        <f>ROUND(G80*Premissas!$D$5/10000,0)</f>
        <v/>
      </c>
      <c r="K80">
        <f>IF(IF(A80-1-Premissas!$D$16&gt;=0,OFFSET($A$4,A80-1-Premissas!$D$16,0)&gt;=Premissas!$D$19,FALSE),ROUND(IF(A80-1-Premissas!$D$16&gt;=0,OFFSET($J$4,A80-1-Premissas!$D$16,0),0)*Premissas!$D$15,0),0)</f>
        <v/>
      </c>
      <c r="L80">
        <f>ROUND(C80*Premissas!$D$24/12,0)</f>
        <v/>
      </c>
      <c r="M80">
        <f>ROUND(D80*Premissas!$D$25,0)</f>
        <v/>
      </c>
      <c r="N80">
        <f>ROUND(E80*Premissas!$D$29+B80*Premissas!$D$30,0)</f>
        <v/>
      </c>
      <c r="O80">
        <f>K80+L80+M80+N80</f>
        <v/>
      </c>
      <c r="P80">
        <f>K80+ROUND(AC80*Premissas!$D$24,0)+M80+N80</f>
        <v/>
      </c>
      <c r="Q80">
        <f>ROUND(IF(A80-1-Premissas!$D$21&gt;=0,OFFSET($P$4,A80-1-Premissas!$D$21,0),0)*(1-Premissas!$D$20/100),0)</f>
        <v/>
      </c>
      <c r="R80">
        <f>ROUND(F80*Premissas!$D$11+N80*Premissas!$D$31/100,0)+ROUND((E80+B80)*Premissas!$D$10,0)+ROUND(Q80*Premissas!$D$8/100,0)+ROUND(Premissas!$D$35+(B80+C80)*Premissas!$D$36,0)</f>
        <v/>
      </c>
      <c r="S80">
        <f>O80-R80</f>
        <v/>
      </c>
      <c r="T80">
        <f>ROUND(O80*Premissas!$D$9/100,0)</f>
        <v/>
      </c>
      <c r="U80">
        <f>ROUND(AB80*Premissas!$D$33,0)</f>
        <v/>
      </c>
      <c r="V80">
        <f>Premissas!$D$37+ROUND(Premissas!$D$12*Premissas!$D$38+D80*Premissas!$D$27,0)</f>
        <v/>
      </c>
      <c r="W80">
        <f>Premissas!$D$39</f>
        <v/>
      </c>
      <c r="X80">
        <f>S80-T80-ROUND(Premissas!$D$12*Premissas!$D$38+D80*Premissas!$D$27,0)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Premissas!$D$32+(B80+C80)/Premissas!$D$34</f>
        <v/>
      </c>
      <c r="AC80">
        <f>D80+AC68*(1-Premissas!$D$26/12)^12</f>
        <v/>
      </c>
    </row>
    <row r="81">
      <c r="A81" t="n">
        <v>78</v>
      </c>
      <c r="B81">
        <f>B80*(1-Premissas!$D$18/12)+Premissas!$D$12</f>
        <v/>
      </c>
      <c r="C81">
        <f>IF($B$2=1,C80*(1-Premissas!$D$26/12)+D81,0)</f>
        <v/>
      </c>
      <c r="D81">
        <f>IF(AND($B$2=1,A81&gt;=Premissas!$D$23),Premissas!$D$22,0)</f>
        <v/>
      </c>
      <c r="E81">
        <f>B81*Premissas!$D$28</f>
        <v/>
      </c>
      <c r="F81">
        <f>B81*Premissas!$D$13/12*MIN(1,A81/Premissas!$D$17)</f>
        <v/>
      </c>
      <c r="G81">
        <f>F81*Premissas!$D$14</f>
        <v/>
      </c>
      <c r="H81">
        <f>IF(IF(A81-1-Premissas!$D$16&gt;=0,OFFSET($J$4,A81-1-Premissas!$D$16,0),0)&gt;0,ROUND(IF(A81-1-Premissas!$D$16&gt;=0,OFFSET($J$4,A81-1-Premissas!$D$16,0),0)*10000/Premissas!$D$5*Premissas!$D$15,0),0)</f>
        <v/>
      </c>
      <c r="I81">
        <f>ROUND(G81*Premissas!$D$6/10000,0)</f>
        <v/>
      </c>
      <c r="J81">
        <f>ROUND(G81*Premissas!$D$5/10000,0)</f>
        <v/>
      </c>
      <c r="K81">
        <f>IF(IF(A81-1-Premissas!$D$16&gt;=0,OFFSET($A$4,A81-1-Premissas!$D$16,0)&gt;=Premissas!$D$19,FALSE),ROUND(IF(A81-1-Premissas!$D$16&gt;=0,OFFSET($J$4,A81-1-Premissas!$D$16,0),0)*Premissas!$D$15,0),0)</f>
        <v/>
      </c>
      <c r="L81">
        <f>ROUND(C81*Premissas!$D$24/12,0)</f>
        <v/>
      </c>
      <c r="M81">
        <f>ROUND(D81*Premissas!$D$25,0)</f>
        <v/>
      </c>
      <c r="N81">
        <f>ROUND(E81*Premissas!$D$29+B81*Premissas!$D$30,0)</f>
        <v/>
      </c>
      <c r="O81">
        <f>K81+L81+M81+N81</f>
        <v/>
      </c>
      <c r="P81">
        <f>K81+ROUND(AC81*Premissas!$D$24,0)+M81+N81</f>
        <v/>
      </c>
      <c r="Q81">
        <f>ROUND(IF(A81-1-Premissas!$D$21&gt;=0,OFFSET($P$4,A81-1-Premissas!$D$21,0),0)*(1-Premissas!$D$20/100),0)</f>
        <v/>
      </c>
      <c r="R81">
        <f>ROUND(F81*Premissas!$D$11+N81*Premissas!$D$31/100,0)+ROUND((E81+B81)*Premissas!$D$10,0)+ROUND(Q81*Premissas!$D$8/100,0)+ROUND(Premissas!$D$35+(B81+C81)*Premissas!$D$36,0)</f>
        <v/>
      </c>
      <c r="S81">
        <f>O81-R81</f>
        <v/>
      </c>
      <c r="T81">
        <f>ROUND(O81*Premissas!$D$9/100,0)</f>
        <v/>
      </c>
      <c r="U81">
        <f>ROUND(AB81*Premissas!$D$33,0)</f>
        <v/>
      </c>
      <c r="V81">
        <f>Premissas!$D$37+ROUND(Premissas!$D$12*Premissas!$D$38+D81*Premissas!$D$27,0)</f>
        <v/>
      </c>
      <c r="W81">
        <f>Premissas!$D$39</f>
        <v/>
      </c>
      <c r="X81">
        <f>S81-T81-ROUND(Premissas!$D$12*Premissas!$D$38+D81*Premissas!$D$27,0)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Premissas!$D$32+(B81+C81)/Premissas!$D$34</f>
        <v/>
      </c>
      <c r="AC81">
        <f>D81+AC69*(1-Premissas!$D$26/12)^12</f>
        <v/>
      </c>
    </row>
    <row r="82">
      <c r="A82" t="n">
        <v>79</v>
      </c>
      <c r="B82">
        <f>B81*(1-Premissas!$D$18/12)+Premissas!$D$12</f>
        <v/>
      </c>
      <c r="C82">
        <f>IF($B$2=1,C81*(1-Premissas!$D$26/12)+D82,0)</f>
        <v/>
      </c>
      <c r="D82">
        <f>IF(AND($B$2=1,A82&gt;=Premissas!$D$23),Premissas!$D$22,0)</f>
        <v/>
      </c>
      <c r="E82">
        <f>B82*Premissas!$D$28</f>
        <v/>
      </c>
      <c r="F82">
        <f>B82*Premissas!$D$13/12*MIN(1,A82/Premissas!$D$17)</f>
        <v/>
      </c>
      <c r="G82">
        <f>F82*Premissas!$D$14</f>
        <v/>
      </c>
      <c r="H82">
        <f>IF(IF(A82-1-Premissas!$D$16&gt;=0,OFFSET($J$4,A82-1-Premissas!$D$16,0),0)&gt;0,ROUND(IF(A82-1-Premissas!$D$16&gt;=0,OFFSET($J$4,A82-1-Premissas!$D$16,0),0)*10000/Premissas!$D$5*Premissas!$D$15,0),0)</f>
        <v/>
      </c>
      <c r="I82">
        <f>ROUND(G82*Premissas!$D$6/10000,0)</f>
        <v/>
      </c>
      <c r="J82">
        <f>ROUND(G82*Premissas!$D$5/10000,0)</f>
        <v/>
      </c>
      <c r="K82">
        <f>IF(IF(A82-1-Premissas!$D$16&gt;=0,OFFSET($A$4,A82-1-Premissas!$D$16,0)&gt;=Premissas!$D$19,FALSE),ROUND(IF(A82-1-Premissas!$D$16&gt;=0,OFFSET($J$4,A82-1-Premissas!$D$16,0),0)*Premissas!$D$15,0),0)</f>
        <v/>
      </c>
      <c r="L82">
        <f>ROUND(C82*Premissas!$D$24/12,0)</f>
        <v/>
      </c>
      <c r="M82">
        <f>ROUND(D82*Premissas!$D$25,0)</f>
        <v/>
      </c>
      <c r="N82">
        <f>ROUND(E82*Premissas!$D$29+B82*Premissas!$D$30,0)</f>
        <v/>
      </c>
      <c r="O82">
        <f>K82+L82+M82+N82</f>
        <v/>
      </c>
      <c r="P82">
        <f>K82+ROUND(AC82*Premissas!$D$24,0)+M82+N82</f>
        <v/>
      </c>
      <c r="Q82">
        <f>ROUND(IF(A82-1-Premissas!$D$21&gt;=0,OFFSET($P$4,A82-1-Premissas!$D$21,0),0)*(1-Premissas!$D$20/100),0)</f>
        <v/>
      </c>
      <c r="R82">
        <f>ROUND(F82*Premissas!$D$11+N82*Premissas!$D$31/100,0)+ROUND((E82+B82)*Premissas!$D$10,0)+ROUND(Q82*Premissas!$D$8/100,0)+ROUND(Premissas!$D$35+(B82+C82)*Premissas!$D$36,0)</f>
        <v/>
      </c>
      <c r="S82">
        <f>O82-R82</f>
        <v/>
      </c>
      <c r="T82">
        <f>ROUND(O82*Premissas!$D$9/100,0)</f>
        <v/>
      </c>
      <c r="U82">
        <f>ROUND(AB82*Premissas!$D$33,0)</f>
        <v/>
      </c>
      <c r="V82">
        <f>Premissas!$D$37+ROUND(Premissas!$D$12*Premissas!$D$38+D82*Premissas!$D$27,0)</f>
        <v/>
      </c>
      <c r="W82">
        <f>Premissas!$D$39</f>
        <v/>
      </c>
      <c r="X82">
        <f>S82-T82-ROUND(Premissas!$D$12*Premissas!$D$38+D82*Premissas!$D$27,0)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Premissas!$D$32+(B82+C82)/Premissas!$D$34</f>
        <v/>
      </c>
      <c r="AC82">
        <f>D82+AC70*(1-Premissas!$D$26/12)^12</f>
        <v/>
      </c>
    </row>
    <row r="83">
      <c r="A83" t="n">
        <v>80</v>
      </c>
      <c r="B83">
        <f>B82*(1-Premissas!$D$18/12)+Premissas!$D$12</f>
        <v/>
      </c>
      <c r="C83">
        <f>IF($B$2=1,C82*(1-Premissas!$D$26/12)+D83,0)</f>
        <v/>
      </c>
      <c r="D83">
        <f>IF(AND($B$2=1,A83&gt;=Premissas!$D$23),Premissas!$D$22,0)</f>
        <v/>
      </c>
      <c r="E83">
        <f>B83*Premissas!$D$28</f>
        <v/>
      </c>
      <c r="F83">
        <f>B83*Premissas!$D$13/12*MIN(1,A83/Premissas!$D$17)</f>
        <v/>
      </c>
      <c r="G83">
        <f>F83*Premissas!$D$14</f>
        <v/>
      </c>
      <c r="H83">
        <f>IF(IF(A83-1-Premissas!$D$16&gt;=0,OFFSET($J$4,A83-1-Premissas!$D$16,0),0)&gt;0,ROUND(IF(A83-1-Premissas!$D$16&gt;=0,OFFSET($J$4,A83-1-Premissas!$D$16,0),0)*10000/Premissas!$D$5*Premissas!$D$15,0),0)</f>
        <v/>
      </c>
      <c r="I83">
        <f>ROUND(G83*Premissas!$D$6/10000,0)</f>
        <v/>
      </c>
      <c r="J83">
        <f>ROUND(G83*Premissas!$D$5/10000,0)</f>
        <v/>
      </c>
      <c r="K83">
        <f>IF(IF(A83-1-Premissas!$D$16&gt;=0,OFFSET($A$4,A83-1-Premissas!$D$16,0)&gt;=Premissas!$D$19,FALSE),ROUND(IF(A83-1-Premissas!$D$16&gt;=0,OFFSET($J$4,A83-1-Premissas!$D$16,0),0)*Premissas!$D$15,0),0)</f>
        <v/>
      </c>
      <c r="L83">
        <f>ROUND(C83*Premissas!$D$24/12,0)</f>
        <v/>
      </c>
      <c r="M83">
        <f>ROUND(D83*Premissas!$D$25,0)</f>
        <v/>
      </c>
      <c r="N83">
        <f>ROUND(E83*Premissas!$D$29+B83*Premissas!$D$30,0)</f>
        <v/>
      </c>
      <c r="O83">
        <f>K83+L83+M83+N83</f>
        <v/>
      </c>
      <c r="P83">
        <f>K83+ROUND(AC83*Premissas!$D$24,0)+M83+N83</f>
        <v/>
      </c>
      <c r="Q83">
        <f>ROUND(IF(A83-1-Premissas!$D$21&gt;=0,OFFSET($P$4,A83-1-Premissas!$D$21,0),0)*(1-Premissas!$D$20/100),0)</f>
        <v/>
      </c>
      <c r="R83">
        <f>ROUND(F83*Premissas!$D$11+N83*Premissas!$D$31/100,0)+ROUND((E83+B83)*Premissas!$D$10,0)+ROUND(Q83*Premissas!$D$8/100,0)+ROUND(Premissas!$D$35+(B83+C83)*Premissas!$D$36,0)</f>
        <v/>
      </c>
      <c r="S83">
        <f>O83-R83</f>
        <v/>
      </c>
      <c r="T83">
        <f>ROUND(O83*Premissas!$D$9/100,0)</f>
        <v/>
      </c>
      <c r="U83">
        <f>ROUND(AB83*Premissas!$D$33,0)</f>
        <v/>
      </c>
      <c r="V83">
        <f>Premissas!$D$37+ROUND(Premissas!$D$12*Premissas!$D$38+D83*Premissas!$D$27,0)</f>
        <v/>
      </c>
      <c r="W83">
        <f>Premissas!$D$39</f>
        <v/>
      </c>
      <c r="X83">
        <f>S83-T83-ROUND(Premissas!$D$12*Premissas!$D$38+D83*Premissas!$D$27,0)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Premissas!$D$32+(B83+C83)/Premissas!$D$34</f>
        <v/>
      </c>
      <c r="AC83">
        <f>D83+AC71*(1-Premissas!$D$26/12)^12</f>
        <v/>
      </c>
    </row>
    <row r="84">
      <c r="A84" t="n">
        <v>81</v>
      </c>
      <c r="B84">
        <f>B83*(1-Premissas!$D$18/12)+Premissas!$D$12</f>
        <v/>
      </c>
      <c r="C84">
        <f>IF($B$2=1,C83*(1-Premissas!$D$26/12)+D84,0)</f>
        <v/>
      </c>
      <c r="D84">
        <f>IF(AND($B$2=1,A84&gt;=Premissas!$D$23),Premissas!$D$22,0)</f>
        <v/>
      </c>
      <c r="E84">
        <f>B84*Premissas!$D$28</f>
        <v/>
      </c>
      <c r="F84">
        <f>B84*Premissas!$D$13/12*MIN(1,A84/Premissas!$D$17)</f>
        <v/>
      </c>
      <c r="G84">
        <f>F84*Premissas!$D$14</f>
        <v/>
      </c>
      <c r="H84">
        <f>IF(IF(A84-1-Premissas!$D$16&gt;=0,OFFSET($J$4,A84-1-Premissas!$D$16,0),0)&gt;0,ROUND(IF(A84-1-Premissas!$D$16&gt;=0,OFFSET($J$4,A84-1-Premissas!$D$16,0),0)*10000/Premissas!$D$5*Premissas!$D$15,0),0)</f>
        <v/>
      </c>
      <c r="I84">
        <f>ROUND(G84*Premissas!$D$6/10000,0)</f>
        <v/>
      </c>
      <c r="J84">
        <f>ROUND(G84*Premissas!$D$5/10000,0)</f>
        <v/>
      </c>
      <c r="K84">
        <f>IF(IF(A84-1-Premissas!$D$16&gt;=0,OFFSET($A$4,A84-1-Premissas!$D$16,0)&gt;=Premissas!$D$19,FALSE),ROUND(IF(A84-1-Premissas!$D$16&gt;=0,OFFSET($J$4,A84-1-Premissas!$D$16,0),0)*Premissas!$D$15,0),0)</f>
        <v/>
      </c>
      <c r="L84">
        <f>ROUND(C84*Premissas!$D$24/12,0)</f>
        <v/>
      </c>
      <c r="M84">
        <f>ROUND(D84*Premissas!$D$25,0)</f>
        <v/>
      </c>
      <c r="N84">
        <f>ROUND(E84*Premissas!$D$29+B84*Premissas!$D$30,0)</f>
        <v/>
      </c>
      <c r="O84">
        <f>K84+L84+M84+N84</f>
        <v/>
      </c>
      <c r="P84">
        <f>K84+ROUND(AC84*Premissas!$D$24,0)+M84+N84</f>
        <v/>
      </c>
      <c r="Q84">
        <f>ROUND(IF(A84-1-Premissas!$D$21&gt;=0,OFFSET($P$4,A84-1-Premissas!$D$21,0),0)*(1-Premissas!$D$20/100),0)</f>
        <v/>
      </c>
      <c r="R84">
        <f>ROUND(F84*Premissas!$D$11+N84*Premissas!$D$31/100,0)+ROUND((E84+B84)*Premissas!$D$10,0)+ROUND(Q84*Premissas!$D$8/100,0)+ROUND(Premissas!$D$35+(B84+C84)*Premissas!$D$36,0)</f>
        <v/>
      </c>
      <c r="S84">
        <f>O84-R84</f>
        <v/>
      </c>
      <c r="T84">
        <f>ROUND(O84*Premissas!$D$9/100,0)</f>
        <v/>
      </c>
      <c r="U84">
        <f>ROUND(AB84*Premissas!$D$33,0)</f>
        <v/>
      </c>
      <c r="V84">
        <f>Premissas!$D$37+ROUND(Premissas!$D$12*Premissas!$D$38+D84*Premissas!$D$27,0)</f>
        <v/>
      </c>
      <c r="W84">
        <f>Premissas!$D$39</f>
        <v/>
      </c>
      <c r="X84">
        <f>S84-T84-ROUND(Premissas!$D$12*Premissas!$D$38+D84*Premissas!$D$27,0)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Premissas!$D$32+(B84+C84)/Premissas!$D$34</f>
        <v/>
      </c>
      <c r="AC84">
        <f>D84+AC72*(1-Premissas!$D$26/12)^12</f>
        <v/>
      </c>
    </row>
    <row r="85">
      <c r="A85" t="n">
        <v>82</v>
      </c>
      <c r="B85">
        <f>B84*(1-Premissas!$D$18/12)+Premissas!$D$12</f>
        <v/>
      </c>
      <c r="C85">
        <f>IF($B$2=1,C84*(1-Premissas!$D$26/12)+D85,0)</f>
        <v/>
      </c>
      <c r="D85">
        <f>IF(AND($B$2=1,A85&gt;=Premissas!$D$23),Premissas!$D$22,0)</f>
        <v/>
      </c>
      <c r="E85">
        <f>B85*Premissas!$D$28</f>
        <v/>
      </c>
      <c r="F85">
        <f>B85*Premissas!$D$13/12*MIN(1,A85/Premissas!$D$17)</f>
        <v/>
      </c>
      <c r="G85">
        <f>F85*Premissas!$D$14</f>
        <v/>
      </c>
      <c r="H85">
        <f>IF(IF(A85-1-Premissas!$D$16&gt;=0,OFFSET($J$4,A85-1-Premissas!$D$16,0),0)&gt;0,ROUND(IF(A85-1-Premissas!$D$16&gt;=0,OFFSET($J$4,A85-1-Premissas!$D$16,0),0)*10000/Premissas!$D$5*Premissas!$D$15,0),0)</f>
        <v/>
      </c>
      <c r="I85">
        <f>ROUND(G85*Premissas!$D$6/10000,0)</f>
        <v/>
      </c>
      <c r="J85">
        <f>ROUND(G85*Premissas!$D$5/10000,0)</f>
        <v/>
      </c>
      <c r="K85">
        <f>IF(IF(A85-1-Premissas!$D$16&gt;=0,OFFSET($A$4,A85-1-Premissas!$D$16,0)&gt;=Premissas!$D$19,FALSE),ROUND(IF(A85-1-Premissas!$D$16&gt;=0,OFFSET($J$4,A85-1-Premissas!$D$16,0),0)*Premissas!$D$15,0),0)</f>
        <v/>
      </c>
      <c r="L85">
        <f>ROUND(C85*Premissas!$D$24/12,0)</f>
        <v/>
      </c>
      <c r="M85">
        <f>ROUND(D85*Premissas!$D$25,0)</f>
        <v/>
      </c>
      <c r="N85">
        <f>ROUND(E85*Premissas!$D$29+B85*Premissas!$D$30,0)</f>
        <v/>
      </c>
      <c r="O85">
        <f>K85+L85+M85+N85</f>
        <v/>
      </c>
      <c r="P85">
        <f>K85+ROUND(AC85*Premissas!$D$24,0)+M85+N85</f>
        <v/>
      </c>
      <c r="Q85">
        <f>ROUND(IF(A85-1-Premissas!$D$21&gt;=0,OFFSET($P$4,A85-1-Premissas!$D$21,0),0)*(1-Premissas!$D$20/100),0)</f>
        <v/>
      </c>
      <c r="R85">
        <f>ROUND(F85*Premissas!$D$11+N85*Premissas!$D$31/100,0)+ROUND((E85+B85)*Premissas!$D$10,0)+ROUND(Q85*Premissas!$D$8/100,0)+ROUND(Premissas!$D$35+(B85+C85)*Premissas!$D$36,0)</f>
        <v/>
      </c>
      <c r="S85">
        <f>O85-R85</f>
        <v/>
      </c>
      <c r="T85">
        <f>ROUND(O85*Premissas!$D$9/100,0)</f>
        <v/>
      </c>
      <c r="U85">
        <f>ROUND(AB85*Premissas!$D$33,0)</f>
        <v/>
      </c>
      <c r="V85">
        <f>Premissas!$D$37+ROUND(Premissas!$D$12*Premissas!$D$38+D85*Premissas!$D$27,0)</f>
        <v/>
      </c>
      <c r="W85">
        <f>Premissas!$D$39</f>
        <v/>
      </c>
      <c r="X85">
        <f>S85-T85-ROUND(Premissas!$D$12*Premissas!$D$38+D85*Premissas!$D$27,0)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Premissas!$D$32+(B85+C85)/Premissas!$D$34</f>
        <v/>
      </c>
      <c r="AC85">
        <f>D85+AC73*(1-Premissas!$D$26/12)^12</f>
        <v/>
      </c>
    </row>
    <row r="86">
      <c r="A86" t="n">
        <v>83</v>
      </c>
      <c r="B86">
        <f>B85*(1-Premissas!$D$18/12)+Premissas!$D$12</f>
        <v/>
      </c>
      <c r="C86">
        <f>IF($B$2=1,C85*(1-Premissas!$D$26/12)+D86,0)</f>
        <v/>
      </c>
      <c r="D86">
        <f>IF(AND($B$2=1,A86&gt;=Premissas!$D$23),Premissas!$D$22,0)</f>
        <v/>
      </c>
      <c r="E86">
        <f>B86*Premissas!$D$28</f>
        <v/>
      </c>
      <c r="F86">
        <f>B86*Premissas!$D$13/12*MIN(1,A86/Premissas!$D$17)</f>
        <v/>
      </c>
      <c r="G86">
        <f>F86*Premissas!$D$14</f>
        <v/>
      </c>
      <c r="H86">
        <f>IF(IF(A86-1-Premissas!$D$16&gt;=0,OFFSET($J$4,A86-1-Premissas!$D$16,0),0)&gt;0,ROUND(IF(A86-1-Premissas!$D$16&gt;=0,OFFSET($J$4,A86-1-Premissas!$D$16,0),0)*10000/Premissas!$D$5*Premissas!$D$15,0),0)</f>
        <v/>
      </c>
      <c r="I86">
        <f>ROUND(G86*Premissas!$D$6/10000,0)</f>
        <v/>
      </c>
      <c r="J86">
        <f>ROUND(G86*Premissas!$D$5/10000,0)</f>
        <v/>
      </c>
      <c r="K86">
        <f>IF(IF(A86-1-Premissas!$D$16&gt;=0,OFFSET($A$4,A86-1-Premissas!$D$16,0)&gt;=Premissas!$D$19,FALSE),ROUND(IF(A86-1-Premissas!$D$16&gt;=0,OFFSET($J$4,A86-1-Premissas!$D$16,0),0)*Premissas!$D$15,0),0)</f>
        <v/>
      </c>
      <c r="L86">
        <f>ROUND(C86*Premissas!$D$24/12,0)</f>
        <v/>
      </c>
      <c r="M86">
        <f>ROUND(D86*Premissas!$D$25,0)</f>
        <v/>
      </c>
      <c r="N86">
        <f>ROUND(E86*Premissas!$D$29+B86*Premissas!$D$30,0)</f>
        <v/>
      </c>
      <c r="O86">
        <f>K86+L86+M86+N86</f>
        <v/>
      </c>
      <c r="P86">
        <f>K86+ROUND(AC86*Premissas!$D$24,0)+M86+N86</f>
        <v/>
      </c>
      <c r="Q86">
        <f>ROUND(IF(A86-1-Premissas!$D$21&gt;=0,OFFSET($P$4,A86-1-Premissas!$D$21,0),0)*(1-Premissas!$D$20/100),0)</f>
        <v/>
      </c>
      <c r="R86">
        <f>ROUND(F86*Premissas!$D$11+N86*Premissas!$D$31/100,0)+ROUND((E86+B86)*Premissas!$D$10,0)+ROUND(Q86*Premissas!$D$8/100,0)+ROUND(Premissas!$D$35+(B86+C86)*Premissas!$D$36,0)</f>
        <v/>
      </c>
      <c r="S86">
        <f>O86-R86</f>
        <v/>
      </c>
      <c r="T86">
        <f>ROUND(O86*Premissas!$D$9/100,0)</f>
        <v/>
      </c>
      <c r="U86">
        <f>ROUND(AB86*Premissas!$D$33,0)</f>
        <v/>
      </c>
      <c r="V86">
        <f>Premissas!$D$37+ROUND(Premissas!$D$12*Premissas!$D$38+D86*Premissas!$D$27,0)</f>
        <v/>
      </c>
      <c r="W86">
        <f>Premissas!$D$39</f>
        <v/>
      </c>
      <c r="X86">
        <f>S86-T86-ROUND(Premissas!$D$12*Premissas!$D$38+D86*Premissas!$D$27,0)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Premissas!$D$32+(B86+C86)/Premissas!$D$34</f>
        <v/>
      </c>
      <c r="AC86">
        <f>D86+AC74*(1-Premissas!$D$26/12)^12</f>
        <v/>
      </c>
    </row>
    <row r="87">
      <c r="A87" t="n">
        <v>84</v>
      </c>
      <c r="B87">
        <f>B86*(1-Premissas!$D$18/12)+Premissas!$D$12</f>
        <v/>
      </c>
      <c r="C87">
        <f>IF($B$2=1,C86*(1-Premissas!$D$26/12)+D87,0)</f>
        <v/>
      </c>
      <c r="D87">
        <f>IF(AND($B$2=1,A87&gt;=Premissas!$D$23),Premissas!$D$22,0)</f>
        <v/>
      </c>
      <c r="E87">
        <f>B87*Premissas!$D$28</f>
        <v/>
      </c>
      <c r="F87">
        <f>B87*Premissas!$D$13/12*MIN(1,A87/Premissas!$D$17)</f>
        <v/>
      </c>
      <c r="G87">
        <f>F87*Premissas!$D$14</f>
        <v/>
      </c>
      <c r="H87">
        <f>IF(IF(A87-1-Premissas!$D$16&gt;=0,OFFSET($J$4,A87-1-Premissas!$D$16,0),0)&gt;0,ROUND(IF(A87-1-Premissas!$D$16&gt;=0,OFFSET($J$4,A87-1-Premissas!$D$16,0),0)*10000/Premissas!$D$5*Premissas!$D$15,0),0)</f>
        <v/>
      </c>
      <c r="I87">
        <f>ROUND(G87*Premissas!$D$6/10000,0)</f>
        <v/>
      </c>
      <c r="J87">
        <f>ROUND(G87*Premissas!$D$5/10000,0)</f>
        <v/>
      </c>
      <c r="K87">
        <f>IF(IF(A87-1-Premissas!$D$16&gt;=0,OFFSET($A$4,A87-1-Premissas!$D$16,0)&gt;=Premissas!$D$19,FALSE),ROUND(IF(A87-1-Premissas!$D$16&gt;=0,OFFSET($J$4,A87-1-Premissas!$D$16,0),0)*Premissas!$D$15,0),0)</f>
        <v/>
      </c>
      <c r="L87">
        <f>ROUND(C87*Premissas!$D$24/12,0)</f>
        <v/>
      </c>
      <c r="M87">
        <f>ROUND(D87*Premissas!$D$25,0)</f>
        <v/>
      </c>
      <c r="N87">
        <f>ROUND(E87*Premissas!$D$29+B87*Premissas!$D$30,0)</f>
        <v/>
      </c>
      <c r="O87">
        <f>K87+L87+M87+N87</f>
        <v/>
      </c>
      <c r="P87">
        <f>K87+ROUND(AC87*Premissas!$D$24,0)+M87+N87</f>
        <v/>
      </c>
      <c r="Q87">
        <f>ROUND(IF(A87-1-Premissas!$D$21&gt;=0,OFFSET($P$4,A87-1-Premissas!$D$21,0),0)*(1-Premissas!$D$20/100),0)</f>
        <v/>
      </c>
      <c r="R87">
        <f>ROUND(F87*Premissas!$D$11+N87*Premissas!$D$31/100,0)+ROUND((E87+B87)*Premissas!$D$10,0)+ROUND(Q87*Premissas!$D$8/100,0)+ROUND(Premissas!$D$35+(B87+C87)*Premissas!$D$36,0)</f>
        <v/>
      </c>
      <c r="S87">
        <f>O87-R87</f>
        <v/>
      </c>
      <c r="T87">
        <f>ROUND(O87*Premissas!$D$9/100,0)</f>
        <v/>
      </c>
      <c r="U87">
        <f>ROUND(AB87*Premissas!$D$33,0)</f>
        <v/>
      </c>
      <c r="V87">
        <f>Premissas!$D$37+ROUND(Premissas!$D$12*Premissas!$D$38+D87*Premissas!$D$27,0)</f>
        <v/>
      </c>
      <c r="W87">
        <f>Premissas!$D$39</f>
        <v/>
      </c>
      <c r="X87">
        <f>S87-T87-ROUND(Premissas!$D$12*Premissas!$D$38+D87*Premissas!$D$27,0)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Premissas!$D$32+(B87+C87)/Premissas!$D$34</f>
        <v/>
      </c>
      <c r="AC87">
        <f>D87+AC75*(1-Premissas!$D$26/12)^12</f>
        <v/>
      </c>
    </row>
    <row r="88">
      <c r="A88" t="n">
        <v>85</v>
      </c>
      <c r="B88">
        <f>B87*(1-Premissas!$D$18/12)+Premissas!$D$12</f>
        <v/>
      </c>
      <c r="C88">
        <f>IF($B$2=1,C87*(1-Premissas!$D$26/12)+D88,0)</f>
        <v/>
      </c>
      <c r="D88">
        <f>IF(AND($B$2=1,A88&gt;=Premissas!$D$23),Premissas!$D$22,0)</f>
        <v/>
      </c>
      <c r="E88">
        <f>B88*Premissas!$D$28</f>
        <v/>
      </c>
      <c r="F88">
        <f>B88*Premissas!$D$13/12*MIN(1,A88/Premissas!$D$17)</f>
        <v/>
      </c>
      <c r="G88">
        <f>F88*Premissas!$D$14</f>
        <v/>
      </c>
      <c r="H88">
        <f>IF(IF(A88-1-Premissas!$D$16&gt;=0,OFFSET($J$4,A88-1-Premissas!$D$16,0),0)&gt;0,ROUND(IF(A88-1-Premissas!$D$16&gt;=0,OFFSET($J$4,A88-1-Premissas!$D$16,0),0)*10000/Premissas!$D$5*Premissas!$D$15,0),0)</f>
        <v/>
      </c>
      <c r="I88">
        <f>ROUND(G88*Premissas!$D$6/10000,0)</f>
        <v/>
      </c>
      <c r="J88">
        <f>ROUND(G88*Premissas!$D$5/10000,0)</f>
        <v/>
      </c>
      <c r="K88">
        <f>IF(IF(A88-1-Premissas!$D$16&gt;=0,OFFSET($A$4,A88-1-Premissas!$D$16,0)&gt;=Premissas!$D$19,FALSE),ROUND(IF(A88-1-Premissas!$D$16&gt;=0,OFFSET($J$4,A88-1-Premissas!$D$16,0),0)*Premissas!$D$15,0),0)</f>
        <v/>
      </c>
      <c r="L88">
        <f>ROUND(C88*Premissas!$D$24/12,0)</f>
        <v/>
      </c>
      <c r="M88">
        <f>ROUND(D88*Premissas!$D$25,0)</f>
        <v/>
      </c>
      <c r="N88">
        <f>ROUND(E88*Premissas!$D$29+B88*Premissas!$D$30,0)</f>
        <v/>
      </c>
      <c r="O88">
        <f>K88+L88+M88+N88</f>
        <v/>
      </c>
      <c r="P88">
        <f>K88+ROUND(AC88*Premissas!$D$24,0)+M88+N88</f>
        <v/>
      </c>
      <c r="Q88">
        <f>ROUND(IF(A88-1-Premissas!$D$21&gt;=0,OFFSET($P$4,A88-1-Premissas!$D$21,0),0)*(1-Premissas!$D$20/100),0)</f>
        <v/>
      </c>
      <c r="R88">
        <f>ROUND(F88*Premissas!$D$11+N88*Premissas!$D$31/100,0)+ROUND((E88+B88)*Premissas!$D$10,0)+ROUND(Q88*Premissas!$D$8/100,0)+ROUND(Premissas!$D$35+(B88+C88)*Premissas!$D$36,0)</f>
        <v/>
      </c>
      <c r="S88">
        <f>O88-R88</f>
        <v/>
      </c>
      <c r="T88">
        <f>ROUND(O88*Premissas!$D$9/100,0)</f>
        <v/>
      </c>
      <c r="U88">
        <f>ROUND(AB88*Premissas!$D$33,0)</f>
        <v/>
      </c>
      <c r="V88">
        <f>Premissas!$D$37+ROUND(Premissas!$D$12*Premissas!$D$38+D88*Premissas!$D$27,0)</f>
        <v/>
      </c>
      <c r="W88">
        <f>Premissas!$D$39</f>
        <v/>
      </c>
      <c r="X88">
        <f>S88-T88-ROUND(Premissas!$D$12*Premissas!$D$38+D88*Premissas!$D$27,0)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Premissas!$D$32+(B88+C88)/Premissas!$D$34</f>
        <v/>
      </c>
      <c r="AC88">
        <f>D88+AC76*(1-Premissas!$D$26/12)^12</f>
        <v/>
      </c>
    </row>
    <row r="89">
      <c r="A89" t="n">
        <v>86</v>
      </c>
      <c r="B89">
        <f>B88*(1-Premissas!$D$18/12)+Premissas!$D$12</f>
        <v/>
      </c>
      <c r="C89">
        <f>IF($B$2=1,C88*(1-Premissas!$D$26/12)+D89,0)</f>
        <v/>
      </c>
      <c r="D89">
        <f>IF(AND($B$2=1,A89&gt;=Premissas!$D$23),Premissas!$D$22,0)</f>
        <v/>
      </c>
      <c r="E89">
        <f>B89*Premissas!$D$28</f>
        <v/>
      </c>
      <c r="F89">
        <f>B89*Premissas!$D$13/12*MIN(1,A89/Premissas!$D$17)</f>
        <v/>
      </c>
      <c r="G89">
        <f>F89*Premissas!$D$14</f>
        <v/>
      </c>
      <c r="H89">
        <f>IF(IF(A89-1-Premissas!$D$16&gt;=0,OFFSET($J$4,A89-1-Premissas!$D$16,0),0)&gt;0,ROUND(IF(A89-1-Premissas!$D$16&gt;=0,OFFSET($J$4,A89-1-Premissas!$D$16,0),0)*10000/Premissas!$D$5*Premissas!$D$15,0),0)</f>
        <v/>
      </c>
      <c r="I89">
        <f>ROUND(G89*Premissas!$D$6/10000,0)</f>
        <v/>
      </c>
      <c r="J89">
        <f>ROUND(G89*Premissas!$D$5/10000,0)</f>
        <v/>
      </c>
      <c r="K89">
        <f>IF(IF(A89-1-Premissas!$D$16&gt;=0,OFFSET($A$4,A89-1-Premissas!$D$16,0)&gt;=Premissas!$D$19,FALSE),ROUND(IF(A89-1-Premissas!$D$16&gt;=0,OFFSET($J$4,A89-1-Premissas!$D$16,0),0)*Premissas!$D$15,0),0)</f>
        <v/>
      </c>
      <c r="L89">
        <f>ROUND(C89*Premissas!$D$24/12,0)</f>
        <v/>
      </c>
      <c r="M89">
        <f>ROUND(D89*Premissas!$D$25,0)</f>
        <v/>
      </c>
      <c r="N89">
        <f>ROUND(E89*Premissas!$D$29+B89*Premissas!$D$30,0)</f>
        <v/>
      </c>
      <c r="O89">
        <f>K89+L89+M89+N89</f>
        <v/>
      </c>
      <c r="P89">
        <f>K89+ROUND(AC89*Premissas!$D$24,0)+M89+N89</f>
        <v/>
      </c>
      <c r="Q89">
        <f>ROUND(IF(A89-1-Premissas!$D$21&gt;=0,OFFSET($P$4,A89-1-Premissas!$D$21,0),0)*(1-Premissas!$D$20/100),0)</f>
        <v/>
      </c>
      <c r="R89">
        <f>ROUND(F89*Premissas!$D$11+N89*Premissas!$D$31/100,0)+ROUND((E89+B89)*Premissas!$D$10,0)+ROUND(Q89*Premissas!$D$8/100,0)+ROUND(Premissas!$D$35+(B89+C89)*Premissas!$D$36,0)</f>
        <v/>
      </c>
      <c r="S89">
        <f>O89-R89</f>
        <v/>
      </c>
      <c r="T89">
        <f>ROUND(O89*Premissas!$D$9/100,0)</f>
        <v/>
      </c>
      <c r="U89">
        <f>ROUND(AB89*Premissas!$D$33,0)</f>
        <v/>
      </c>
      <c r="V89">
        <f>Premissas!$D$37+ROUND(Premissas!$D$12*Premissas!$D$38+D89*Premissas!$D$27,0)</f>
        <v/>
      </c>
      <c r="W89">
        <f>Premissas!$D$39</f>
        <v/>
      </c>
      <c r="X89">
        <f>S89-T89-ROUND(Premissas!$D$12*Premissas!$D$38+D89*Premissas!$D$27,0)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Premissas!$D$32+(B89+C89)/Premissas!$D$34</f>
        <v/>
      </c>
      <c r="AC89">
        <f>D89+AC77*(1-Premissas!$D$26/12)^12</f>
        <v/>
      </c>
    </row>
    <row r="90">
      <c r="A90" t="n">
        <v>87</v>
      </c>
      <c r="B90">
        <f>B89*(1-Premissas!$D$18/12)+Premissas!$D$12</f>
        <v/>
      </c>
      <c r="C90">
        <f>IF($B$2=1,C89*(1-Premissas!$D$26/12)+D90,0)</f>
        <v/>
      </c>
      <c r="D90">
        <f>IF(AND($B$2=1,A90&gt;=Premissas!$D$23),Premissas!$D$22,0)</f>
        <v/>
      </c>
      <c r="E90">
        <f>B90*Premissas!$D$28</f>
        <v/>
      </c>
      <c r="F90">
        <f>B90*Premissas!$D$13/12*MIN(1,A90/Premissas!$D$17)</f>
        <v/>
      </c>
      <c r="G90">
        <f>F90*Premissas!$D$14</f>
        <v/>
      </c>
      <c r="H90">
        <f>IF(IF(A90-1-Premissas!$D$16&gt;=0,OFFSET($J$4,A90-1-Premissas!$D$16,0),0)&gt;0,ROUND(IF(A90-1-Premissas!$D$16&gt;=0,OFFSET($J$4,A90-1-Premissas!$D$16,0),0)*10000/Premissas!$D$5*Premissas!$D$15,0),0)</f>
        <v/>
      </c>
      <c r="I90">
        <f>ROUND(G90*Premissas!$D$6/10000,0)</f>
        <v/>
      </c>
      <c r="J90">
        <f>ROUND(G90*Premissas!$D$5/10000,0)</f>
        <v/>
      </c>
      <c r="K90">
        <f>IF(IF(A90-1-Premissas!$D$16&gt;=0,OFFSET($A$4,A90-1-Premissas!$D$16,0)&gt;=Premissas!$D$19,FALSE),ROUND(IF(A90-1-Premissas!$D$16&gt;=0,OFFSET($J$4,A90-1-Premissas!$D$16,0),0)*Premissas!$D$15,0),0)</f>
        <v/>
      </c>
      <c r="L90">
        <f>ROUND(C90*Premissas!$D$24/12,0)</f>
        <v/>
      </c>
      <c r="M90">
        <f>ROUND(D90*Premissas!$D$25,0)</f>
        <v/>
      </c>
      <c r="N90">
        <f>ROUND(E90*Premissas!$D$29+B90*Premissas!$D$30,0)</f>
        <v/>
      </c>
      <c r="O90">
        <f>K90+L90+M90+N90</f>
        <v/>
      </c>
      <c r="P90">
        <f>K90+ROUND(AC90*Premissas!$D$24,0)+M90+N90</f>
        <v/>
      </c>
      <c r="Q90">
        <f>ROUND(IF(A90-1-Premissas!$D$21&gt;=0,OFFSET($P$4,A90-1-Premissas!$D$21,0),0)*(1-Premissas!$D$20/100),0)</f>
        <v/>
      </c>
      <c r="R90">
        <f>ROUND(F90*Premissas!$D$11+N90*Premissas!$D$31/100,0)+ROUND((E90+B90)*Premissas!$D$10,0)+ROUND(Q90*Premissas!$D$8/100,0)+ROUND(Premissas!$D$35+(B90+C90)*Premissas!$D$36,0)</f>
        <v/>
      </c>
      <c r="S90">
        <f>O90-R90</f>
        <v/>
      </c>
      <c r="T90">
        <f>ROUND(O90*Premissas!$D$9/100,0)</f>
        <v/>
      </c>
      <c r="U90">
        <f>ROUND(AB90*Premissas!$D$33,0)</f>
        <v/>
      </c>
      <c r="V90">
        <f>Premissas!$D$37+ROUND(Premissas!$D$12*Premissas!$D$38+D90*Premissas!$D$27,0)</f>
        <v/>
      </c>
      <c r="W90">
        <f>Premissas!$D$39</f>
        <v/>
      </c>
      <c r="X90">
        <f>S90-T90-ROUND(Premissas!$D$12*Premissas!$D$38+D90*Premissas!$D$27,0)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Premissas!$D$32+(B90+C90)/Premissas!$D$34</f>
        <v/>
      </c>
      <c r="AC90">
        <f>D90+AC78*(1-Premissas!$D$26/12)^12</f>
        <v/>
      </c>
    </row>
    <row r="91">
      <c r="A91" t="n">
        <v>88</v>
      </c>
      <c r="B91">
        <f>B90*(1-Premissas!$D$18/12)+Premissas!$D$12</f>
        <v/>
      </c>
      <c r="C91">
        <f>IF($B$2=1,C90*(1-Premissas!$D$26/12)+D91,0)</f>
        <v/>
      </c>
      <c r="D91">
        <f>IF(AND($B$2=1,A91&gt;=Premissas!$D$23),Premissas!$D$22,0)</f>
        <v/>
      </c>
      <c r="E91">
        <f>B91*Premissas!$D$28</f>
        <v/>
      </c>
      <c r="F91">
        <f>B91*Premissas!$D$13/12*MIN(1,A91/Premissas!$D$17)</f>
        <v/>
      </c>
      <c r="G91">
        <f>F91*Premissas!$D$14</f>
        <v/>
      </c>
      <c r="H91">
        <f>IF(IF(A91-1-Premissas!$D$16&gt;=0,OFFSET($J$4,A91-1-Premissas!$D$16,0),0)&gt;0,ROUND(IF(A91-1-Premissas!$D$16&gt;=0,OFFSET($J$4,A91-1-Premissas!$D$16,0),0)*10000/Premissas!$D$5*Premissas!$D$15,0),0)</f>
        <v/>
      </c>
      <c r="I91">
        <f>ROUND(G91*Premissas!$D$6/10000,0)</f>
        <v/>
      </c>
      <c r="J91">
        <f>ROUND(G91*Premissas!$D$5/10000,0)</f>
        <v/>
      </c>
      <c r="K91">
        <f>IF(IF(A91-1-Premissas!$D$16&gt;=0,OFFSET($A$4,A91-1-Premissas!$D$16,0)&gt;=Premissas!$D$19,FALSE),ROUND(IF(A91-1-Premissas!$D$16&gt;=0,OFFSET($J$4,A91-1-Premissas!$D$16,0),0)*Premissas!$D$15,0),0)</f>
        <v/>
      </c>
      <c r="L91">
        <f>ROUND(C91*Premissas!$D$24/12,0)</f>
        <v/>
      </c>
      <c r="M91">
        <f>ROUND(D91*Premissas!$D$25,0)</f>
        <v/>
      </c>
      <c r="N91">
        <f>ROUND(E91*Premissas!$D$29+B91*Premissas!$D$30,0)</f>
        <v/>
      </c>
      <c r="O91">
        <f>K91+L91+M91+N91</f>
        <v/>
      </c>
      <c r="P91">
        <f>K91+ROUND(AC91*Premissas!$D$24,0)+M91+N91</f>
        <v/>
      </c>
      <c r="Q91">
        <f>ROUND(IF(A91-1-Premissas!$D$21&gt;=0,OFFSET($P$4,A91-1-Premissas!$D$21,0),0)*(1-Premissas!$D$20/100),0)</f>
        <v/>
      </c>
      <c r="R91">
        <f>ROUND(F91*Premissas!$D$11+N91*Premissas!$D$31/100,0)+ROUND((E91+B91)*Premissas!$D$10,0)+ROUND(Q91*Premissas!$D$8/100,0)+ROUND(Premissas!$D$35+(B91+C91)*Premissas!$D$36,0)</f>
        <v/>
      </c>
      <c r="S91">
        <f>O91-R91</f>
        <v/>
      </c>
      <c r="T91">
        <f>ROUND(O91*Premissas!$D$9/100,0)</f>
        <v/>
      </c>
      <c r="U91">
        <f>ROUND(AB91*Premissas!$D$33,0)</f>
        <v/>
      </c>
      <c r="V91">
        <f>Premissas!$D$37+ROUND(Premissas!$D$12*Premissas!$D$38+D91*Premissas!$D$27,0)</f>
        <v/>
      </c>
      <c r="W91">
        <f>Premissas!$D$39</f>
        <v/>
      </c>
      <c r="X91">
        <f>S91-T91-ROUND(Premissas!$D$12*Premissas!$D$38+D91*Premissas!$D$27,0)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Premissas!$D$32+(B91+C91)/Premissas!$D$34</f>
        <v/>
      </c>
      <c r="AC91">
        <f>D91+AC79*(1-Premissas!$D$26/12)^12</f>
        <v/>
      </c>
    </row>
    <row r="92">
      <c r="A92" t="n">
        <v>89</v>
      </c>
      <c r="B92">
        <f>B91*(1-Premissas!$D$18/12)+Premissas!$D$12</f>
        <v/>
      </c>
      <c r="C92">
        <f>IF($B$2=1,C91*(1-Premissas!$D$26/12)+D92,0)</f>
        <v/>
      </c>
      <c r="D92">
        <f>IF(AND($B$2=1,A92&gt;=Premissas!$D$23),Premissas!$D$22,0)</f>
        <v/>
      </c>
      <c r="E92">
        <f>B92*Premissas!$D$28</f>
        <v/>
      </c>
      <c r="F92">
        <f>B92*Premissas!$D$13/12*MIN(1,A92/Premissas!$D$17)</f>
        <v/>
      </c>
      <c r="G92">
        <f>F92*Premissas!$D$14</f>
        <v/>
      </c>
      <c r="H92">
        <f>IF(IF(A92-1-Premissas!$D$16&gt;=0,OFFSET($J$4,A92-1-Premissas!$D$16,0),0)&gt;0,ROUND(IF(A92-1-Premissas!$D$16&gt;=0,OFFSET($J$4,A92-1-Premissas!$D$16,0),0)*10000/Premissas!$D$5*Premissas!$D$15,0),0)</f>
        <v/>
      </c>
      <c r="I92">
        <f>ROUND(G92*Premissas!$D$6/10000,0)</f>
        <v/>
      </c>
      <c r="J92">
        <f>ROUND(G92*Premissas!$D$5/10000,0)</f>
        <v/>
      </c>
      <c r="K92">
        <f>IF(IF(A92-1-Premissas!$D$16&gt;=0,OFFSET($A$4,A92-1-Premissas!$D$16,0)&gt;=Premissas!$D$19,FALSE),ROUND(IF(A92-1-Premissas!$D$16&gt;=0,OFFSET($J$4,A92-1-Premissas!$D$16,0),0)*Premissas!$D$15,0),0)</f>
        <v/>
      </c>
      <c r="L92">
        <f>ROUND(C92*Premissas!$D$24/12,0)</f>
        <v/>
      </c>
      <c r="M92">
        <f>ROUND(D92*Premissas!$D$25,0)</f>
        <v/>
      </c>
      <c r="N92">
        <f>ROUND(E92*Premissas!$D$29+B92*Premissas!$D$30,0)</f>
        <v/>
      </c>
      <c r="O92">
        <f>K92+L92+M92+N92</f>
        <v/>
      </c>
      <c r="P92">
        <f>K92+ROUND(AC92*Premissas!$D$24,0)+M92+N92</f>
        <v/>
      </c>
      <c r="Q92">
        <f>ROUND(IF(A92-1-Premissas!$D$21&gt;=0,OFFSET($P$4,A92-1-Premissas!$D$21,0),0)*(1-Premissas!$D$20/100),0)</f>
        <v/>
      </c>
      <c r="R92">
        <f>ROUND(F92*Premissas!$D$11+N92*Premissas!$D$31/100,0)+ROUND((E92+B92)*Premissas!$D$10,0)+ROUND(Q92*Premissas!$D$8/100,0)+ROUND(Premissas!$D$35+(B92+C92)*Premissas!$D$36,0)</f>
        <v/>
      </c>
      <c r="S92">
        <f>O92-R92</f>
        <v/>
      </c>
      <c r="T92">
        <f>ROUND(O92*Premissas!$D$9/100,0)</f>
        <v/>
      </c>
      <c r="U92">
        <f>ROUND(AB92*Premissas!$D$33,0)</f>
        <v/>
      </c>
      <c r="V92">
        <f>Premissas!$D$37+ROUND(Premissas!$D$12*Premissas!$D$38+D92*Premissas!$D$27,0)</f>
        <v/>
      </c>
      <c r="W92">
        <f>Premissas!$D$39</f>
        <v/>
      </c>
      <c r="X92">
        <f>S92-T92-ROUND(Premissas!$D$12*Premissas!$D$38+D92*Premissas!$D$27,0)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Premissas!$D$32+(B92+C92)/Premissas!$D$34</f>
        <v/>
      </c>
      <c r="AC92">
        <f>D92+AC80*(1-Premissas!$D$26/12)^12</f>
        <v/>
      </c>
    </row>
    <row r="93">
      <c r="A93" t="n">
        <v>90</v>
      </c>
      <c r="B93">
        <f>B92*(1-Premissas!$D$18/12)+Premissas!$D$12</f>
        <v/>
      </c>
      <c r="C93">
        <f>IF($B$2=1,C92*(1-Premissas!$D$26/12)+D93,0)</f>
        <v/>
      </c>
      <c r="D93">
        <f>IF(AND($B$2=1,A93&gt;=Premissas!$D$23),Premissas!$D$22,0)</f>
        <v/>
      </c>
      <c r="E93">
        <f>B93*Premissas!$D$28</f>
        <v/>
      </c>
      <c r="F93">
        <f>B93*Premissas!$D$13/12*MIN(1,A93/Premissas!$D$17)</f>
        <v/>
      </c>
      <c r="G93">
        <f>F93*Premissas!$D$14</f>
        <v/>
      </c>
      <c r="H93">
        <f>IF(IF(A93-1-Premissas!$D$16&gt;=0,OFFSET($J$4,A93-1-Premissas!$D$16,0),0)&gt;0,ROUND(IF(A93-1-Premissas!$D$16&gt;=0,OFFSET($J$4,A93-1-Premissas!$D$16,0),0)*10000/Premissas!$D$5*Premissas!$D$15,0),0)</f>
        <v/>
      </c>
      <c r="I93">
        <f>ROUND(G93*Premissas!$D$6/10000,0)</f>
        <v/>
      </c>
      <c r="J93">
        <f>ROUND(G93*Premissas!$D$5/10000,0)</f>
        <v/>
      </c>
      <c r="K93">
        <f>IF(IF(A93-1-Premissas!$D$16&gt;=0,OFFSET($A$4,A93-1-Premissas!$D$16,0)&gt;=Premissas!$D$19,FALSE),ROUND(IF(A93-1-Premissas!$D$16&gt;=0,OFFSET($J$4,A93-1-Premissas!$D$16,0),0)*Premissas!$D$15,0),0)</f>
        <v/>
      </c>
      <c r="L93">
        <f>ROUND(C93*Premissas!$D$24/12,0)</f>
        <v/>
      </c>
      <c r="M93">
        <f>ROUND(D93*Premissas!$D$25,0)</f>
        <v/>
      </c>
      <c r="N93">
        <f>ROUND(E93*Premissas!$D$29+B93*Premissas!$D$30,0)</f>
        <v/>
      </c>
      <c r="O93">
        <f>K93+L93+M93+N93</f>
        <v/>
      </c>
      <c r="P93">
        <f>K93+ROUND(AC93*Premissas!$D$24,0)+M93+N93</f>
        <v/>
      </c>
      <c r="Q93">
        <f>ROUND(IF(A93-1-Premissas!$D$21&gt;=0,OFFSET($P$4,A93-1-Premissas!$D$21,0),0)*(1-Premissas!$D$20/100),0)</f>
        <v/>
      </c>
      <c r="R93">
        <f>ROUND(F93*Premissas!$D$11+N93*Premissas!$D$31/100,0)+ROUND((E93+B93)*Premissas!$D$10,0)+ROUND(Q93*Premissas!$D$8/100,0)+ROUND(Premissas!$D$35+(B93+C93)*Premissas!$D$36,0)</f>
        <v/>
      </c>
      <c r="S93">
        <f>O93-R93</f>
        <v/>
      </c>
      <c r="T93">
        <f>ROUND(O93*Premissas!$D$9/100,0)</f>
        <v/>
      </c>
      <c r="U93">
        <f>ROUND(AB93*Premissas!$D$33,0)</f>
        <v/>
      </c>
      <c r="V93">
        <f>Premissas!$D$37+ROUND(Premissas!$D$12*Premissas!$D$38+D93*Premissas!$D$27,0)</f>
        <v/>
      </c>
      <c r="W93">
        <f>Premissas!$D$39</f>
        <v/>
      </c>
      <c r="X93">
        <f>S93-T93-ROUND(Premissas!$D$12*Premissas!$D$38+D93*Premissas!$D$27,0)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Premissas!$D$32+(B93+C93)/Premissas!$D$34</f>
        <v/>
      </c>
      <c r="AC93">
        <f>D93+AC81*(1-Premissas!$D$26/12)^12</f>
        <v/>
      </c>
    </row>
    <row r="94">
      <c r="A94" t="n">
        <v>91</v>
      </c>
      <c r="B94">
        <f>B93*(1-Premissas!$D$18/12)+Premissas!$D$12</f>
        <v/>
      </c>
      <c r="C94">
        <f>IF($B$2=1,C93*(1-Premissas!$D$26/12)+D94,0)</f>
        <v/>
      </c>
      <c r="D94">
        <f>IF(AND($B$2=1,A94&gt;=Premissas!$D$23),Premissas!$D$22,0)</f>
        <v/>
      </c>
      <c r="E94">
        <f>B94*Premissas!$D$28</f>
        <v/>
      </c>
      <c r="F94">
        <f>B94*Premissas!$D$13/12*MIN(1,A94/Premissas!$D$17)</f>
        <v/>
      </c>
      <c r="G94">
        <f>F94*Premissas!$D$14</f>
        <v/>
      </c>
      <c r="H94">
        <f>IF(IF(A94-1-Premissas!$D$16&gt;=0,OFFSET($J$4,A94-1-Premissas!$D$16,0),0)&gt;0,ROUND(IF(A94-1-Premissas!$D$16&gt;=0,OFFSET($J$4,A94-1-Premissas!$D$16,0),0)*10000/Premissas!$D$5*Premissas!$D$15,0),0)</f>
        <v/>
      </c>
      <c r="I94">
        <f>ROUND(G94*Premissas!$D$6/10000,0)</f>
        <v/>
      </c>
      <c r="J94">
        <f>ROUND(G94*Premissas!$D$5/10000,0)</f>
        <v/>
      </c>
      <c r="K94">
        <f>IF(IF(A94-1-Premissas!$D$16&gt;=0,OFFSET($A$4,A94-1-Premissas!$D$16,0)&gt;=Premissas!$D$19,FALSE),ROUND(IF(A94-1-Premissas!$D$16&gt;=0,OFFSET($J$4,A94-1-Premissas!$D$16,0),0)*Premissas!$D$15,0),0)</f>
        <v/>
      </c>
      <c r="L94">
        <f>ROUND(C94*Premissas!$D$24/12,0)</f>
        <v/>
      </c>
      <c r="M94">
        <f>ROUND(D94*Premissas!$D$25,0)</f>
        <v/>
      </c>
      <c r="N94">
        <f>ROUND(E94*Premissas!$D$29+B94*Premissas!$D$30,0)</f>
        <v/>
      </c>
      <c r="O94">
        <f>K94+L94+M94+N94</f>
        <v/>
      </c>
      <c r="P94">
        <f>K94+ROUND(AC94*Premissas!$D$24,0)+M94+N94</f>
        <v/>
      </c>
      <c r="Q94">
        <f>ROUND(IF(A94-1-Premissas!$D$21&gt;=0,OFFSET($P$4,A94-1-Premissas!$D$21,0),0)*(1-Premissas!$D$20/100),0)</f>
        <v/>
      </c>
      <c r="R94">
        <f>ROUND(F94*Premissas!$D$11+N94*Premissas!$D$31/100,0)+ROUND((E94+B94)*Premissas!$D$10,0)+ROUND(Q94*Premissas!$D$8/100,0)+ROUND(Premissas!$D$35+(B94+C94)*Premissas!$D$36,0)</f>
        <v/>
      </c>
      <c r="S94">
        <f>O94-R94</f>
        <v/>
      </c>
      <c r="T94">
        <f>ROUND(O94*Premissas!$D$9/100,0)</f>
        <v/>
      </c>
      <c r="U94">
        <f>ROUND(AB94*Premissas!$D$33,0)</f>
        <v/>
      </c>
      <c r="V94">
        <f>Premissas!$D$37+ROUND(Premissas!$D$12*Premissas!$D$38+D94*Premissas!$D$27,0)</f>
        <v/>
      </c>
      <c r="W94">
        <f>Premissas!$D$39</f>
        <v/>
      </c>
      <c r="X94">
        <f>S94-T94-ROUND(Premissas!$D$12*Premissas!$D$38+D94*Premissas!$D$27,0)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Premissas!$D$32+(B94+C94)/Premissas!$D$34</f>
        <v/>
      </c>
      <c r="AC94">
        <f>D94+AC82*(1-Premissas!$D$26/12)^12</f>
        <v/>
      </c>
    </row>
    <row r="95">
      <c r="A95" t="n">
        <v>92</v>
      </c>
      <c r="B95">
        <f>B94*(1-Premissas!$D$18/12)+Premissas!$D$12</f>
        <v/>
      </c>
      <c r="C95">
        <f>IF($B$2=1,C94*(1-Premissas!$D$26/12)+D95,0)</f>
        <v/>
      </c>
      <c r="D95">
        <f>IF(AND($B$2=1,A95&gt;=Premissas!$D$23),Premissas!$D$22,0)</f>
        <v/>
      </c>
      <c r="E95">
        <f>B95*Premissas!$D$28</f>
        <v/>
      </c>
      <c r="F95">
        <f>B95*Premissas!$D$13/12*MIN(1,A95/Premissas!$D$17)</f>
        <v/>
      </c>
      <c r="G95">
        <f>F95*Premissas!$D$14</f>
        <v/>
      </c>
      <c r="H95">
        <f>IF(IF(A95-1-Premissas!$D$16&gt;=0,OFFSET($J$4,A95-1-Premissas!$D$16,0),0)&gt;0,ROUND(IF(A95-1-Premissas!$D$16&gt;=0,OFFSET($J$4,A95-1-Premissas!$D$16,0),0)*10000/Premissas!$D$5*Premissas!$D$15,0),0)</f>
        <v/>
      </c>
      <c r="I95">
        <f>ROUND(G95*Premissas!$D$6/10000,0)</f>
        <v/>
      </c>
      <c r="J95">
        <f>ROUND(G95*Premissas!$D$5/10000,0)</f>
        <v/>
      </c>
      <c r="K95">
        <f>IF(IF(A95-1-Premissas!$D$16&gt;=0,OFFSET($A$4,A95-1-Premissas!$D$16,0)&gt;=Premissas!$D$19,FALSE),ROUND(IF(A95-1-Premissas!$D$16&gt;=0,OFFSET($J$4,A95-1-Premissas!$D$16,0),0)*Premissas!$D$15,0),0)</f>
        <v/>
      </c>
      <c r="L95">
        <f>ROUND(C95*Premissas!$D$24/12,0)</f>
        <v/>
      </c>
      <c r="M95">
        <f>ROUND(D95*Premissas!$D$25,0)</f>
        <v/>
      </c>
      <c r="N95">
        <f>ROUND(E95*Premissas!$D$29+B95*Premissas!$D$30,0)</f>
        <v/>
      </c>
      <c r="O95">
        <f>K95+L95+M95+N95</f>
        <v/>
      </c>
      <c r="P95">
        <f>K95+ROUND(AC95*Premissas!$D$24,0)+M95+N95</f>
        <v/>
      </c>
      <c r="Q95">
        <f>ROUND(IF(A95-1-Premissas!$D$21&gt;=0,OFFSET($P$4,A95-1-Premissas!$D$21,0),0)*(1-Premissas!$D$20/100),0)</f>
        <v/>
      </c>
      <c r="R95">
        <f>ROUND(F95*Premissas!$D$11+N95*Premissas!$D$31/100,0)+ROUND((E95+B95)*Premissas!$D$10,0)+ROUND(Q95*Premissas!$D$8/100,0)+ROUND(Premissas!$D$35+(B95+C95)*Premissas!$D$36,0)</f>
        <v/>
      </c>
      <c r="S95">
        <f>O95-R95</f>
        <v/>
      </c>
      <c r="T95">
        <f>ROUND(O95*Premissas!$D$9/100,0)</f>
        <v/>
      </c>
      <c r="U95">
        <f>ROUND(AB95*Premissas!$D$33,0)</f>
        <v/>
      </c>
      <c r="V95">
        <f>Premissas!$D$37+ROUND(Premissas!$D$12*Premissas!$D$38+D95*Premissas!$D$27,0)</f>
        <v/>
      </c>
      <c r="W95">
        <f>Premissas!$D$39</f>
        <v/>
      </c>
      <c r="X95">
        <f>S95-T95-ROUND(Premissas!$D$12*Premissas!$D$38+D95*Premissas!$D$27,0)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Premissas!$D$32+(B95+C95)/Premissas!$D$34</f>
        <v/>
      </c>
      <c r="AC95">
        <f>D95+AC83*(1-Premissas!$D$26/12)^12</f>
        <v/>
      </c>
    </row>
    <row r="96">
      <c r="A96" t="n">
        <v>93</v>
      </c>
      <c r="B96">
        <f>B95*(1-Premissas!$D$18/12)+Premissas!$D$12</f>
        <v/>
      </c>
      <c r="C96">
        <f>IF($B$2=1,C95*(1-Premissas!$D$26/12)+D96,0)</f>
        <v/>
      </c>
      <c r="D96">
        <f>IF(AND($B$2=1,A96&gt;=Premissas!$D$23),Premissas!$D$22,0)</f>
        <v/>
      </c>
      <c r="E96">
        <f>B96*Premissas!$D$28</f>
        <v/>
      </c>
      <c r="F96">
        <f>B96*Premissas!$D$13/12*MIN(1,A96/Premissas!$D$17)</f>
        <v/>
      </c>
      <c r="G96">
        <f>F96*Premissas!$D$14</f>
        <v/>
      </c>
      <c r="H96">
        <f>IF(IF(A96-1-Premissas!$D$16&gt;=0,OFFSET($J$4,A96-1-Premissas!$D$16,0),0)&gt;0,ROUND(IF(A96-1-Premissas!$D$16&gt;=0,OFFSET($J$4,A96-1-Premissas!$D$16,0),0)*10000/Premissas!$D$5*Premissas!$D$15,0),0)</f>
        <v/>
      </c>
      <c r="I96">
        <f>ROUND(G96*Premissas!$D$6/10000,0)</f>
        <v/>
      </c>
      <c r="J96">
        <f>ROUND(G96*Premissas!$D$5/10000,0)</f>
        <v/>
      </c>
      <c r="K96">
        <f>IF(IF(A96-1-Premissas!$D$16&gt;=0,OFFSET($A$4,A96-1-Premissas!$D$16,0)&gt;=Premissas!$D$19,FALSE),ROUND(IF(A96-1-Premissas!$D$16&gt;=0,OFFSET($J$4,A96-1-Premissas!$D$16,0),0)*Premissas!$D$15,0),0)</f>
        <v/>
      </c>
      <c r="L96">
        <f>ROUND(C96*Premissas!$D$24/12,0)</f>
        <v/>
      </c>
      <c r="M96">
        <f>ROUND(D96*Premissas!$D$25,0)</f>
        <v/>
      </c>
      <c r="N96">
        <f>ROUND(E96*Premissas!$D$29+B96*Premissas!$D$30,0)</f>
        <v/>
      </c>
      <c r="O96">
        <f>K96+L96+M96+N96</f>
        <v/>
      </c>
      <c r="P96">
        <f>K96+ROUND(AC96*Premissas!$D$24,0)+M96+N96</f>
        <v/>
      </c>
      <c r="Q96">
        <f>ROUND(IF(A96-1-Premissas!$D$21&gt;=0,OFFSET($P$4,A96-1-Premissas!$D$21,0),0)*(1-Premissas!$D$20/100),0)</f>
        <v/>
      </c>
      <c r="R96">
        <f>ROUND(F96*Premissas!$D$11+N96*Premissas!$D$31/100,0)+ROUND((E96+B96)*Premissas!$D$10,0)+ROUND(Q96*Premissas!$D$8/100,0)+ROUND(Premissas!$D$35+(B96+C96)*Premissas!$D$36,0)</f>
        <v/>
      </c>
      <c r="S96">
        <f>O96-R96</f>
        <v/>
      </c>
      <c r="T96">
        <f>ROUND(O96*Premissas!$D$9/100,0)</f>
        <v/>
      </c>
      <c r="U96">
        <f>ROUND(AB96*Premissas!$D$33,0)</f>
        <v/>
      </c>
      <c r="V96">
        <f>Premissas!$D$37+ROUND(Premissas!$D$12*Premissas!$D$38+D96*Premissas!$D$27,0)</f>
        <v/>
      </c>
      <c r="W96">
        <f>Premissas!$D$39</f>
        <v/>
      </c>
      <c r="X96">
        <f>S96-T96-ROUND(Premissas!$D$12*Premissas!$D$38+D96*Premissas!$D$27,0)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Premissas!$D$32+(B96+C96)/Premissas!$D$34</f>
        <v/>
      </c>
      <c r="AC96">
        <f>D96+AC84*(1-Premissas!$D$26/12)^12</f>
        <v/>
      </c>
    </row>
    <row r="97">
      <c r="A97" t="n">
        <v>94</v>
      </c>
      <c r="B97">
        <f>B96*(1-Premissas!$D$18/12)+Premissas!$D$12</f>
        <v/>
      </c>
      <c r="C97">
        <f>IF($B$2=1,C96*(1-Premissas!$D$26/12)+D97,0)</f>
        <v/>
      </c>
      <c r="D97">
        <f>IF(AND($B$2=1,A97&gt;=Premissas!$D$23),Premissas!$D$22,0)</f>
        <v/>
      </c>
      <c r="E97">
        <f>B97*Premissas!$D$28</f>
        <v/>
      </c>
      <c r="F97">
        <f>B97*Premissas!$D$13/12*MIN(1,A97/Premissas!$D$17)</f>
        <v/>
      </c>
      <c r="G97">
        <f>F97*Premissas!$D$14</f>
        <v/>
      </c>
      <c r="H97">
        <f>IF(IF(A97-1-Premissas!$D$16&gt;=0,OFFSET($J$4,A97-1-Premissas!$D$16,0),0)&gt;0,ROUND(IF(A97-1-Premissas!$D$16&gt;=0,OFFSET($J$4,A97-1-Premissas!$D$16,0),0)*10000/Premissas!$D$5*Premissas!$D$15,0),0)</f>
        <v/>
      </c>
      <c r="I97">
        <f>ROUND(G97*Premissas!$D$6/10000,0)</f>
        <v/>
      </c>
      <c r="J97">
        <f>ROUND(G97*Premissas!$D$5/10000,0)</f>
        <v/>
      </c>
      <c r="K97">
        <f>IF(IF(A97-1-Premissas!$D$16&gt;=0,OFFSET($A$4,A97-1-Premissas!$D$16,0)&gt;=Premissas!$D$19,FALSE),ROUND(IF(A97-1-Premissas!$D$16&gt;=0,OFFSET($J$4,A97-1-Premissas!$D$16,0),0)*Premissas!$D$15,0),0)</f>
        <v/>
      </c>
      <c r="L97">
        <f>ROUND(C97*Premissas!$D$24/12,0)</f>
        <v/>
      </c>
      <c r="M97">
        <f>ROUND(D97*Premissas!$D$25,0)</f>
        <v/>
      </c>
      <c r="N97">
        <f>ROUND(E97*Premissas!$D$29+B97*Premissas!$D$30,0)</f>
        <v/>
      </c>
      <c r="O97">
        <f>K97+L97+M97+N97</f>
        <v/>
      </c>
      <c r="P97">
        <f>K97+ROUND(AC97*Premissas!$D$24,0)+M97+N97</f>
        <v/>
      </c>
      <c r="Q97">
        <f>ROUND(IF(A97-1-Premissas!$D$21&gt;=0,OFFSET($P$4,A97-1-Premissas!$D$21,0),0)*(1-Premissas!$D$20/100),0)</f>
        <v/>
      </c>
      <c r="R97">
        <f>ROUND(F97*Premissas!$D$11+N97*Premissas!$D$31/100,0)+ROUND((E97+B97)*Premissas!$D$10,0)+ROUND(Q97*Premissas!$D$8/100,0)+ROUND(Premissas!$D$35+(B97+C97)*Premissas!$D$36,0)</f>
        <v/>
      </c>
      <c r="S97">
        <f>O97-R97</f>
        <v/>
      </c>
      <c r="T97">
        <f>ROUND(O97*Premissas!$D$9/100,0)</f>
        <v/>
      </c>
      <c r="U97">
        <f>ROUND(AB97*Premissas!$D$33,0)</f>
        <v/>
      </c>
      <c r="V97">
        <f>Premissas!$D$37+ROUND(Premissas!$D$12*Premissas!$D$38+D97*Premissas!$D$27,0)</f>
        <v/>
      </c>
      <c r="W97">
        <f>Premissas!$D$39</f>
        <v/>
      </c>
      <c r="X97">
        <f>S97-T97-ROUND(Premissas!$D$12*Premissas!$D$38+D97*Premissas!$D$27,0)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Premissas!$D$32+(B97+C97)/Premissas!$D$34</f>
        <v/>
      </c>
      <c r="AC97">
        <f>D97+AC85*(1-Premissas!$D$26/12)^12</f>
        <v/>
      </c>
    </row>
    <row r="98">
      <c r="A98" t="n">
        <v>95</v>
      </c>
      <c r="B98">
        <f>B97*(1-Premissas!$D$18/12)+Premissas!$D$12</f>
        <v/>
      </c>
      <c r="C98">
        <f>IF($B$2=1,C97*(1-Premissas!$D$26/12)+D98,0)</f>
        <v/>
      </c>
      <c r="D98">
        <f>IF(AND($B$2=1,A98&gt;=Premissas!$D$23),Premissas!$D$22,0)</f>
        <v/>
      </c>
      <c r="E98">
        <f>B98*Premissas!$D$28</f>
        <v/>
      </c>
      <c r="F98">
        <f>B98*Premissas!$D$13/12*MIN(1,A98/Premissas!$D$17)</f>
        <v/>
      </c>
      <c r="G98">
        <f>F98*Premissas!$D$14</f>
        <v/>
      </c>
      <c r="H98">
        <f>IF(IF(A98-1-Premissas!$D$16&gt;=0,OFFSET($J$4,A98-1-Premissas!$D$16,0),0)&gt;0,ROUND(IF(A98-1-Premissas!$D$16&gt;=0,OFFSET($J$4,A98-1-Premissas!$D$16,0),0)*10000/Premissas!$D$5*Premissas!$D$15,0),0)</f>
        <v/>
      </c>
      <c r="I98">
        <f>ROUND(G98*Premissas!$D$6/10000,0)</f>
        <v/>
      </c>
      <c r="J98">
        <f>ROUND(G98*Premissas!$D$5/10000,0)</f>
        <v/>
      </c>
      <c r="K98">
        <f>IF(IF(A98-1-Premissas!$D$16&gt;=0,OFFSET($A$4,A98-1-Premissas!$D$16,0)&gt;=Premissas!$D$19,FALSE),ROUND(IF(A98-1-Premissas!$D$16&gt;=0,OFFSET($J$4,A98-1-Premissas!$D$16,0),0)*Premissas!$D$15,0),0)</f>
        <v/>
      </c>
      <c r="L98">
        <f>ROUND(C98*Premissas!$D$24/12,0)</f>
        <v/>
      </c>
      <c r="M98">
        <f>ROUND(D98*Premissas!$D$25,0)</f>
        <v/>
      </c>
      <c r="N98">
        <f>ROUND(E98*Premissas!$D$29+B98*Premissas!$D$30,0)</f>
        <v/>
      </c>
      <c r="O98">
        <f>K98+L98+M98+N98</f>
        <v/>
      </c>
      <c r="P98">
        <f>K98+ROUND(AC98*Premissas!$D$24,0)+M98+N98</f>
        <v/>
      </c>
      <c r="Q98">
        <f>ROUND(IF(A98-1-Premissas!$D$21&gt;=0,OFFSET($P$4,A98-1-Premissas!$D$21,0),0)*(1-Premissas!$D$20/100),0)</f>
        <v/>
      </c>
      <c r="R98">
        <f>ROUND(F98*Premissas!$D$11+N98*Premissas!$D$31/100,0)+ROUND((E98+B98)*Premissas!$D$10,0)+ROUND(Q98*Premissas!$D$8/100,0)+ROUND(Premissas!$D$35+(B98+C98)*Premissas!$D$36,0)</f>
        <v/>
      </c>
      <c r="S98">
        <f>O98-R98</f>
        <v/>
      </c>
      <c r="T98">
        <f>ROUND(O98*Premissas!$D$9/100,0)</f>
        <v/>
      </c>
      <c r="U98">
        <f>ROUND(AB98*Premissas!$D$33,0)</f>
        <v/>
      </c>
      <c r="V98">
        <f>Premissas!$D$37+ROUND(Premissas!$D$12*Premissas!$D$38+D98*Premissas!$D$27,0)</f>
        <v/>
      </c>
      <c r="W98">
        <f>Premissas!$D$39</f>
        <v/>
      </c>
      <c r="X98">
        <f>S98-T98-ROUND(Premissas!$D$12*Premissas!$D$38+D98*Premissas!$D$27,0)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Premissas!$D$32+(B98+C98)/Premissas!$D$34</f>
        <v/>
      </c>
      <c r="AC98">
        <f>D98+AC86*(1-Premissas!$D$26/12)^12</f>
        <v/>
      </c>
    </row>
    <row r="99">
      <c r="A99" t="n">
        <v>96</v>
      </c>
      <c r="B99">
        <f>B98*(1-Premissas!$D$18/12)+Premissas!$D$12</f>
        <v/>
      </c>
      <c r="C99">
        <f>IF($B$2=1,C98*(1-Premissas!$D$26/12)+D99,0)</f>
        <v/>
      </c>
      <c r="D99">
        <f>IF(AND($B$2=1,A99&gt;=Premissas!$D$23),Premissas!$D$22,0)</f>
        <v/>
      </c>
      <c r="E99">
        <f>B99*Premissas!$D$28</f>
        <v/>
      </c>
      <c r="F99">
        <f>B99*Premissas!$D$13/12*MIN(1,A99/Premissas!$D$17)</f>
        <v/>
      </c>
      <c r="G99">
        <f>F99*Premissas!$D$14</f>
        <v/>
      </c>
      <c r="H99">
        <f>IF(IF(A99-1-Premissas!$D$16&gt;=0,OFFSET($J$4,A99-1-Premissas!$D$16,0),0)&gt;0,ROUND(IF(A99-1-Premissas!$D$16&gt;=0,OFFSET($J$4,A99-1-Premissas!$D$16,0),0)*10000/Premissas!$D$5*Premissas!$D$15,0),0)</f>
        <v/>
      </c>
      <c r="I99">
        <f>ROUND(G99*Premissas!$D$6/10000,0)</f>
        <v/>
      </c>
      <c r="J99">
        <f>ROUND(G99*Premissas!$D$5/10000,0)</f>
        <v/>
      </c>
      <c r="K99">
        <f>IF(IF(A99-1-Premissas!$D$16&gt;=0,OFFSET($A$4,A99-1-Premissas!$D$16,0)&gt;=Premissas!$D$19,FALSE),ROUND(IF(A99-1-Premissas!$D$16&gt;=0,OFFSET($J$4,A99-1-Premissas!$D$16,0),0)*Premissas!$D$15,0),0)</f>
        <v/>
      </c>
      <c r="L99">
        <f>ROUND(C99*Premissas!$D$24/12,0)</f>
        <v/>
      </c>
      <c r="M99">
        <f>ROUND(D99*Premissas!$D$25,0)</f>
        <v/>
      </c>
      <c r="N99">
        <f>ROUND(E99*Premissas!$D$29+B99*Premissas!$D$30,0)</f>
        <v/>
      </c>
      <c r="O99">
        <f>K99+L99+M99+N99</f>
        <v/>
      </c>
      <c r="P99">
        <f>K99+ROUND(AC99*Premissas!$D$24,0)+M99+N99</f>
        <v/>
      </c>
      <c r="Q99">
        <f>ROUND(IF(A99-1-Premissas!$D$21&gt;=0,OFFSET($P$4,A99-1-Premissas!$D$21,0),0)*(1-Premissas!$D$20/100),0)</f>
        <v/>
      </c>
      <c r="R99">
        <f>ROUND(F99*Premissas!$D$11+N99*Premissas!$D$31/100,0)+ROUND((E99+B99)*Premissas!$D$10,0)+ROUND(Q99*Premissas!$D$8/100,0)+ROUND(Premissas!$D$35+(B99+C99)*Premissas!$D$36,0)</f>
        <v/>
      </c>
      <c r="S99">
        <f>O99-R99</f>
        <v/>
      </c>
      <c r="T99">
        <f>ROUND(O99*Premissas!$D$9/100,0)</f>
        <v/>
      </c>
      <c r="U99">
        <f>ROUND(AB99*Premissas!$D$33,0)</f>
        <v/>
      </c>
      <c r="V99">
        <f>Premissas!$D$37+ROUND(Premissas!$D$12*Premissas!$D$38+D99*Premissas!$D$27,0)</f>
        <v/>
      </c>
      <c r="W99">
        <f>Premissas!$D$39</f>
        <v/>
      </c>
      <c r="X99">
        <f>S99-T99-ROUND(Premissas!$D$12*Premissas!$D$38+D99*Premissas!$D$27,0)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Premissas!$D$32+(B99+C99)/Premissas!$D$34</f>
        <v/>
      </c>
      <c r="AC99">
        <f>D99+AC87*(1-Premissas!$D$26/12)^12</f>
        <v/>
      </c>
    </row>
    <row r="100">
      <c r="A100" t="n">
        <v>97</v>
      </c>
      <c r="B100">
        <f>B99*(1-Premissas!$D$18/12)+Premissas!$D$12</f>
        <v/>
      </c>
      <c r="C100">
        <f>IF($B$2=1,C99*(1-Premissas!$D$26/12)+D100,0)</f>
        <v/>
      </c>
      <c r="D100">
        <f>IF(AND($B$2=1,A100&gt;=Premissas!$D$23),Premissas!$D$22,0)</f>
        <v/>
      </c>
      <c r="E100">
        <f>B100*Premissas!$D$28</f>
        <v/>
      </c>
      <c r="F100">
        <f>B100*Premissas!$D$13/12*MIN(1,A100/Premissas!$D$17)</f>
        <v/>
      </c>
      <c r="G100">
        <f>F100*Premissas!$D$14</f>
        <v/>
      </c>
      <c r="H100">
        <f>IF(IF(A100-1-Premissas!$D$16&gt;=0,OFFSET($J$4,A100-1-Premissas!$D$16,0),0)&gt;0,ROUND(IF(A100-1-Premissas!$D$16&gt;=0,OFFSET($J$4,A100-1-Premissas!$D$16,0),0)*10000/Premissas!$D$5*Premissas!$D$15,0),0)</f>
        <v/>
      </c>
      <c r="I100">
        <f>ROUND(G100*Premissas!$D$6/10000,0)</f>
        <v/>
      </c>
      <c r="J100">
        <f>ROUND(G100*Premissas!$D$5/10000,0)</f>
        <v/>
      </c>
      <c r="K100">
        <f>IF(IF(A100-1-Premissas!$D$16&gt;=0,OFFSET($A$4,A100-1-Premissas!$D$16,0)&gt;=Premissas!$D$19,FALSE),ROUND(IF(A100-1-Premissas!$D$16&gt;=0,OFFSET($J$4,A100-1-Premissas!$D$16,0),0)*Premissas!$D$15,0),0)</f>
        <v/>
      </c>
      <c r="L100">
        <f>ROUND(C100*Premissas!$D$24/12,0)</f>
        <v/>
      </c>
      <c r="M100">
        <f>ROUND(D100*Premissas!$D$25,0)</f>
        <v/>
      </c>
      <c r="N100">
        <f>ROUND(E100*Premissas!$D$29+B100*Premissas!$D$30,0)</f>
        <v/>
      </c>
      <c r="O100">
        <f>K100+L100+M100+N100</f>
        <v/>
      </c>
      <c r="P100">
        <f>K100+ROUND(AC100*Premissas!$D$24,0)+M100+N100</f>
        <v/>
      </c>
      <c r="Q100">
        <f>ROUND(IF(A100-1-Premissas!$D$21&gt;=0,OFFSET($P$4,A100-1-Premissas!$D$21,0),0)*(1-Premissas!$D$20/100),0)</f>
        <v/>
      </c>
      <c r="R100">
        <f>ROUND(F100*Premissas!$D$11+N100*Premissas!$D$31/100,0)+ROUND((E100+B100)*Premissas!$D$10,0)+ROUND(Q100*Premissas!$D$8/100,0)+ROUND(Premissas!$D$35+(B100+C100)*Premissas!$D$36,0)</f>
        <v/>
      </c>
      <c r="S100">
        <f>O100-R100</f>
        <v/>
      </c>
      <c r="T100">
        <f>ROUND(O100*Premissas!$D$9/100,0)</f>
        <v/>
      </c>
      <c r="U100">
        <f>ROUND(AB100*Premissas!$D$33,0)</f>
        <v/>
      </c>
      <c r="V100">
        <f>Premissas!$D$37+ROUND(Premissas!$D$12*Premissas!$D$38+D100*Premissas!$D$27,0)</f>
        <v/>
      </c>
      <c r="W100">
        <f>Premissas!$D$39</f>
        <v/>
      </c>
      <c r="X100">
        <f>S100-T100-ROUND(Premissas!$D$12*Premissas!$D$38+D100*Premissas!$D$27,0)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Premissas!$D$32+(B100+C100)/Premissas!$D$34</f>
        <v/>
      </c>
      <c r="AC100">
        <f>D100+AC88*(1-Premissas!$D$26/12)^12</f>
        <v/>
      </c>
    </row>
    <row r="101">
      <c r="A101" t="n">
        <v>98</v>
      </c>
      <c r="B101">
        <f>B100*(1-Premissas!$D$18/12)+Premissas!$D$12</f>
        <v/>
      </c>
      <c r="C101">
        <f>IF($B$2=1,C100*(1-Premissas!$D$26/12)+D101,0)</f>
        <v/>
      </c>
      <c r="D101">
        <f>IF(AND($B$2=1,A101&gt;=Premissas!$D$23),Premissas!$D$22,0)</f>
        <v/>
      </c>
      <c r="E101">
        <f>B101*Premissas!$D$28</f>
        <v/>
      </c>
      <c r="F101">
        <f>B101*Premissas!$D$13/12*MIN(1,A101/Premissas!$D$17)</f>
        <v/>
      </c>
      <c r="G101">
        <f>F101*Premissas!$D$14</f>
        <v/>
      </c>
      <c r="H101">
        <f>IF(IF(A101-1-Premissas!$D$16&gt;=0,OFFSET($J$4,A101-1-Premissas!$D$16,0),0)&gt;0,ROUND(IF(A101-1-Premissas!$D$16&gt;=0,OFFSET($J$4,A101-1-Premissas!$D$16,0),0)*10000/Premissas!$D$5*Premissas!$D$15,0),0)</f>
        <v/>
      </c>
      <c r="I101">
        <f>ROUND(G101*Premissas!$D$6/10000,0)</f>
        <v/>
      </c>
      <c r="J101">
        <f>ROUND(G101*Premissas!$D$5/10000,0)</f>
        <v/>
      </c>
      <c r="K101">
        <f>IF(IF(A101-1-Premissas!$D$16&gt;=0,OFFSET($A$4,A101-1-Premissas!$D$16,0)&gt;=Premissas!$D$19,FALSE),ROUND(IF(A101-1-Premissas!$D$16&gt;=0,OFFSET($J$4,A101-1-Premissas!$D$16,0),0)*Premissas!$D$15,0),0)</f>
        <v/>
      </c>
      <c r="L101">
        <f>ROUND(C101*Premissas!$D$24/12,0)</f>
        <v/>
      </c>
      <c r="M101">
        <f>ROUND(D101*Premissas!$D$25,0)</f>
        <v/>
      </c>
      <c r="N101">
        <f>ROUND(E101*Premissas!$D$29+B101*Premissas!$D$30,0)</f>
        <v/>
      </c>
      <c r="O101">
        <f>K101+L101+M101+N101</f>
        <v/>
      </c>
      <c r="P101">
        <f>K101+ROUND(AC101*Premissas!$D$24,0)+M101+N101</f>
        <v/>
      </c>
      <c r="Q101">
        <f>ROUND(IF(A101-1-Premissas!$D$21&gt;=0,OFFSET($P$4,A101-1-Premissas!$D$21,0),0)*(1-Premissas!$D$20/100),0)</f>
        <v/>
      </c>
      <c r="R101">
        <f>ROUND(F101*Premissas!$D$11+N101*Premissas!$D$31/100,0)+ROUND((E101+B101)*Premissas!$D$10,0)+ROUND(Q101*Premissas!$D$8/100,0)+ROUND(Premissas!$D$35+(B101+C101)*Premissas!$D$36,0)</f>
        <v/>
      </c>
      <c r="S101">
        <f>O101-R101</f>
        <v/>
      </c>
      <c r="T101">
        <f>ROUND(O101*Premissas!$D$9/100,0)</f>
        <v/>
      </c>
      <c r="U101">
        <f>ROUND(AB101*Premissas!$D$33,0)</f>
        <v/>
      </c>
      <c r="V101">
        <f>Premissas!$D$37+ROUND(Premissas!$D$12*Premissas!$D$38+D101*Premissas!$D$27,0)</f>
        <v/>
      </c>
      <c r="W101">
        <f>Premissas!$D$39</f>
        <v/>
      </c>
      <c r="X101">
        <f>S101-T101-ROUND(Premissas!$D$12*Premissas!$D$38+D101*Premissas!$D$27,0)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Premissas!$D$32+(B101+C101)/Premissas!$D$34</f>
        <v/>
      </c>
      <c r="AC101">
        <f>D101+AC89*(1-Premissas!$D$26/12)^12</f>
        <v/>
      </c>
    </row>
    <row r="102">
      <c r="A102" t="n">
        <v>99</v>
      </c>
      <c r="B102">
        <f>B101*(1-Premissas!$D$18/12)+Premissas!$D$12</f>
        <v/>
      </c>
      <c r="C102">
        <f>IF($B$2=1,C101*(1-Premissas!$D$26/12)+D102,0)</f>
        <v/>
      </c>
      <c r="D102">
        <f>IF(AND($B$2=1,A102&gt;=Premissas!$D$23),Premissas!$D$22,0)</f>
        <v/>
      </c>
      <c r="E102">
        <f>B102*Premissas!$D$28</f>
        <v/>
      </c>
      <c r="F102">
        <f>B102*Premissas!$D$13/12*MIN(1,A102/Premissas!$D$17)</f>
        <v/>
      </c>
      <c r="G102">
        <f>F102*Premissas!$D$14</f>
        <v/>
      </c>
      <c r="H102">
        <f>IF(IF(A102-1-Premissas!$D$16&gt;=0,OFFSET($J$4,A102-1-Premissas!$D$16,0),0)&gt;0,ROUND(IF(A102-1-Premissas!$D$16&gt;=0,OFFSET($J$4,A102-1-Premissas!$D$16,0),0)*10000/Premissas!$D$5*Premissas!$D$15,0),0)</f>
        <v/>
      </c>
      <c r="I102">
        <f>ROUND(G102*Premissas!$D$6/10000,0)</f>
        <v/>
      </c>
      <c r="J102">
        <f>ROUND(G102*Premissas!$D$5/10000,0)</f>
        <v/>
      </c>
      <c r="K102">
        <f>IF(IF(A102-1-Premissas!$D$16&gt;=0,OFFSET($A$4,A102-1-Premissas!$D$16,0)&gt;=Premissas!$D$19,FALSE),ROUND(IF(A102-1-Premissas!$D$16&gt;=0,OFFSET($J$4,A102-1-Premissas!$D$16,0),0)*Premissas!$D$15,0),0)</f>
        <v/>
      </c>
      <c r="L102">
        <f>ROUND(C102*Premissas!$D$24/12,0)</f>
        <v/>
      </c>
      <c r="M102">
        <f>ROUND(D102*Premissas!$D$25,0)</f>
        <v/>
      </c>
      <c r="N102">
        <f>ROUND(E102*Premissas!$D$29+B102*Premissas!$D$30,0)</f>
        <v/>
      </c>
      <c r="O102">
        <f>K102+L102+M102+N102</f>
        <v/>
      </c>
      <c r="P102">
        <f>K102+ROUND(AC102*Premissas!$D$24,0)+M102+N102</f>
        <v/>
      </c>
      <c r="Q102">
        <f>ROUND(IF(A102-1-Premissas!$D$21&gt;=0,OFFSET($P$4,A102-1-Premissas!$D$21,0),0)*(1-Premissas!$D$20/100),0)</f>
        <v/>
      </c>
      <c r="R102">
        <f>ROUND(F102*Premissas!$D$11+N102*Premissas!$D$31/100,0)+ROUND((E102+B102)*Premissas!$D$10,0)+ROUND(Q102*Premissas!$D$8/100,0)+ROUND(Premissas!$D$35+(B102+C102)*Premissas!$D$36,0)</f>
        <v/>
      </c>
      <c r="S102">
        <f>O102-R102</f>
        <v/>
      </c>
      <c r="T102">
        <f>ROUND(O102*Premissas!$D$9/100,0)</f>
        <v/>
      </c>
      <c r="U102">
        <f>ROUND(AB102*Premissas!$D$33,0)</f>
        <v/>
      </c>
      <c r="V102">
        <f>Premissas!$D$37+ROUND(Premissas!$D$12*Premissas!$D$38+D102*Premissas!$D$27,0)</f>
        <v/>
      </c>
      <c r="W102">
        <f>Premissas!$D$39</f>
        <v/>
      </c>
      <c r="X102">
        <f>S102-T102-ROUND(Premissas!$D$12*Premissas!$D$38+D102*Premissas!$D$27,0)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Premissas!$D$32+(B102+C102)/Premissas!$D$34</f>
        <v/>
      </c>
      <c r="AC102">
        <f>D102+AC90*(1-Premissas!$D$26/12)^12</f>
        <v/>
      </c>
    </row>
    <row r="103">
      <c r="A103" t="n">
        <v>100</v>
      </c>
      <c r="B103">
        <f>B102*(1-Premissas!$D$18/12)+Premissas!$D$12</f>
        <v/>
      </c>
      <c r="C103">
        <f>IF($B$2=1,C102*(1-Premissas!$D$26/12)+D103,0)</f>
        <v/>
      </c>
      <c r="D103">
        <f>IF(AND($B$2=1,A103&gt;=Premissas!$D$23),Premissas!$D$22,0)</f>
        <v/>
      </c>
      <c r="E103">
        <f>B103*Premissas!$D$28</f>
        <v/>
      </c>
      <c r="F103">
        <f>B103*Premissas!$D$13/12*MIN(1,A103/Premissas!$D$17)</f>
        <v/>
      </c>
      <c r="G103">
        <f>F103*Premissas!$D$14</f>
        <v/>
      </c>
      <c r="H103">
        <f>IF(IF(A103-1-Premissas!$D$16&gt;=0,OFFSET($J$4,A103-1-Premissas!$D$16,0),0)&gt;0,ROUND(IF(A103-1-Premissas!$D$16&gt;=0,OFFSET($J$4,A103-1-Premissas!$D$16,0),0)*10000/Premissas!$D$5*Premissas!$D$15,0),0)</f>
        <v/>
      </c>
      <c r="I103">
        <f>ROUND(G103*Premissas!$D$6/10000,0)</f>
        <v/>
      </c>
      <c r="J103">
        <f>ROUND(G103*Premissas!$D$5/10000,0)</f>
        <v/>
      </c>
      <c r="K103">
        <f>IF(IF(A103-1-Premissas!$D$16&gt;=0,OFFSET($A$4,A103-1-Premissas!$D$16,0)&gt;=Premissas!$D$19,FALSE),ROUND(IF(A103-1-Premissas!$D$16&gt;=0,OFFSET($J$4,A103-1-Premissas!$D$16,0),0)*Premissas!$D$15,0),0)</f>
        <v/>
      </c>
      <c r="L103">
        <f>ROUND(C103*Premissas!$D$24/12,0)</f>
        <v/>
      </c>
      <c r="M103">
        <f>ROUND(D103*Premissas!$D$25,0)</f>
        <v/>
      </c>
      <c r="N103">
        <f>ROUND(E103*Premissas!$D$29+B103*Premissas!$D$30,0)</f>
        <v/>
      </c>
      <c r="O103">
        <f>K103+L103+M103+N103</f>
        <v/>
      </c>
      <c r="P103">
        <f>K103+ROUND(AC103*Premissas!$D$24,0)+M103+N103</f>
        <v/>
      </c>
      <c r="Q103">
        <f>ROUND(IF(A103-1-Premissas!$D$21&gt;=0,OFFSET($P$4,A103-1-Premissas!$D$21,0),0)*(1-Premissas!$D$20/100),0)</f>
        <v/>
      </c>
      <c r="R103">
        <f>ROUND(F103*Premissas!$D$11+N103*Premissas!$D$31/100,0)+ROUND((E103+B103)*Premissas!$D$10,0)+ROUND(Q103*Premissas!$D$8/100,0)+ROUND(Premissas!$D$35+(B103+C103)*Premissas!$D$36,0)</f>
        <v/>
      </c>
      <c r="S103">
        <f>O103-R103</f>
        <v/>
      </c>
      <c r="T103">
        <f>ROUND(O103*Premissas!$D$9/100,0)</f>
        <v/>
      </c>
      <c r="U103">
        <f>ROUND(AB103*Premissas!$D$33,0)</f>
        <v/>
      </c>
      <c r="V103">
        <f>Premissas!$D$37+ROUND(Premissas!$D$12*Premissas!$D$38+D103*Premissas!$D$27,0)</f>
        <v/>
      </c>
      <c r="W103">
        <f>Premissas!$D$39</f>
        <v/>
      </c>
      <c r="X103">
        <f>S103-T103-ROUND(Premissas!$D$12*Premissas!$D$38+D103*Premissas!$D$27,0)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Premissas!$D$32+(B103+C103)/Premissas!$D$34</f>
        <v/>
      </c>
      <c r="AC103">
        <f>D103+AC91*(1-Premissas!$D$26/12)^12</f>
        <v/>
      </c>
    </row>
    <row r="104">
      <c r="A104" t="n">
        <v>101</v>
      </c>
      <c r="B104">
        <f>B103*(1-Premissas!$D$18/12)+Premissas!$D$12</f>
        <v/>
      </c>
      <c r="C104">
        <f>IF($B$2=1,C103*(1-Premissas!$D$26/12)+D104,0)</f>
        <v/>
      </c>
      <c r="D104">
        <f>IF(AND($B$2=1,A104&gt;=Premissas!$D$23),Premissas!$D$22,0)</f>
        <v/>
      </c>
      <c r="E104">
        <f>B104*Premissas!$D$28</f>
        <v/>
      </c>
      <c r="F104">
        <f>B104*Premissas!$D$13/12*MIN(1,A104/Premissas!$D$17)</f>
        <v/>
      </c>
      <c r="G104">
        <f>F104*Premissas!$D$14</f>
        <v/>
      </c>
      <c r="H104">
        <f>IF(IF(A104-1-Premissas!$D$16&gt;=0,OFFSET($J$4,A104-1-Premissas!$D$16,0),0)&gt;0,ROUND(IF(A104-1-Premissas!$D$16&gt;=0,OFFSET($J$4,A104-1-Premissas!$D$16,0),0)*10000/Premissas!$D$5*Premissas!$D$15,0),0)</f>
        <v/>
      </c>
      <c r="I104">
        <f>ROUND(G104*Premissas!$D$6/10000,0)</f>
        <v/>
      </c>
      <c r="J104">
        <f>ROUND(G104*Premissas!$D$5/10000,0)</f>
        <v/>
      </c>
      <c r="K104">
        <f>IF(IF(A104-1-Premissas!$D$16&gt;=0,OFFSET($A$4,A104-1-Premissas!$D$16,0)&gt;=Premissas!$D$19,FALSE),ROUND(IF(A104-1-Premissas!$D$16&gt;=0,OFFSET($J$4,A104-1-Premissas!$D$16,0),0)*Premissas!$D$15,0),0)</f>
        <v/>
      </c>
      <c r="L104">
        <f>ROUND(C104*Premissas!$D$24/12,0)</f>
        <v/>
      </c>
      <c r="M104">
        <f>ROUND(D104*Premissas!$D$25,0)</f>
        <v/>
      </c>
      <c r="N104">
        <f>ROUND(E104*Premissas!$D$29+B104*Premissas!$D$30,0)</f>
        <v/>
      </c>
      <c r="O104">
        <f>K104+L104+M104+N104</f>
        <v/>
      </c>
      <c r="P104">
        <f>K104+ROUND(AC104*Premissas!$D$24,0)+M104+N104</f>
        <v/>
      </c>
      <c r="Q104">
        <f>ROUND(IF(A104-1-Premissas!$D$21&gt;=0,OFFSET($P$4,A104-1-Premissas!$D$21,0),0)*(1-Premissas!$D$20/100),0)</f>
        <v/>
      </c>
      <c r="R104">
        <f>ROUND(F104*Premissas!$D$11+N104*Premissas!$D$31/100,0)+ROUND((E104+B104)*Premissas!$D$10,0)+ROUND(Q104*Premissas!$D$8/100,0)+ROUND(Premissas!$D$35+(B104+C104)*Premissas!$D$36,0)</f>
        <v/>
      </c>
      <c r="S104">
        <f>O104-R104</f>
        <v/>
      </c>
      <c r="T104">
        <f>ROUND(O104*Premissas!$D$9/100,0)</f>
        <v/>
      </c>
      <c r="U104">
        <f>ROUND(AB104*Premissas!$D$33,0)</f>
        <v/>
      </c>
      <c r="V104">
        <f>Premissas!$D$37+ROUND(Premissas!$D$12*Premissas!$D$38+D104*Premissas!$D$27,0)</f>
        <v/>
      </c>
      <c r="W104">
        <f>Premissas!$D$39</f>
        <v/>
      </c>
      <c r="X104">
        <f>S104-T104-ROUND(Premissas!$D$12*Premissas!$D$38+D104*Premissas!$D$27,0)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Premissas!$D$32+(B104+C104)/Premissas!$D$34</f>
        <v/>
      </c>
      <c r="AC104">
        <f>D104+AC92*(1-Premissas!$D$26/12)^12</f>
        <v/>
      </c>
    </row>
    <row r="105">
      <c r="A105" t="n">
        <v>102</v>
      </c>
      <c r="B105">
        <f>B104*(1-Premissas!$D$18/12)+Premissas!$D$12</f>
        <v/>
      </c>
      <c r="C105">
        <f>IF($B$2=1,C104*(1-Premissas!$D$26/12)+D105,0)</f>
        <v/>
      </c>
      <c r="D105">
        <f>IF(AND($B$2=1,A105&gt;=Premissas!$D$23),Premissas!$D$22,0)</f>
        <v/>
      </c>
      <c r="E105">
        <f>B105*Premissas!$D$28</f>
        <v/>
      </c>
      <c r="F105">
        <f>B105*Premissas!$D$13/12*MIN(1,A105/Premissas!$D$17)</f>
        <v/>
      </c>
      <c r="G105">
        <f>F105*Premissas!$D$14</f>
        <v/>
      </c>
      <c r="H105">
        <f>IF(IF(A105-1-Premissas!$D$16&gt;=0,OFFSET($J$4,A105-1-Premissas!$D$16,0),0)&gt;0,ROUND(IF(A105-1-Premissas!$D$16&gt;=0,OFFSET($J$4,A105-1-Premissas!$D$16,0),0)*10000/Premissas!$D$5*Premissas!$D$15,0),0)</f>
        <v/>
      </c>
      <c r="I105">
        <f>ROUND(G105*Premissas!$D$6/10000,0)</f>
        <v/>
      </c>
      <c r="J105">
        <f>ROUND(G105*Premissas!$D$5/10000,0)</f>
        <v/>
      </c>
      <c r="K105">
        <f>IF(IF(A105-1-Premissas!$D$16&gt;=0,OFFSET($A$4,A105-1-Premissas!$D$16,0)&gt;=Premissas!$D$19,FALSE),ROUND(IF(A105-1-Premissas!$D$16&gt;=0,OFFSET($J$4,A105-1-Premissas!$D$16,0),0)*Premissas!$D$15,0),0)</f>
        <v/>
      </c>
      <c r="L105">
        <f>ROUND(C105*Premissas!$D$24/12,0)</f>
        <v/>
      </c>
      <c r="M105">
        <f>ROUND(D105*Premissas!$D$25,0)</f>
        <v/>
      </c>
      <c r="N105">
        <f>ROUND(E105*Premissas!$D$29+B105*Premissas!$D$30,0)</f>
        <v/>
      </c>
      <c r="O105">
        <f>K105+L105+M105+N105</f>
        <v/>
      </c>
      <c r="P105">
        <f>K105+ROUND(AC105*Premissas!$D$24,0)+M105+N105</f>
        <v/>
      </c>
      <c r="Q105">
        <f>ROUND(IF(A105-1-Premissas!$D$21&gt;=0,OFFSET($P$4,A105-1-Premissas!$D$21,0),0)*(1-Premissas!$D$20/100),0)</f>
        <v/>
      </c>
      <c r="R105">
        <f>ROUND(F105*Premissas!$D$11+N105*Premissas!$D$31/100,0)+ROUND((E105+B105)*Premissas!$D$10,0)+ROUND(Q105*Premissas!$D$8/100,0)+ROUND(Premissas!$D$35+(B105+C105)*Premissas!$D$36,0)</f>
        <v/>
      </c>
      <c r="S105">
        <f>O105-R105</f>
        <v/>
      </c>
      <c r="T105">
        <f>ROUND(O105*Premissas!$D$9/100,0)</f>
        <v/>
      </c>
      <c r="U105">
        <f>ROUND(AB105*Premissas!$D$33,0)</f>
        <v/>
      </c>
      <c r="V105">
        <f>Premissas!$D$37+ROUND(Premissas!$D$12*Premissas!$D$38+D105*Premissas!$D$27,0)</f>
        <v/>
      </c>
      <c r="W105">
        <f>Premissas!$D$39</f>
        <v/>
      </c>
      <c r="X105">
        <f>S105-T105-ROUND(Premissas!$D$12*Premissas!$D$38+D105*Premissas!$D$27,0)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Premissas!$D$32+(B105+C105)/Premissas!$D$34</f>
        <v/>
      </c>
      <c r="AC105">
        <f>D105+AC93*(1-Premissas!$D$26/12)^12</f>
        <v/>
      </c>
    </row>
    <row r="106">
      <c r="A106" t="n">
        <v>103</v>
      </c>
      <c r="B106">
        <f>B105*(1-Premissas!$D$18/12)+Premissas!$D$12</f>
        <v/>
      </c>
      <c r="C106">
        <f>IF($B$2=1,C105*(1-Premissas!$D$26/12)+D106,0)</f>
        <v/>
      </c>
      <c r="D106">
        <f>IF(AND($B$2=1,A106&gt;=Premissas!$D$23),Premissas!$D$22,0)</f>
        <v/>
      </c>
      <c r="E106">
        <f>B106*Premissas!$D$28</f>
        <v/>
      </c>
      <c r="F106">
        <f>B106*Premissas!$D$13/12*MIN(1,A106/Premissas!$D$17)</f>
        <v/>
      </c>
      <c r="G106">
        <f>F106*Premissas!$D$14</f>
        <v/>
      </c>
      <c r="H106">
        <f>IF(IF(A106-1-Premissas!$D$16&gt;=0,OFFSET($J$4,A106-1-Premissas!$D$16,0),0)&gt;0,ROUND(IF(A106-1-Premissas!$D$16&gt;=0,OFFSET($J$4,A106-1-Premissas!$D$16,0),0)*10000/Premissas!$D$5*Premissas!$D$15,0),0)</f>
        <v/>
      </c>
      <c r="I106">
        <f>ROUND(G106*Premissas!$D$6/10000,0)</f>
        <v/>
      </c>
      <c r="J106">
        <f>ROUND(G106*Premissas!$D$5/10000,0)</f>
        <v/>
      </c>
      <c r="K106">
        <f>IF(IF(A106-1-Premissas!$D$16&gt;=0,OFFSET($A$4,A106-1-Premissas!$D$16,0)&gt;=Premissas!$D$19,FALSE),ROUND(IF(A106-1-Premissas!$D$16&gt;=0,OFFSET($J$4,A106-1-Premissas!$D$16,0),0)*Premissas!$D$15,0),0)</f>
        <v/>
      </c>
      <c r="L106">
        <f>ROUND(C106*Premissas!$D$24/12,0)</f>
        <v/>
      </c>
      <c r="M106">
        <f>ROUND(D106*Premissas!$D$25,0)</f>
        <v/>
      </c>
      <c r="N106">
        <f>ROUND(E106*Premissas!$D$29+B106*Premissas!$D$30,0)</f>
        <v/>
      </c>
      <c r="O106">
        <f>K106+L106+M106+N106</f>
        <v/>
      </c>
      <c r="P106">
        <f>K106+ROUND(AC106*Premissas!$D$24,0)+M106+N106</f>
        <v/>
      </c>
      <c r="Q106">
        <f>ROUND(IF(A106-1-Premissas!$D$21&gt;=0,OFFSET($P$4,A106-1-Premissas!$D$21,0),0)*(1-Premissas!$D$20/100),0)</f>
        <v/>
      </c>
      <c r="R106">
        <f>ROUND(F106*Premissas!$D$11+N106*Premissas!$D$31/100,0)+ROUND((E106+B106)*Premissas!$D$10,0)+ROUND(Q106*Premissas!$D$8/100,0)+ROUND(Premissas!$D$35+(B106+C106)*Premissas!$D$36,0)</f>
        <v/>
      </c>
      <c r="S106">
        <f>O106-R106</f>
        <v/>
      </c>
      <c r="T106">
        <f>ROUND(O106*Premissas!$D$9/100,0)</f>
        <v/>
      </c>
      <c r="U106">
        <f>ROUND(AB106*Premissas!$D$33,0)</f>
        <v/>
      </c>
      <c r="V106">
        <f>Premissas!$D$37+ROUND(Premissas!$D$12*Premissas!$D$38+D106*Premissas!$D$27,0)</f>
        <v/>
      </c>
      <c r="W106">
        <f>Premissas!$D$39</f>
        <v/>
      </c>
      <c r="X106">
        <f>S106-T106-ROUND(Premissas!$D$12*Premissas!$D$38+D106*Premissas!$D$27,0)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Premissas!$D$32+(B106+C106)/Premissas!$D$34</f>
        <v/>
      </c>
      <c r="AC106">
        <f>D106+AC94*(1-Premissas!$D$26/12)^12</f>
        <v/>
      </c>
    </row>
    <row r="107">
      <c r="A107" t="n">
        <v>104</v>
      </c>
      <c r="B107">
        <f>B106*(1-Premissas!$D$18/12)+Premissas!$D$12</f>
        <v/>
      </c>
      <c r="C107">
        <f>IF($B$2=1,C106*(1-Premissas!$D$26/12)+D107,0)</f>
        <v/>
      </c>
      <c r="D107">
        <f>IF(AND($B$2=1,A107&gt;=Premissas!$D$23),Premissas!$D$22,0)</f>
        <v/>
      </c>
      <c r="E107">
        <f>B107*Premissas!$D$28</f>
        <v/>
      </c>
      <c r="F107">
        <f>B107*Premissas!$D$13/12*MIN(1,A107/Premissas!$D$17)</f>
        <v/>
      </c>
      <c r="G107">
        <f>F107*Premissas!$D$14</f>
        <v/>
      </c>
      <c r="H107">
        <f>IF(IF(A107-1-Premissas!$D$16&gt;=0,OFFSET($J$4,A107-1-Premissas!$D$16,0),0)&gt;0,ROUND(IF(A107-1-Premissas!$D$16&gt;=0,OFFSET($J$4,A107-1-Premissas!$D$16,0),0)*10000/Premissas!$D$5*Premissas!$D$15,0),0)</f>
        <v/>
      </c>
      <c r="I107">
        <f>ROUND(G107*Premissas!$D$6/10000,0)</f>
        <v/>
      </c>
      <c r="J107">
        <f>ROUND(G107*Premissas!$D$5/10000,0)</f>
        <v/>
      </c>
      <c r="K107">
        <f>IF(IF(A107-1-Premissas!$D$16&gt;=0,OFFSET($A$4,A107-1-Premissas!$D$16,0)&gt;=Premissas!$D$19,FALSE),ROUND(IF(A107-1-Premissas!$D$16&gt;=0,OFFSET($J$4,A107-1-Premissas!$D$16,0),0)*Premissas!$D$15,0),0)</f>
        <v/>
      </c>
      <c r="L107">
        <f>ROUND(C107*Premissas!$D$24/12,0)</f>
        <v/>
      </c>
      <c r="M107">
        <f>ROUND(D107*Premissas!$D$25,0)</f>
        <v/>
      </c>
      <c r="N107">
        <f>ROUND(E107*Premissas!$D$29+B107*Premissas!$D$30,0)</f>
        <v/>
      </c>
      <c r="O107">
        <f>K107+L107+M107+N107</f>
        <v/>
      </c>
      <c r="P107">
        <f>K107+ROUND(AC107*Premissas!$D$24,0)+M107+N107</f>
        <v/>
      </c>
      <c r="Q107">
        <f>ROUND(IF(A107-1-Premissas!$D$21&gt;=0,OFFSET($P$4,A107-1-Premissas!$D$21,0),0)*(1-Premissas!$D$20/100),0)</f>
        <v/>
      </c>
      <c r="R107">
        <f>ROUND(F107*Premissas!$D$11+N107*Premissas!$D$31/100,0)+ROUND((E107+B107)*Premissas!$D$10,0)+ROUND(Q107*Premissas!$D$8/100,0)+ROUND(Premissas!$D$35+(B107+C107)*Premissas!$D$36,0)</f>
        <v/>
      </c>
      <c r="S107">
        <f>O107-R107</f>
        <v/>
      </c>
      <c r="T107">
        <f>ROUND(O107*Premissas!$D$9/100,0)</f>
        <v/>
      </c>
      <c r="U107">
        <f>ROUND(AB107*Premissas!$D$33,0)</f>
        <v/>
      </c>
      <c r="V107">
        <f>Premissas!$D$37+ROUND(Premissas!$D$12*Premissas!$D$38+D107*Premissas!$D$27,0)</f>
        <v/>
      </c>
      <c r="W107">
        <f>Premissas!$D$39</f>
        <v/>
      </c>
      <c r="X107">
        <f>S107-T107-ROUND(Premissas!$D$12*Premissas!$D$38+D107*Premissas!$D$27,0)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Premissas!$D$32+(B107+C107)/Premissas!$D$34</f>
        <v/>
      </c>
      <c r="AC107">
        <f>D107+AC95*(1-Premissas!$D$26/12)^12</f>
        <v/>
      </c>
    </row>
    <row r="108">
      <c r="A108" t="n">
        <v>105</v>
      </c>
      <c r="B108">
        <f>B107*(1-Premissas!$D$18/12)+Premissas!$D$12</f>
        <v/>
      </c>
      <c r="C108">
        <f>IF($B$2=1,C107*(1-Premissas!$D$26/12)+D108,0)</f>
        <v/>
      </c>
      <c r="D108">
        <f>IF(AND($B$2=1,A108&gt;=Premissas!$D$23),Premissas!$D$22,0)</f>
        <v/>
      </c>
      <c r="E108">
        <f>B108*Premissas!$D$28</f>
        <v/>
      </c>
      <c r="F108">
        <f>B108*Premissas!$D$13/12*MIN(1,A108/Premissas!$D$17)</f>
        <v/>
      </c>
      <c r="G108">
        <f>F108*Premissas!$D$14</f>
        <v/>
      </c>
      <c r="H108">
        <f>IF(IF(A108-1-Premissas!$D$16&gt;=0,OFFSET($J$4,A108-1-Premissas!$D$16,0),0)&gt;0,ROUND(IF(A108-1-Premissas!$D$16&gt;=0,OFFSET($J$4,A108-1-Premissas!$D$16,0),0)*10000/Premissas!$D$5*Premissas!$D$15,0),0)</f>
        <v/>
      </c>
      <c r="I108">
        <f>ROUND(G108*Premissas!$D$6/10000,0)</f>
        <v/>
      </c>
      <c r="J108">
        <f>ROUND(G108*Premissas!$D$5/10000,0)</f>
        <v/>
      </c>
      <c r="K108">
        <f>IF(IF(A108-1-Premissas!$D$16&gt;=0,OFFSET($A$4,A108-1-Premissas!$D$16,0)&gt;=Premissas!$D$19,FALSE),ROUND(IF(A108-1-Premissas!$D$16&gt;=0,OFFSET($J$4,A108-1-Premissas!$D$16,0),0)*Premissas!$D$15,0),0)</f>
        <v/>
      </c>
      <c r="L108">
        <f>ROUND(C108*Premissas!$D$24/12,0)</f>
        <v/>
      </c>
      <c r="M108">
        <f>ROUND(D108*Premissas!$D$25,0)</f>
        <v/>
      </c>
      <c r="N108">
        <f>ROUND(E108*Premissas!$D$29+B108*Premissas!$D$30,0)</f>
        <v/>
      </c>
      <c r="O108">
        <f>K108+L108+M108+N108</f>
        <v/>
      </c>
      <c r="P108">
        <f>K108+ROUND(AC108*Premissas!$D$24,0)+M108+N108</f>
        <v/>
      </c>
      <c r="Q108">
        <f>ROUND(IF(A108-1-Premissas!$D$21&gt;=0,OFFSET($P$4,A108-1-Premissas!$D$21,0),0)*(1-Premissas!$D$20/100),0)</f>
        <v/>
      </c>
      <c r="R108">
        <f>ROUND(F108*Premissas!$D$11+N108*Premissas!$D$31/100,0)+ROUND((E108+B108)*Premissas!$D$10,0)+ROUND(Q108*Premissas!$D$8/100,0)+ROUND(Premissas!$D$35+(B108+C108)*Premissas!$D$36,0)</f>
        <v/>
      </c>
      <c r="S108">
        <f>O108-R108</f>
        <v/>
      </c>
      <c r="T108">
        <f>ROUND(O108*Premissas!$D$9/100,0)</f>
        <v/>
      </c>
      <c r="U108">
        <f>ROUND(AB108*Premissas!$D$33,0)</f>
        <v/>
      </c>
      <c r="V108">
        <f>Premissas!$D$37+ROUND(Premissas!$D$12*Premissas!$D$38+D108*Premissas!$D$27,0)</f>
        <v/>
      </c>
      <c r="W108">
        <f>Premissas!$D$39</f>
        <v/>
      </c>
      <c r="X108">
        <f>S108-T108-ROUND(Premissas!$D$12*Premissas!$D$38+D108*Premissas!$D$27,0)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Premissas!$D$32+(B108+C108)/Premissas!$D$34</f>
        <v/>
      </c>
      <c r="AC108">
        <f>D108+AC96*(1-Premissas!$D$26/12)^12</f>
        <v/>
      </c>
    </row>
    <row r="109">
      <c r="A109" t="n">
        <v>106</v>
      </c>
      <c r="B109">
        <f>B108*(1-Premissas!$D$18/12)+Premissas!$D$12</f>
        <v/>
      </c>
      <c r="C109">
        <f>IF($B$2=1,C108*(1-Premissas!$D$26/12)+D109,0)</f>
        <v/>
      </c>
      <c r="D109">
        <f>IF(AND($B$2=1,A109&gt;=Premissas!$D$23),Premissas!$D$22,0)</f>
        <v/>
      </c>
      <c r="E109">
        <f>B109*Premissas!$D$28</f>
        <v/>
      </c>
      <c r="F109">
        <f>B109*Premissas!$D$13/12*MIN(1,A109/Premissas!$D$17)</f>
        <v/>
      </c>
      <c r="G109">
        <f>F109*Premissas!$D$14</f>
        <v/>
      </c>
      <c r="H109">
        <f>IF(IF(A109-1-Premissas!$D$16&gt;=0,OFFSET($J$4,A109-1-Premissas!$D$16,0),0)&gt;0,ROUND(IF(A109-1-Premissas!$D$16&gt;=0,OFFSET($J$4,A109-1-Premissas!$D$16,0),0)*10000/Premissas!$D$5*Premissas!$D$15,0),0)</f>
        <v/>
      </c>
      <c r="I109">
        <f>ROUND(G109*Premissas!$D$6/10000,0)</f>
        <v/>
      </c>
      <c r="J109">
        <f>ROUND(G109*Premissas!$D$5/10000,0)</f>
        <v/>
      </c>
      <c r="K109">
        <f>IF(IF(A109-1-Premissas!$D$16&gt;=0,OFFSET($A$4,A109-1-Premissas!$D$16,0)&gt;=Premissas!$D$19,FALSE),ROUND(IF(A109-1-Premissas!$D$16&gt;=0,OFFSET($J$4,A109-1-Premissas!$D$16,0),0)*Premissas!$D$15,0),0)</f>
        <v/>
      </c>
      <c r="L109">
        <f>ROUND(C109*Premissas!$D$24/12,0)</f>
        <v/>
      </c>
      <c r="M109">
        <f>ROUND(D109*Premissas!$D$25,0)</f>
        <v/>
      </c>
      <c r="N109">
        <f>ROUND(E109*Premissas!$D$29+B109*Premissas!$D$30,0)</f>
        <v/>
      </c>
      <c r="O109">
        <f>K109+L109+M109+N109</f>
        <v/>
      </c>
      <c r="P109">
        <f>K109+ROUND(AC109*Premissas!$D$24,0)+M109+N109</f>
        <v/>
      </c>
      <c r="Q109">
        <f>ROUND(IF(A109-1-Premissas!$D$21&gt;=0,OFFSET($P$4,A109-1-Premissas!$D$21,0),0)*(1-Premissas!$D$20/100),0)</f>
        <v/>
      </c>
      <c r="R109">
        <f>ROUND(F109*Premissas!$D$11+N109*Premissas!$D$31/100,0)+ROUND((E109+B109)*Premissas!$D$10,0)+ROUND(Q109*Premissas!$D$8/100,0)+ROUND(Premissas!$D$35+(B109+C109)*Premissas!$D$36,0)</f>
        <v/>
      </c>
      <c r="S109">
        <f>O109-R109</f>
        <v/>
      </c>
      <c r="T109">
        <f>ROUND(O109*Premissas!$D$9/100,0)</f>
        <v/>
      </c>
      <c r="U109">
        <f>ROUND(AB109*Premissas!$D$33,0)</f>
        <v/>
      </c>
      <c r="V109">
        <f>Premissas!$D$37+ROUND(Premissas!$D$12*Premissas!$D$38+D109*Premissas!$D$27,0)</f>
        <v/>
      </c>
      <c r="W109">
        <f>Premissas!$D$39</f>
        <v/>
      </c>
      <c r="X109">
        <f>S109-T109-ROUND(Premissas!$D$12*Premissas!$D$38+D109*Premissas!$D$27,0)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Premissas!$D$32+(B109+C109)/Premissas!$D$34</f>
        <v/>
      </c>
      <c r="AC109">
        <f>D109+AC97*(1-Premissas!$D$26/12)^12</f>
        <v/>
      </c>
    </row>
    <row r="110">
      <c r="A110" t="n">
        <v>107</v>
      </c>
      <c r="B110">
        <f>B109*(1-Premissas!$D$18/12)+Premissas!$D$12</f>
        <v/>
      </c>
      <c r="C110">
        <f>IF($B$2=1,C109*(1-Premissas!$D$26/12)+D110,0)</f>
        <v/>
      </c>
      <c r="D110">
        <f>IF(AND($B$2=1,A110&gt;=Premissas!$D$23),Premissas!$D$22,0)</f>
        <v/>
      </c>
      <c r="E110">
        <f>B110*Premissas!$D$28</f>
        <v/>
      </c>
      <c r="F110">
        <f>B110*Premissas!$D$13/12*MIN(1,A110/Premissas!$D$17)</f>
        <v/>
      </c>
      <c r="G110">
        <f>F110*Premissas!$D$14</f>
        <v/>
      </c>
      <c r="H110">
        <f>IF(IF(A110-1-Premissas!$D$16&gt;=0,OFFSET($J$4,A110-1-Premissas!$D$16,0),0)&gt;0,ROUND(IF(A110-1-Premissas!$D$16&gt;=0,OFFSET($J$4,A110-1-Premissas!$D$16,0),0)*10000/Premissas!$D$5*Premissas!$D$15,0),0)</f>
        <v/>
      </c>
      <c r="I110">
        <f>ROUND(G110*Premissas!$D$6/10000,0)</f>
        <v/>
      </c>
      <c r="J110">
        <f>ROUND(G110*Premissas!$D$5/10000,0)</f>
        <v/>
      </c>
      <c r="K110">
        <f>IF(IF(A110-1-Premissas!$D$16&gt;=0,OFFSET($A$4,A110-1-Premissas!$D$16,0)&gt;=Premissas!$D$19,FALSE),ROUND(IF(A110-1-Premissas!$D$16&gt;=0,OFFSET($J$4,A110-1-Premissas!$D$16,0),0)*Premissas!$D$15,0),0)</f>
        <v/>
      </c>
      <c r="L110">
        <f>ROUND(C110*Premissas!$D$24/12,0)</f>
        <v/>
      </c>
      <c r="M110">
        <f>ROUND(D110*Premissas!$D$25,0)</f>
        <v/>
      </c>
      <c r="N110">
        <f>ROUND(E110*Premissas!$D$29+B110*Premissas!$D$30,0)</f>
        <v/>
      </c>
      <c r="O110">
        <f>K110+L110+M110+N110</f>
        <v/>
      </c>
      <c r="P110">
        <f>K110+ROUND(AC110*Premissas!$D$24,0)+M110+N110</f>
        <v/>
      </c>
      <c r="Q110">
        <f>ROUND(IF(A110-1-Premissas!$D$21&gt;=0,OFFSET($P$4,A110-1-Premissas!$D$21,0),0)*(1-Premissas!$D$20/100),0)</f>
        <v/>
      </c>
      <c r="R110">
        <f>ROUND(F110*Premissas!$D$11+N110*Premissas!$D$31/100,0)+ROUND((E110+B110)*Premissas!$D$10,0)+ROUND(Q110*Premissas!$D$8/100,0)+ROUND(Premissas!$D$35+(B110+C110)*Premissas!$D$36,0)</f>
        <v/>
      </c>
      <c r="S110">
        <f>O110-R110</f>
        <v/>
      </c>
      <c r="T110">
        <f>ROUND(O110*Premissas!$D$9/100,0)</f>
        <v/>
      </c>
      <c r="U110">
        <f>ROUND(AB110*Premissas!$D$33,0)</f>
        <v/>
      </c>
      <c r="V110">
        <f>Premissas!$D$37+ROUND(Premissas!$D$12*Premissas!$D$38+D110*Premissas!$D$27,0)</f>
        <v/>
      </c>
      <c r="W110">
        <f>Premissas!$D$39</f>
        <v/>
      </c>
      <c r="X110">
        <f>S110-T110-ROUND(Premissas!$D$12*Premissas!$D$38+D110*Premissas!$D$27,0)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Premissas!$D$32+(B110+C110)/Premissas!$D$34</f>
        <v/>
      </c>
      <c r="AC110">
        <f>D110+AC98*(1-Premissas!$D$26/12)^12</f>
        <v/>
      </c>
    </row>
    <row r="111">
      <c r="A111" t="n">
        <v>108</v>
      </c>
      <c r="B111">
        <f>B110*(1-Premissas!$D$18/12)+Premissas!$D$12</f>
        <v/>
      </c>
      <c r="C111">
        <f>IF($B$2=1,C110*(1-Premissas!$D$26/12)+D111,0)</f>
        <v/>
      </c>
      <c r="D111">
        <f>IF(AND($B$2=1,A111&gt;=Premissas!$D$23),Premissas!$D$22,0)</f>
        <v/>
      </c>
      <c r="E111">
        <f>B111*Premissas!$D$28</f>
        <v/>
      </c>
      <c r="F111">
        <f>B111*Premissas!$D$13/12*MIN(1,A111/Premissas!$D$17)</f>
        <v/>
      </c>
      <c r="G111">
        <f>F111*Premissas!$D$14</f>
        <v/>
      </c>
      <c r="H111">
        <f>IF(IF(A111-1-Premissas!$D$16&gt;=0,OFFSET($J$4,A111-1-Premissas!$D$16,0),0)&gt;0,ROUND(IF(A111-1-Premissas!$D$16&gt;=0,OFFSET($J$4,A111-1-Premissas!$D$16,0),0)*10000/Premissas!$D$5*Premissas!$D$15,0),0)</f>
        <v/>
      </c>
      <c r="I111">
        <f>ROUND(G111*Premissas!$D$6/10000,0)</f>
        <v/>
      </c>
      <c r="J111">
        <f>ROUND(G111*Premissas!$D$5/10000,0)</f>
        <v/>
      </c>
      <c r="K111">
        <f>IF(IF(A111-1-Premissas!$D$16&gt;=0,OFFSET($A$4,A111-1-Premissas!$D$16,0)&gt;=Premissas!$D$19,FALSE),ROUND(IF(A111-1-Premissas!$D$16&gt;=0,OFFSET($J$4,A111-1-Premissas!$D$16,0),0)*Premissas!$D$15,0),0)</f>
        <v/>
      </c>
      <c r="L111">
        <f>ROUND(C111*Premissas!$D$24/12,0)</f>
        <v/>
      </c>
      <c r="M111">
        <f>ROUND(D111*Premissas!$D$25,0)</f>
        <v/>
      </c>
      <c r="N111">
        <f>ROUND(E111*Premissas!$D$29+B111*Premissas!$D$30,0)</f>
        <v/>
      </c>
      <c r="O111">
        <f>K111+L111+M111+N111</f>
        <v/>
      </c>
      <c r="P111">
        <f>K111+ROUND(AC111*Premissas!$D$24,0)+M111+N111</f>
        <v/>
      </c>
      <c r="Q111">
        <f>ROUND(IF(A111-1-Premissas!$D$21&gt;=0,OFFSET($P$4,A111-1-Premissas!$D$21,0),0)*(1-Premissas!$D$20/100),0)</f>
        <v/>
      </c>
      <c r="R111">
        <f>ROUND(F111*Premissas!$D$11+N111*Premissas!$D$31/100,0)+ROUND((E111+B111)*Premissas!$D$10,0)+ROUND(Q111*Premissas!$D$8/100,0)+ROUND(Premissas!$D$35+(B111+C111)*Premissas!$D$36,0)</f>
        <v/>
      </c>
      <c r="S111">
        <f>O111-R111</f>
        <v/>
      </c>
      <c r="T111">
        <f>ROUND(O111*Premissas!$D$9/100,0)</f>
        <v/>
      </c>
      <c r="U111">
        <f>ROUND(AB111*Premissas!$D$33,0)</f>
        <v/>
      </c>
      <c r="V111">
        <f>Premissas!$D$37+ROUND(Premissas!$D$12*Premissas!$D$38+D111*Premissas!$D$27,0)</f>
        <v/>
      </c>
      <c r="W111">
        <f>Premissas!$D$39</f>
        <v/>
      </c>
      <c r="X111">
        <f>S111-T111-ROUND(Premissas!$D$12*Premissas!$D$38+D111*Premissas!$D$27,0)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Premissas!$D$32+(B111+C111)/Premissas!$D$34</f>
        <v/>
      </c>
      <c r="AC111">
        <f>D111+AC99*(1-Premissas!$D$26/12)^12</f>
        <v/>
      </c>
    </row>
    <row r="112">
      <c r="A112" t="n">
        <v>109</v>
      </c>
      <c r="B112">
        <f>B111*(1-Premissas!$D$18/12)+Premissas!$D$12</f>
        <v/>
      </c>
      <c r="C112">
        <f>IF($B$2=1,C111*(1-Premissas!$D$26/12)+D112,0)</f>
        <v/>
      </c>
      <c r="D112">
        <f>IF(AND($B$2=1,A112&gt;=Premissas!$D$23),Premissas!$D$22,0)</f>
        <v/>
      </c>
      <c r="E112">
        <f>B112*Premissas!$D$28</f>
        <v/>
      </c>
      <c r="F112">
        <f>B112*Premissas!$D$13/12*MIN(1,A112/Premissas!$D$17)</f>
        <v/>
      </c>
      <c r="G112">
        <f>F112*Premissas!$D$14</f>
        <v/>
      </c>
      <c r="H112">
        <f>IF(IF(A112-1-Premissas!$D$16&gt;=0,OFFSET($J$4,A112-1-Premissas!$D$16,0),0)&gt;0,ROUND(IF(A112-1-Premissas!$D$16&gt;=0,OFFSET($J$4,A112-1-Premissas!$D$16,0),0)*10000/Premissas!$D$5*Premissas!$D$15,0),0)</f>
        <v/>
      </c>
      <c r="I112">
        <f>ROUND(G112*Premissas!$D$6/10000,0)</f>
        <v/>
      </c>
      <c r="J112">
        <f>ROUND(G112*Premissas!$D$5/10000,0)</f>
        <v/>
      </c>
      <c r="K112">
        <f>IF(IF(A112-1-Premissas!$D$16&gt;=0,OFFSET($A$4,A112-1-Premissas!$D$16,0)&gt;=Premissas!$D$19,FALSE),ROUND(IF(A112-1-Premissas!$D$16&gt;=0,OFFSET($J$4,A112-1-Premissas!$D$16,0),0)*Premissas!$D$15,0),0)</f>
        <v/>
      </c>
      <c r="L112">
        <f>ROUND(C112*Premissas!$D$24/12,0)</f>
        <v/>
      </c>
      <c r="M112">
        <f>ROUND(D112*Premissas!$D$25,0)</f>
        <v/>
      </c>
      <c r="N112">
        <f>ROUND(E112*Premissas!$D$29+B112*Premissas!$D$30,0)</f>
        <v/>
      </c>
      <c r="O112">
        <f>K112+L112+M112+N112</f>
        <v/>
      </c>
      <c r="P112">
        <f>K112+ROUND(AC112*Premissas!$D$24,0)+M112+N112</f>
        <v/>
      </c>
      <c r="Q112">
        <f>ROUND(IF(A112-1-Premissas!$D$21&gt;=0,OFFSET($P$4,A112-1-Premissas!$D$21,0),0)*(1-Premissas!$D$20/100),0)</f>
        <v/>
      </c>
      <c r="R112">
        <f>ROUND(F112*Premissas!$D$11+N112*Premissas!$D$31/100,0)+ROUND((E112+B112)*Premissas!$D$10,0)+ROUND(Q112*Premissas!$D$8/100,0)+ROUND(Premissas!$D$35+(B112+C112)*Premissas!$D$36,0)</f>
        <v/>
      </c>
      <c r="S112">
        <f>O112-R112</f>
        <v/>
      </c>
      <c r="T112">
        <f>ROUND(O112*Premissas!$D$9/100,0)</f>
        <v/>
      </c>
      <c r="U112">
        <f>ROUND(AB112*Premissas!$D$33,0)</f>
        <v/>
      </c>
      <c r="V112">
        <f>Premissas!$D$37+ROUND(Premissas!$D$12*Premissas!$D$38+D112*Premissas!$D$27,0)</f>
        <v/>
      </c>
      <c r="W112">
        <f>Premissas!$D$39</f>
        <v/>
      </c>
      <c r="X112">
        <f>S112-T112-ROUND(Premissas!$D$12*Premissas!$D$38+D112*Premissas!$D$27,0)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Premissas!$D$32+(B112+C112)/Premissas!$D$34</f>
        <v/>
      </c>
      <c r="AC112">
        <f>D112+AC100*(1-Premissas!$D$26/12)^12</f>
        <v/>
      </c>
    </row>
    <row r="113">
      <c r="A113" t="n">
        <v>110</v>
      </c>
      <c r="B113">
        <f>B112*(1-Premissas!$D$18/12)+Premissas!$D$12</f>
        <v/>
      </c>
      <c r="C113">
        <f>IF($B$2=1,C112*(1-Premissas!$D$26/12)+D113,0)</f>
        <v/>
      </c>
      <c r="D113">
        <f>IF(AND($B$2=1,A113&gt;=Premissas!$D$23),Premissas!$D$22,0)</f>
        <v/>
      </c>
      <c r="E113">
        <f>B113*Premissas!$D$28</f>
        <v/>
      </c>
      <c r="F113">
        <f>B113*Premissas!$D$13/12*MIN(1,A113/Premissas!$D$17)</f>
        <v/>
      </c>
      <c r="G113">
        <f>F113*Premissas!$D$14</f>
        <v/>
      </c>
      <c r="H113">
        <f>IF(IF(A113-1-Premissas!$D$16&gt;=0,OFFSET($J$4,A113-1-Premissas!$D$16,0),0)&gt;0,ROUND(IF(A113-1-Premissas!$D$16&gt;=0,OFFSET($J$4,A113-1-Premissas!$D$16,0),0)*10000/Premissas!$D$5*Premissas!$D$15,0),0)</f>
        <v/>
      </c>
      <c r="I113">
        <f>ROUND(G113*Premissas!$D$6/10000,0)</f>
        <v/>
      </c>
      <c r="J113">
        <f>ROUND(G113*Premissas!$D$5/10000,0)</f>
        <v/>
      </c>
      <c r="K113">
        <f>IF(IF(A113-1-Premissas!$D$16&gt;=0,OFFSET($A$4,A113-1-Premissas!$D$16,0)&gt;=Premissas!$D$19,FALSE),ROUND(IF(A113-1-Premissas!$D$16&gt;=0,OFFSET($J$4,A113-1-Premissas!$D$16,0),0)*Premissas!$D$15,0),0)</f>
        <v/>
      </c>
      <c r="L113">
        <f>ROUND(C113*Premissas!$D$24/12,0)</f>
        <v/>
      </c>
      <c r="M113">
        <f>ROUND(D113*Premissas!$D$25,0)</f>
        <v/>
      </c>
      <c r="N113">
        <f>ROUND(E113*Premissas!$D$29+B113*Premissas!$D$30,0)</f>
        <v/>
      </c>
      <c r="O113">
        <f>K113+L113+M113+N113</f>
        <v/>
      </c>
      <c r="P113">
        <f>K113+ROUND(AC113*Premissas!$D$24,0)+M113+N113</f>
        <v/>
      </c>
      <c r="Q113">
        <f>ROUND(IF(A113-1-Premissas!$D$21&gt;=0,OFFSET($P$4,A113-1-Premissas!$D$21,0),0)*(1-Premissas!$D$20/100),0)</f>
        <v/>
      </c>
      <c r="R113">
        <f>ROUND(F113*Premissas!$D$11+N113*Premissas!$D$31/100,0)+ROUND((E113+B113)*Premissas!$D$10,0)+ROUND(Q113*Premissas!$D$8/100,0)+ROUND(Premissas!$D$35+(B113+C113)*Premissas!$D$36,0)</f>
        <v/>
      </c>
      <c r="S113">
        <f>O113-R113</f>
        <v/>
      </c>
      <c r="T113">
        <f>ROUND(O113*Premissas!$D$9/100,0)</f>
        <v/>
      </c>
      <c r="U113">
        <f>ROUND(AB113*Premissas!$D$33,0)</f>
        <v/>
      </c>
      <c r="V113">
        <f>Premissas!$D$37+ROUND(Premissas!$D$12*Premissas!$D$38+D113*Premissas!$D$27,0)</f>
        <v/>
      </c>
      <c r="W113">
        <f>Premissas!$D$39</f>
        <v/>
      </c>
      <c r="X113">
        <f>S113-T113-ROUND(Premissas!$D$12*Premissas!$D$38+D113*Premissas!$D$27,0)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Premissas!$D$32+(B113+C113)/Premissas!$D$34</f>
        <v/>
      </c>
      <c r="AC113">
        <f>D113+AC101*(1-Premissas!$D$26/12)^12</f>
        <v/>
      </c>
    </row>
    <row r="114">
      <c r="A114" t="n">
        <v>111</v>
      </c>
      <c r="B114">
        <f>B113*(1-Premissas!$D$18/12)+Premissas!$D$12</f>
        <v/>
      </c>
      <c r="C114">
        <f>IF($B$2=1,C113*(1-Premissas!$D$26/12)+D114,0)</f>
        <v/>
      </c>
      <c r="D114">
        <f>IF(AND($B$2=1,A114&gt;=Premissas!$D$23),Premissas!$D$22,0)</f>
        <v/>
      </c>
      <c r="E114">
        <f>B114*Premissas!$D$28</f>
        <v/>
      </c>
      <c r="F114">
        <f>B114*Premissas!$D$13/12*MIN(1,A114/Premissas!$D$17)</f>
        <v/>
      </c>
      <c r="G114">
        <f>F114*Premissas!$D$14</f>
        <v/>
      </c>
      <c r="H114">
        <f>IF(IF(A114-1-Premissas!$D$16&gt;=0,OFFSET($J$4,A114-1-Premissas!$D$16,0),0)&gt;0,ROUND(IF(A114-1-Premissas!$D$16&gt;=0,OFFSET($J$4,A114-1-Premissas!$D$16,0),0)*10000/Premissas!$D$5*Premissas!$D$15,0),0)</f>
        <v/>
      </c>
      <c r="I114">
        <f>ROUND(G114*Premissas!$D$6/10000,0)</f>
        <v/>
      </c>
      <c r="J114">
        <f>ROUND(G114*Premissas!$D$5/10000,0)</f>
        <v/>
      </c>
      <c r="K114">
        <f>IF(IF(A114-1-Premissas!$D$16&gt;=0,OFFSET($A$4,A114-1-Premissas!$D$16,0)&gt;=Premissas!$D$19,FALSE),ROUND(IF(A114-1-Premissas!$D$16&gt;=0,OFFSET($J$4,A114-1-Premissas!$D$16,0),0)*Premissas!$D$15,0),0)</f>
        <v/>
      </c>
      <c r="L114">
        <f>ROUND(C114*Premissas!$D$24/12,0)</f>
        <v/>
      </c>
      <c r="M114">
        <f>ROUND(D114*Premissas!$D$25,0)</f>
        <v/>
      </c>
      <c r="N114">
        <f>ROUND(E114*Premissas!$D$29+B114*Premissas!$D$30,0)</f>
        <v/>
      </c>
      <c r="O114">
        <f>K114+L114+M114+N114</f>
        <v/>
      </c>
      <c r="P114">
        <f>K114+ROUND(AC114*Premissas!$D$24,0)+M114+N114</f>
        <v/>
      </c>
      <c r="Q114">
        <f>ROUND(IF(A114-1-Premissas!$D$21&gt;=0,OFFSET($P$4,A114-1-Premissas!$D$21,0),0)*(1-Premissas!$D$20/100),0)</f>
        <v/>
      </c>
      <c r="R114">
        <f>ROUND(F114*Premissas!$D$11+N114*Premissas!$D$31/100,0)+ROUND((E114+B114)*Premissas!$D$10,0)+ROUND(Q114*Premissas!$D$8/100,0)+ROUND(Premissas!$D$35+(B114+C114)*Premissas!$D$36,0)</f>
        <v/>
      </c>
      <c r="S114">
        <f>O114-R114</f>
        <v/>
      </c>
      <c r="T114">
        <f>ROUND(O114*Premissas!$D$9/100,0)</f>
        <v/>
      </c>
      <c r="U114">
        <f>ROUND(AB114*Premissas!$D$33,0)</f>
        <v/>
      </c>
      <c r="V114">
        <f>Premissas!$D$37+ROUND(Premissas!$D$12*Premissas!$D$38+D114*Premissas!$D$27,0)</f>
        <v/>
      </c>
      <c r="W114">
        <f>Premissas!$D$39</f>
        <v/>
      </c>
      <c r="X114">
        <f>S114-T114-ROUND(Premissas!$D$12*Premissas!$D$38+D114*Premissas!$D$27,0)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Premissas!$D$32+(B114+C114)/Premissas!$D$34</f>
        <v/>
      </c>
      <c r="AC114">
        <f>D114+AC102*(1-Premissas!$D$26/12)^12</f>
        <v/>
      </c>
    </row>
    <row r="115">
      <c r="A115" t="n">
        <v>112</v>
      </c>
      <c r="B115">
        <f>B114*(1-Premissas!$D$18/12)+Premissas!$D$12</f>
        <v/>
      </c>
      <c r="C115">
        <f>IF($B$2=1,C114*(1-Premissas!$D$26/12)+D115,0)</f>
        <v/>
      </c>
      <c r="D115">
        <f>IF(AND($B$2=1,A115&gt;=Premissas!$D$23),Premissas!$D$22,0)</f>
        <v/>
      </c>
      <c r="E115">
        <f>B115*Premissas!$D$28</f>
        <v/>
      </c>
      <c r="F115">
        <f>B115*Premissas!$D$13/12*MIN(1,A115/Premissas!$D$17)</f>
        <v/>
      </c>
      <c r="G115">
        <f>F115*Premissas!$D$14</f>
        <v/>
      </c>
      <c r="H115">
        <f>IF(IF(A115-1-Premissas!$D$16&gt;=0,OFFSET($J$4,A115-1-Premissas!$D$16,0),0)&gt;0,ROUND(IF(A115-1-Premissas!$D$16&gt;=0,OFFSET($J$4,A115-1-Premissas!$D$16,0),0)*10000/Premissas!$D$5*Premissas!$D$15,0),0)</f>
        <v/>
      </c>
      <c r="I115">
        <f>ROUND(G115*Premissas!$D$6/10000,0)</f>
        <v/>
      </c>
      <c r="J115">
        <f>ROUND(G115*Premissas!$D$5/10000,0)</f>
        <v/>
      </c>
      <c r="K115">
        <f>IF(IF(A115-1-Premissas!$D$16&gt;=0,OFFSET($A$4,A115-1-Premissas!$D$16,0)&gt;=Premissas!$D$19,FALSE),ROUND(IF(A115-1-Premissas!$D$16&gt;=0,OFFSET($J$4,A115-1-Premissas!$D$16,0),0)*Premissas!$D$15,0),0)</f>
        <v/>
      </c>
      <c r="L115">
        <f>ROUND(C115*Premissas!$D$24/12,0)</f>
        <v/>
      </c>
      <c r="M115">
        <f>ROUND(D115*Premissas!$D$25,0)</f>
        <v/>
      </c>
      <c r="N115">
        <f>ROUND(E115*Premissas!$D$29+B115*Premissas!$D$30,0)</f>
        <v/>
      </c>
      <c r="O115">
        <f>K115+L115+M115+N115</f>
        <v/>
      </c>
      <c r="P115">
        <f>K115+ROUND(AC115*Premissas!$D$24,0)+M115+N115</f>
        <v/>
      </c>
      <c r="Q115">
        <f>ROUND(IF(A115-1-Premissas!$D$21&gt;=0,OFFSET($P$4,A115-1-Premissas!$D$21,0),0)*(1-Premissas!$D$20/100),0)</f>
        <v/>
      </c>
      <c r="R115">
        <f>ROUND(F115*Premissas!$D$11+N115*Premissas!$D$31/100,0)+ROUND((E115+B115)*Premissas!$D$10,0)+ROUND(Q115*Premissas!$D$8/100,0)+ROUND(Premissas!$D$35+(B115+C115)*Premissas!$D$36,0)</f>
        <v/>
      </c>
      <c r="S115">
        <f>O115-R115</f>
        <v/>
      </c>
      <c r="T115">
        <f>ROUND(O115*Premissas!$D$9/100,0)</f>
        <v/>
      </c>
      <c r="U115">
        <f>ROUND(AB115*Premissas!$D$33,0)</f>
        <v/>
      </c>
      <c r="V115">
        <f>Premissas!$D$37+ROUND(Premissas!$D$12*Premissas!$D$38+D115*Premissas!$D$27,0)</f>
        <v/>
      </c>
      <c r="W115">
        <f>Premissas!$D$39</f>
        <v/>
      </c>
      <c r="X115">
        <f>S115-T115-ROUND(Premissas!$D$12*Premissas!$D$38+D115*Premissas!$D$27,0)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Premissas!$D$32+(B115+C115)/Premissas!$D$34</f>
        <v/>
      </c>
      <c r="AC115">
        <f>D115+AC103*(1-Premissas!$D$26/12)^12</f>
        <v/>
      </c>
    </row>
    <row r="116">
      <c r="A116" t="n">
        <v>113</v>
      </c>
      <c r="B116">
        <f>B115*(1-Premissas!$D$18/12)+Premissas!$D$12</f>
        <v/>
      </c>
      <c r="C116">
        <f>IF($B$2=1,C115*(1-Premissas!$D$26/12)+D116,0)</f>
        <v/>
      </c>
      <c r="D116">
        <f>IF(AND($B$2=1,A116&gt;=Premissas!$D$23),Premissas!$D$22,0)</f>
        <v/>
      </c>
      <c r="E116">
        <f>B116*Premissas!$D$28</f>
        <v/>
      </c>
      <c r="F116">
        <f>B116*Premissas!$D$13/12*MIN(1,A116/Premissas!$D$17)</f>
        <v/>
      </c>
      <c r="G116">
        <f>F116*Premissas!$D$14</f>
        <v/>
      </c>
      <c r="H116">
        <f>IF(IF(A116-1-Premissas!$D$16&gt;=0,OFFSET($J$4,A116-1-Premissas!$D$16,0),0)&gt;0,ROUND(IF(A116-1-Premissas!$D$16&gt;=0,OFFSET($J$4,A116-1-Premissas!$D$16,0),0)*10000/Premissas!$D$5*Premissas!$D$15,0),0)</f>
        <v/>
      </c>
      <c r="I116">
        <f>ROUND(G116*Premissas!$D$6/10000,0)</f>
        <v/>
      </c>
      <c r="J116">
        <f>ROUND(G116*Premissas!$D$5/10000,0)</f>
        <v/>
      </c>
      <c r="K116">
        <f>IF(IF(A116-1-Premissas!$D$16&gt;=0,OFFSET($A$4,A116-1-Premissas!$D$16,0)&gt;=Premissas!$D$19,FALSE),ROUND(IF(A116-1-Premissas!$D$16&gt;=0,OFFSET($J$4,A116-1-Premissas!$D$16,0),0)*Premissas!$D$15,0),0)</f>
        <v/>
      </c>
      <c r="L116">
        <f>ROUND(C116*Premissas!$D$24/12,0)</f>
        <v/>
      </c>
      <c r="M116">
        <f>ROUND(D116*Premissas!$D$25,0)</f>
        <v/>
      </c>
      <c r="N116">
        <f>ROUND(E116*Premissas!$D$29+B116*Premissas!$D$30,0)</f>
        <v/>
      </c>
      <c r="O116">
        <f>K116+L116+M116+N116</f>
        <v/>
      </c>
      <c r="P116">
        <f>K116+ROUND(AC116*Premissas!$D$24,0)+M116+N116</f>
        <v/>
      </c>
      <c r="Q116">
        <f>ROUND(IF(A116-1-Premissas!$D$21&gt;=0,OFFSET($P$4,A116-1-Premissas!$D$21,0),0)*(1-Premissas!$D$20/100),0)</f>
        <v/>
      </c>
      <c r="R116">
        <f>ROUND(F116*Premissas!$D$11+N116*Premissas!$D$31/100,0)+ROUND((E116+B116)*Premissas!$D$10,0)+ROUND(Q116*Premissas!$D$8/100,0)+ROUND(Premissas!$D$35+(B116+C116)*Premissas!$D$36,0)</f>
        <v/>
      </c>
      <c r="S116">
        <f>O116-R116</f>
        <v/>
      </c>
      <c r="T116">
        <f>ROUND(O116*Premissas!$D$9/100,0)</f>
        <v/>
      </c>
      <c r="U116">
        <f>ROUND(AB116*Premissas!$D$33,0)</f>
        <v/>
      </c>
      <c r="V116">
        <f>Premissas!$D$37+ROUND(Premissas!$D$12*Premissas!$D$38+D116*Premissas!$D$27,0)</f>
        <v/>
      </c>
      <c r="W116">
        <f>Premissas!$D$39</f>
        <v/>
      </c>
      <c r="X116">
        <f>S116-T116-ROUND(Premissas!$D$12*Premissas!$D$38+D116*Premissas!$D$27,0)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Premissas!$D$32+(B116+C116)/Premissas!$D$34</f>
        <v/>
      </c>
      <c r="AC116">
        <f>D116+AC104*(1-Premissas!$D$26/12)^12</f>
        <v/>
      </c>
    </row>
    <row r="117">
      <c r="A117" t="n">
        <v>114</v>
      </c>
      <c r="B117">
        <f>B116*(1-Premissas!$D$18/12)+Premissas!$D$12</f>
        <v/>
      </c>
      <c r="C117">
        <f>IF($B$2=1,C116*(1-Premissas!$D$26/12)+D117,0)</f>
        <v/>
      </c>
      <c r="D117">
        <f>IF(AND($B$2=1,A117&gt;=Premissas!$D$23),Premissas!$D$22,0)</f>
        <v/>
      </c>
      <c r="E117">
        <f>B117*Premissas!$D$28</f>
        <v/>
      </c>
      <c r="F117">
        <f>B117*Premissas!$D$13/12*MIN(1,A117/Premissas!$D$17)</f>
        <v/>
      </c>
      <c r="G117">
        <f>F117*Premissas!$D$14</f>
        <v/>
      </c>
      <c r="H117">
        <f>IF(IF(A117-1-Premissas!$D$16&gt;=0,OFFSET($J$4,A117-1-Premissas!$D$16,0),0)&gt;0,ROUND(IF(A117-1-Premissas!$D$16&gt;=0,OFFSET($J$4,A117-1-Premissas!$D$16,0),0)*10000/Premissas!$D$5*Premissas!$D$15,0),0)</f>
        <v/>
      </c>
      <c r="I117">
        <f>ROUND(G117*Premissas!$D$6/10000,0)</f>
        <v/>
      </c>
      <c r="J117">
        <f>ROUND(G117*Premissas!$D$5/10000,0)</f>
        <v/>
      </c>
      <c r="K117">
        <f>IF(IF(A117-1-Premissas!$D$16&gt;=0,OFFSET($A$4,A117-1-Premissas!$D$16,0)&gt;=Premissas!$D$19,FALSE),ROUND(IF(A117-1-Premissas!$D$16&gt;=0,OFFSET($J$4,A117-1-Premissas!$D$16,0),0)*Premissas!$D$15,0),0)</f>
        <v/>
      </c>
      <c r="L117">
        <f>ROUND(C117*Premissas!$D$24/12,0)</f>
        <v/>
      </c>
      <c r="M117">
        <f>ROUND(D117*Premissas!$D$25,0)</f>
        <v/>
      </c>
      <c r="N117">
        <f>ROUND(E117*Premissas!$D$29+B117*Premissas!$D$30,0)</f>
        <v/>
      </c>
      <c r="O117">
        <f>K117+L117+M117+N117</f>
        <v/>
      </c>
      <c r="P117">
        <f>K117+ROUND(AC117*Premissas!$D$24,0)+M117+N117</f>
        <v/>
      </c>
      <c r="Q117">
        <f>ROUND(IF(A117-1-Premissas!$D$21&gt;=0,OFFSET($P$4,A117-1-Premissas!$D$21,0),0)*(1-Premissas!$D$20/100),0)</f>
        <v/>
      </c>
      <c r="R117">
        <f>ROUND(F117*Premissas!$D$11+N117*Premissas!$D$31/100,0)+ROUND((E117+B117)*Premissas!$D$10,0)+ROUND(Q117*Premissas!$D$8/100,0)+ROUND(Premissas!$D$35+(B117+C117)*Premissas!$D$36,0)</f>
        <v/>
      </c>
      <c r="S117">
        <f>O117-R117</f>
        <v/>
      </c>
      <c r="T117">
        <f>ROUND(O117*Premissas!$D$9/100,0)</f>
        <v/>
      </c>
      <c r="U117">
        <f>ROUND(AB117*Premissas!$D$33,0)</f>
        <v/>
      </c>
      <c r="V117">
        <f>Premissas!$D$37+ROUND(Premissas!$D$12*Premissas!$D$38+D117*Premissas!$D$27,0)</f>
        <v/>
      </c>
      <c r="W117">
        <f>Premissas!$D$39</f>
        <v/>
      </c>
      <c r="X117">
        <f>S117-T117-ROUND(Premissas!$D$12*Premissas!$D$38+D117*Premissas!$D$27,0)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Premissas!$D$32+(B117+C117)/Premissas!$D$34</f>
        <v/>
      </c>
      <c r="AC117">
        <f>D117+AC105*(1-Premissas!$D$26/12)^12</f>
        <v/>
      </c>
    </row>
    <row r="118">
      <c r="A118" t="n">
        <v>115</v>
      </c>
      <c r="B118">
        <f>B117*(1-Premissas!$D$18/12)+Premissas!$D$12</f>
        <v/>
      </c>
      <c r="C118">
        <f>IF($B$2=1,C117*(1-Premissas!$D$26/12)+D118,0)</f>
        <v/>
      </c>
      <c r="D118">
        <f>IF(AND($B$2=1,A118&gt;=Premissas!$D$23),Premissas!$D$22,0)</f>
        <v/>
      </c>
      <c r="E118">
        <f>B118*Premissas!$D$28</f>
        <v/>
      </c>
      <c r="F118">
        <f>B118*Premissas!$D$13/12*MIN(1,A118/Premissas!$D$17)</f>
        <v/>
      </c>
      <c r="G118">
        <f>F118*Premissas!$D$14</f>
        <v/>
      </c>
      <c r="H118">
        <f>IF(IF(A118-1-Premissas!$D$16&gt;=0,OFFSET($J$4,A118-1-Premissas!$D$16,0),0)&gt;0,ROUND(IF(A118-1-Premissas!$D$16&gt;=0,OFFSET($J$4,A118-1-Premissas!$D$16,0),0)*10000/Premissas!$D$5*Premissas!$D$15,0),0)</f>
        <v/>
      </c>
      <c r="I118">
        <f>ROUND(G118*Premissas!$D$6/10000,0)</f>
        <v/>
      </c>
      <c r="J118">
        <f>ROUND(G118*Premissas!$D$5/10000,0)</f>
        <v/>
      </c>
      <c r="K118">
        <f>IF(IF(A118-1-Premissas!$D$16&gt;=0,OFFSET($A$4,A118-1-Premissas!$D$16,0)&gt;=Premissas!$D$19,FALSE),ROUND(IF(A118-1-Premissas!$D$16&gt;=0,OFFSET($J$4,A118-1-Premissas!$D$16,0),0)*Premissas!$D$15,0),0)</f>
        <v/>
      </c>
      <c r="L118">
        <f>ROUND(C118*Premissas!$D$24/12,0)</f>
        <v/>
      </c>
      <c r="M118">
        <f>ROUND(D118*Premissas!$D$25,0)</f>
        <v/>
      </c>
      <c r="N118">
        <f>ROUND(E118*Premissas!$D$29+B118*Premissas!$D$30,0)</f>
        <v/>
      </c>
      <c r="O118">
        <f>K118+L118+M118+N118</f>
        <v/>
      </c>
      <c r="P118">
        <f>K118+ROUND(AC118*Premissas!$D$24,0)+M118+N118</f>
        <v/>
      </c>
      <c r="Q118">
        <f>ROUND(IF(A118-1-Premissas!$D$21&gt;=0,OFFSET($P$4,A118-1-Premissas!$D$21,0),0)*(1-Premissas!$D$20/100),0)</f>
        <v/>
      </c>
      <c r="R118">
        <f>ROUND(F118*Premissas!$D$11+N118*Premissas!$D$31/100,0)+ROUND((E118+B118)*Premissas!$D$10,0)+ROUND(Q118*Premissas!$D$8/100,0)+ROUND(Premissas!$D$35+(B118+C118)*Premissas!$D$36,0)</f>
        <v/>
      </c>
      <c r="S118">
        <f>O118-R118</f>
        <v/>
      </c>
      <c r="T118">
        <f>ROUND(O118*Premissas!$D$9/100,0)</f>
        <v/>
      </c>
      <c r="U118">
        <f>ROUND(AB118*Premissas!$D$33,0)</f>
        <v/>
      </c>
      <c r="V118">
        <f>Premissas!$D$37+ROUND(Premissas!$D$12*Premissas!$D$38+D118*Premissas!$D$27,0)</f>
        <v/>
      </c>
      <c r="W118">
        <f>Premissas!$D$39</f>
        <v/>
      </c>
      <c r="X118">
        <f>S118-T118-ROUND(Premissas!$D$12*Premissas!$D$38+D118*Premissas!$D$27,0)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Premissas!$D$32+(B118+C118)/Premissas!$D$34</f>
        <v/>
      </c>
      <c r="AC118">
        <f>D118+AC106*(1-Premissas!$D$26/12)^12</f>
        <v/>
      </c>
    </row>
    <row r="119">
      <c r="A119" t="n">
        <v>116</v>
      </c>
      <c r="B119">
        <f>B118*(1-Premissas!$D$18/12)+Premissas!$D$12</f>
        <v/>
      </c>
      <c r="C119">
        <f>IF($B$2=1,C118*(1-Premissas!$D$26/12)+D119,0)</f>
        <v/>
      </c>
      <c r="D119">
        <f>IF(AND($B$2=1,A119&gt;=Premissas!$D$23),Premissas!$D$22,0)</f>
        <v/>
      </c>
      <c r="E119">
        <f>B119*Premissas!$D$28</f>
        <v/>
      </c>
      <c r="F119">
        <f>B119*Premissas!$D$13/12*MIN(1,A119/Premissas!$D$17)</f>
        <v/>
      </c>
      <c r="G119">
        <f>F119*Premissas!$D$14</f>
        <v/>
      </c>
      <c r="H119">
        <f>IF(IF(A119-1-Premissas!$D$16&gt;=0,OFFSET($J$4,A119-1-Premissas!$D$16,0),0)&gt;0,ROUND(IF(A119-1-Premissas!$D$16&gt;=0,OFFSET($J$4,A119-1-Premissas!$D$16,0),0)*10000/Premissas!$D$5*Premissas!$D$15,0),0)</f>
        <v/>
      </c>
      <c r="I119">
        <f>ROUND(G119*Premissas!$D$6/10000,0)</f>
        <v/>
      </c>
      <c r="J119">
        <f>ROUND(G119*Premissas!$D$5/10000,0)</f>
        <v/>
      </c>
      <c r="K119">
        <f>IF(IF(A119-1-Premissas!$D$16&gt;=0,OFFSET($A$4,A119-1-Premissas!$D$16,0)&gt;=Premissas!$D$19,FALSE),ROUND(IF(A119-1-Premissas!$D$16&gt;=0,OFFSET($J$4,A119-1-Premissas!$D$16,0),0)*Premissas!$D$15,0),0)</f>
        <v/>
      </c>
      <c r="L119">
        <f>ROUND(C119*Premissas!$D$24/12,0)</f>
        <v/>
      </c>
      <c r="M119">
        <f>ROUND(D119*Premissas!$D$25,0)</f>
        <v/>
      </c>
      <c r="N119">
        <f>ROUND(E119*Premissas!$D$29+B119*Premissas!$D$30,0)</f>
        <v/>
      </c>
      <c r="O119">
        <f>K119+L119+M119+N119</f>
        <v/>
      </c>
      <c r="P119">
        <f>K119+ROUND(AC119*Premissas!$D$24,0)+M119+N119</f>
        <v/>
      </c>
      <c r="Q119">
        <f>ROUND(IF(A119-1-Premissas!$D$21&gt;=0,OFFSET($P$4,A119-1-Premissas!$D$21,0),0)*(1-Premissas!$D$20/100),0)</f>
        <v/>
      </c>
      <c r="R119">
        <f>ROUND(F119*Premissas!$D$11+N119*Premissas!$D$31/100,0)+ROUND((E119+B119)*Premissas!$D$10,0)+ROUND(Q119*Premissas!$D$8/100,0)+ROUND(Premissas!$D$35+(B119+C119)*Premissas!$D$36,0)</f>
        <v/>
      </c>
      <c r="S119">
        <f>O119-R119</f>
        <v/>
      </c>
      <c r="T119">
        <f>ROUND(O119*Premissas!$D$9/100,0)</f>
        <v/>
      </c>
      <c r="U119">
        <f>ROUND(AB119*Premissas!$D$33,0)</f>
        <v/>
      </c>
      <c r="V119">
        <f>Premissas!$D$37+ROUND(Premissas!$D$12*Premissas!$D$38+D119*Premissas!$D$27,0)</f>
        <v/>
      </c>
      <c r="W119">
        <f>Premissas!$D$39</f>
        <v/>
      </c>
      <c r="X119">
        <f>S119-T119-ROUND(Premissas!$D$12*Premissas!$D$38+D119*Premissas!$D$27,0)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Premissas!$D$32+(B119+C119)/Premissas!$D$34</f>
        <v/>
      </c>
      <c r="AC119">
        <f>D119+AC107*(1-Premissas!$D$26/12)^12</f>
        <v/>
      </c>
    </row>
    <row r="120">
      <c r="A120" t="n">
        <v>117</v>
      </c>
      <c r="B120">
        <f>B119*(1-Premissas!$D$18/12)+Premissas!$D$12</f>
        <v/>
      </c>
      <c r="C120">
        <f>IF($B$2=1,C119*(1-Premissas!$D$26/12)+D120,0)</f>
        <v/>
      </c>
      <c r="D120">
        <f>IF(AND($B$2=1,A120&gt;=Premissas!$D$23),Premissas!$D$22,0)</f>
        <v/>
      </c>
      <c r="E120">
        <f>B120*Premissas!$D$28</f>
        <v/>
      </c>
      <c r="F120">
        <f>B120*Premissas!$D$13/12*MIN(1,A120/Premissas!$D$17)</f>
        <v/>
      </c>
      <c r="G120">
        <f>F120*Premissas!$D$14</f>
        <v/>
      </c>
      <c r="H120">
        <f>IF(IF(A120-1-Premissas!$D$16&gt;=0,OFFSET($J$4,A120-1-Premissas!$D$16,0),0)&gt;0,ROUND(IF(A120-1-Premissas!$D$16&gt;=0,OFFSET($J$4,A120-1-Premissas!$D$16,0),0)*10000/Premissas!$D$5*Premissas!$D$15,0),0)</f>
        <v/>
      </c>
      <c r="I120">
        <f>ROUND(G120*Premissas!$D$6/10000,0)</f>
        <v/>
      </c>
      <c r="J120">
        <f>ROUND(G120*Premissas!$D$5/10000,0)</f>
        <v/>
      </c>
      <c r="K120">
        <f>IF(IF(A120-1-Premissas!$D$16&gt;=0,OFFSET($A$4,A120-1-Premissas!$D$16,0)&gt;=Premissas!$D$19,FALSE),ROUND(IF(A120-1-Premissas!$D$16&gt;=0,OFFSET($J$4,A120-1-Premissas!$D$16,0),0)*Premissas!$D$15,0),0)</f>
        <v/>
      </c>
      <c r="L120">
        <f>ROUND(C120*Premissas!$D$24/12,0)</f>
        <v/>
      </c>
      <c r="M120">
        <f>ROUND(D120*Premissas!$D$25,0)</f>
        <v/>
      </c>
      <c r="N120">
        <f>ROUND(E120*Premissas!$D$29+B120*Premissas!$D$30,0)</f>
        <v/>
      </c>
      <c r="O120">
        <f>K120+L120+M120+N120</f>
        <v/>
      </c>
      <c r="P120">
        <f>K120+ROUND(AC120*Premissas!$D$24,0)+M120+N120</f>
        <v/>
      </c>
      <c r="Q120">
        <f>ROUND(IF(A120-1-Premissas!$D$21&gt;=0,OFFSET($P$4,A120-1-Premissas!$D$21,0),0)*(1-Premissas!$D$20/100),0)</f>
        <v/>
      </c>
      <c r="R120">
        <f>ROUND(F120*Premissas!$D$11+N120*Premissas!$D$31/100,0)+ROUND((E120+B120)*Premissas!$D$10,0)+ROUND(Q120*Premissas!$D$8/100,0)+ROUND(Premissas!$D$35+(B120+C120)*Premissas!$D$36,0)</f>
        <v/>
      </c>
      <c r="S120">
        <f>O120-R120</f>
        <v/>
      </c>
      <c r="T120">
        <f>ROUND(O120*Premissas!$D$9/100,0)</f>
        <v/>
      </c>
      <c r="U120">
        <f>ROUND(AB120*Premissas!$D$33,0)</f>
        <v/>
      </c>
      <c r="V120">
        <f>Premissas!$D$37+ROUND(Premissas!$D$12*Premissas!$D$38+D120*Premissas!$D$27,0)</f>
        <v/>
      </c>
      <c r="W120">
        <f>Premissas!$D$39</f>
        <v/>
      </c>
      <c r="X120">
        <f>S120-T120-ROUND(Premissas!$D$12*Premissas!$D$38+D120*Premissas!$D$27,0)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Premissas!$D$32+(B120+C120)/Premissas!$D$34</f>
        <v/>
      </c>
      <c r="AC120">
        <f>D120+AC108*(1-Premissas!$D$26/12)^12</f>
        <v/>
      </c>
    </row>
    <row r="121">
      <c r="A121" t="n">
        <v>118</v>
      </c>
      <c r="B121">
        <f>B120*(1-Premissas!$D$18/12)+Premissas!$D$12</f>
        <v/>
      </c>
      <c r="C121">
        <f>IF($B$2=1,C120*(1-Premissas!$D$26/12)+D121,0)</f>
        <v/>
      </c>
      <c r="D121">
        <f>IF(AND($B$2=1,A121&gt;=Premissas!$D$23),Premissas!$D$22,0)</f>
        <v/>
      </c>
      <c r="E121">
        <f>B121*Premissas!$D$28</f>
        <v/>
      </c>
      <c r="F121">
        <f>B121*Premissas!$D$13/12*MIN(1,A121/Premissas!$D$17)</f>
        <v/>
      </c>
      <c r="G121">
        <f>F121*Premissas!$D$14</f>
        <v/>
      </c>
      <c r="H121">
        <f>IF(IF(A121-1-Premissas!$D$16&gt;=0,OFFSET($J$4,A121-1-Premissas!$D$16,0),0)&gt;0,ROUND(IF(A121-1-Premissas!$D$16&gt;=0,OFFSET($J$4,A121-1-Premissas!$D$16,0),0)*10000/Premissas!$D$5*Premissas!$D$15,0),0)</f>
        <v/>
      </c>
      <c r="I121">
        <f>ROUND(G121*Premissas!$D$6/10000,0)</f>
        <v/>
      </c>
      <c r="J121">
        <f>ROUND(G121*Premissas!$D$5/10000,0)</f>
        <v/>
      </c>
      <c r="K121">
        <f>IF(IF(A121-1-Premissas!$D$16&gt;=0,OFFSET($A$4,A121-1-Premissas!$D$16,0)&gt;=Premissas!$D$19,FALSE),ROUND(IF(A121-1-Premissas!$D$16&gt;=0,OFFSET($J$4,A121-1-Premissas!$D$16,0),0)*Premissas!$D$15,0),0)</f>
        <v/>
      </c>
      <c r="L121">
        <f>ROUND(C121*Premissas!$D$24/12,0)</f>
        <v/>
      </c>
      <c r="M121">
        <f>ROUND(D121*Premissas!$D$25,0)</f>
        <v/>
      </c>
      <c r="N121">
        <f>ROUND(E121*Premissas!$D$29+B121*Premissas!$D$30,0)</f>
        <v/>
      </c>
      <c r="O121">
        <f>K121+L121+M121+N121</f>
        <v/>
      </c>
      <c r="P121">
        <f>K121+ROUND(AC121*Premissas!$D$24,0)+M121+N121</f>
        <v/>
      </c>
      <c r="Q121">
        <f>ROUND(IF(A121-1-Premissas!$D$21&gt;=0,OFFSET($P$4,A121-1-Premissas!$D$21,0),0)*(1-Premissas!$D$20/100),0)</f>
        <v/>
      </c>
      <c r="R121">
        <f>ROUND(F121*Premissas!$D$11+N121*Premissas!$D$31/100,0)+ROUND((E121+B121)*Premissas!$D$10,0)+ROUND(Q121*Premissas!$D$8/100,0)+ROUND(Premissas!$D$35+(B121+C121)*Premissas!$D$36,0)</f>
        <v/>
      </c>
      <c r="S121">
        <f>O121-R121</f>
        <v/>
      </c>
      <c r="T121">
        <f>ROUND(O121*Premissas!$D$9/100,0)</f>
        <v/>
      </c>
      <c r="U121">
        <f>ROUND(AB121*Premissas!$D$33,0)</f>
        <v/>
      </c>
      <c r="V121">
        <f>Premissas!$D$37+ROUND(Premissas!$D$12*Premissas!$D$38+D121*Premissas!$D$27,0)</f>
        <v/>
      </c>
      <c r="W121">
        <f>Premissas!$D$39</f>
        <v/>
      </c>
      <c r="X121">
        <f>S121-T121-ROUND(Premissas!$D$12*Premissas!$D$38+D121*Premissas!$D$27,0)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Premissas!$D$32+(B121+C121)/Premissas!$D$34</f>
        <v/>
      </c>
      <c r="AC121">
        <f>D121+AC109*(1-Premissas!$D$26/12)^12</f>
        <v/>
      </c>
    </row>
    <row r="122">
      <c r="A122" t="n">
        <v>119</v>
      </c>
      <c r="B122">
        <f>B121*(1-Premissas!$D$18/12)+Premissas!$D$12</f>
        <v/>
      </c>
      <c r="C122">
        <f>IF($B$2=1,C121*(1-Premissas!$D$26/12)+D122,0)</f>
        <v/>
      </c>
      <c r="D122">
        <f>IF(AND($B$2=1,A122&gt;=Premissas!$D$23),Premissas!$D$22,0)</f>
        <v/>
      </c>
      <c r="E122">
        <f>B122*Premissas!$D$28</f>
        <v/>
      </c>
      <c r="F122">
        <f>B122*Premissas!$D$13/12*MIN(1,A122/Premissas!$D$17)</f>
        <v/>
      </c>
      <c r="G122">
        <f>F122*Premissas!$D$14</f>
        <v/>
      </c>
      <c r="H122">
        <f>IF(IF(A122-1-Premissas!$D$16&gt;=0,OFFSET($J$4,A122-1-Premissas!$D$16,0),0)&gt;0,ROUND(IF(A122-1-Premissas!$D$16&gt;=0,OFFSET($J$4,A122-1-Premissas!$D$16,0),0)*10000/Premissas!$D$5*Premissas!$D$15,0),0)</f>
        <v/>
      </c>
      <c r="I122">
        <f>ROUND(G122*Premissas!$D$6/10000,0)</f>
        <v/>
      </c>
      <c r="J122">
        <f>ROUND(G122*Premissas!$D$5/10000,0)</f>
        <v/>
      </c>
      <c r="K122">
        <f>IF(IF(A122-1-Premissas!$D$16&gt;=0,OFFSET($A$4,A122-1-Premissas!$D$16,0)&gt;=Premissas!$D$19,FALSE),ROUND(IF(A122-1-Premissas!$D$16&gt;=0,OFFSET($J$4,A122-1-Premissas!$D$16,0),0)*Premissas!$D$15,0),0)</f>
        <v/>
      </c>
      <c r="L122">
        <f>ROUND(C122*Premissas!$D$24/12,0)</f>
        <v/>
      </c>
      <c r="M122">
        <f>ROUND(D122*Premissas!$D$25,0)</f>
        <v/>
      </c>
      <c r="N122">
        <f>ROUND(E122*Premissas!$D$29+B122*Premissas!$D$30,0)</f>
        <v/>
      </c>
      <c r="O122">
        <f>K122+L122+M122+N122</f>
        <v/>
      </c>
      <c r="P122">
        <f>K122+ROUND(AC122*Premissas!$D$24,0)+M122+N122</f>
        <v/>
      </c>
      <c r="Q122">
        <f>ROUND(IF(A122-1-Premissas!$D$21&gt;=0,OFFSET($P$4,A122-1-Premissas!$D$21,0),0)*(1-Premissas!$D$20/100),0)</f>
        <v/>
      </c>
      <c r="R122">
        <f>ROUND(F122*Premissas!$D$11+N122*Premissas!$D$31/100,0)+ROUND((E122+B122)*Premissas!$D$10,0)+ROUND(Q122*Premissas!$D$8/100,0)+ROUND(Premissas!$D$35+(B122+C122)*Premissas!$D$36,0)</f>
        <v/>
      </c>
      <c r="S122">
        <f>O122-R122</f>
        <v/>
      </c>
      <c r="T122">
        <f>ROUND(O122*Premissas!$D$9/100,0)</f>
        <v/>
      </c>
      <c r="U122">
        <f>ROUND(AB122*Premissas!$D$33,0)</f>
        <v/>
      </c>
      <c r="V122">
        <f>Premissas!$D$37+ROUND(Premissas!$D$12*Premissas!$D$38+D122*Premissas!$D$27,0)</f>
        <v/>
      </c>
      <c r="W122">
        <f>Premissas!$D$39</f>
        <v/>
      </c>
      <c r="X122">
        <f>S122-T122-ROUND(Premissas!$D$12*Premissas!$D$38+D122*Premissas!$D$27,0)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Premissas!$D$32+(B122+C122)/Premissas!$D$34</f>
        <v/>
      </c>
      <c r="AC122">
        <f>D122+AC110*(1-Premissas!$D$26/12)^12</f>
        <v/>
      </c>
    </row>
    <row r="123">
      <c r="A123" t="n">
        <v>120</v>
      </c>
      <c r="B123">
        <f>B122*(1-Premissas!$D$18/12)+Premissas!$D$12</f>
        <v/>
      </c>
      <c r="C123">
        <f>IF($B$2=1,C122*(1-Premissas!$D$26/12)+D123,0)</f>
        <v/>
      </c>
      <c r="D123">
        <f>IF(AND($B$2=1,A123&gt;=Premissas!$D$23),Premissas!$D$22,0)</f>
        <v/>
      </c>
      <c r="E123">
        <f>B123*Premissas!$D$28</f>
        <v/>
      </c>
      <c r="F123">
        <f>B123*Premissas!$D$13/12*MIN(1,A123/Premissas!$D$17)</f>
        <v/>
      </c>
      <c r="G123">
        <f>F123*Premissas!$D$14</f>
        <v/>
      </c>
      <c r="H123">
        <f>IF(IF(A123-1-Premissas!$D$16&gt;=0,OFFSET($J$4,A123-1-Premissas!$D$16,0),0)&gt;0,ROUND(IF(A123-1-Premissas!$D$16&gt;=0,OFFSET($J$4,A123-1-Premissas!$D$16,0),0)*10000/Premissas!$D$5*Premissas!$D$15,0),0)</f>
        <v/>
      </c>
      <c r="I123">
        <f>ROUND(G123*Premissas!$D$6/10000,0)</f>
        <v/>
      </c>
      <c r="J123">
        <f>ROUND(G123*Premissas!$D$5/10000,0)</f>
        <v/>
      </c>
      <c r="K123">
        <f>IF(IF(A123-1-Premissas!$D$16&gt;=0,OFFSET($A$4,A123-1-Premissas!$D$16,0)&gt;=Premissas!$D$19,FALSE),ROUND(IF(A123-1-Premissas!$D$16&gt;=0,OFFSET($J$4,A123-1-Premissas!$D$16,0),0)*Premissas!$D$15,0),0)</f>
        <v/>
      </c>
      <c r="L123">
        <f>ROUND(C123*Premissas!$D$24/12,0)</f>
        <v/>
      </c>
      <c r="M123">
        <f>ROUND(D123*Premissas!$D$25,0)</f>
        <v/>
      </c>
      <c r="N123">
        <f>ROUND(E123*Premissas!$D$29+B123*Premissas!$D$30,0)</f>
        <v/>
      </c>
      <c r="O123">
        <f>K123+L123+M123+N123</f>
        <v/>
      </c>
      <c r="P123">
        <f>K123+ROUND(AC123*Premissas!$D$24,0)+M123+N123</f>
        <v/>
      </c>
      <c r="Q123">
        <f>ROUND(IF(A123-1-Premissas!$D$21&gt;=0,OFFSET($P$4,A123-1-Premissas!$D$21,0),0)*(1-Premissas!$D$20/100),0)</f>
        <v/>
      </c>
      <c r="R123">
        <f>ROUND(F123*Premissas!$D$11+N123*Premissas!$D$31/100,0)+ROUND((E123+B123)*Premissas!$D$10,0)+ROUND(Q123*Premissas!$D$8/100,0)+ROUND(Premissas!$D$35+(B123+C123)*Premissas!$D$36,0)</f>
        <v/>
      </c>
      <c r="S123">
        <f>O123-R123</f>
        <v/>
      </c>
      <c r="T123">
        <f>ROUND(O123*Premissas!$D$9/100,0)</f>
        <v/>
      </c>
      <c r="U123">
        <f>ROUND(AB123*Premissas!$D$33,0)</f>
        <v/>
      </c>
      <c r="V123">
        <f>Premissas!$D$37+ROUND(Premissas!$D$12*Premissas!$D$38+D123*Premissas!$D$27,0)</f>
        <v/>
      </c>
      <c r="W123">
        <f>Premissas!$D$39</f>
        <v/>
      </c>
      <c r="X123">
        <f>S123-T123-ROUND(Premissas!$D$12*Premissas!$D$38+D123*Premissas!$D$27,0)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Premissas!$D$32+(B123+C123)/Premissas!$D$34</f>
        <v/>
      </c>
      <c r="AC123">
        <f>D123+AC111*(1-Premissas!$D$26/12)^12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base · desenho Híbrido (0 = sem contratos institucionais; 1 = com) · valores em CENTAVOS · fórmulas abertas</t>
        </is>
      </c>
    </row>
    <row r="2">
      <c r="A2" t="inlineStr">
        <is>
          <t>hybrid</t>
        </is>
      </c>
      <c r="B2" t="n">
        <v>1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0*(1-Premissas!$D$18/12)+Premissas!$D$12</f>
        <v/>
      </c>
      <c r="C4">
        <f>IF($B$2=1,0*(1-Premissas!$D$26/12)+D4,0)</f>
        <v/>
      </c>
      <c r="D4">
        <f>IF(AND($B$2=1,A4&gt;=Premissas!$D$23),Premissas!$D$22,0)</f>
        <v/>
      </c>
      <c r="E4">
        <f>B4*Premissas!$D$28</f>
        <v/>
      </c>
      <c r="F4">
        <f>B4*Premissas!$D$13/12*MIN(1,A4/Premissas!$D$17)</f>
        <v/>
      </c>
      <c r="G4">
        <f>F4*Premissas!$D$14</f>
        <v/>
      </c>
      <c r="H4">
        <f>IF(IF(A4-1-Premissas!$D$16&gt;=0,OFFSET($J$4,A4-1-Premissas!$D$16,0),0)&gt;0,ROUND(IF(A4-1-Premissas!$D$16&gt;=0,OFFSET($J$4,A4-1-Premissas!$D$16,0),0)*10000/Premissas!$D$5*Premissas!$D$15,0),0)</f>
        <v/>
      </c>
      <c r="I4">
        <f>ROUND(G4*Premissas!$D$6/10000,0)</f>
        <v/>
      </c>
      <c r="J4">
        <f>ROUND(G4*Premissas!$D$5/10000,0)</f>
        <v/>
      </c>
      <c r="K4">
        <f>IF(IF(A4-1-Premissas!$D$16&gt;=0,OFFSET($A$4,A4-1-Premissas!$D$16,0)&gt;=Premissas!$D$19,FALSE),ROUND(IF(A4-1-Premissas!$D$16&gt;=0,OFFSET($J$4,A4-1-Premissas!$D$16,0),0)*Premissas!$D$15,0),0)</f>
        <v/>
      </c>
      <c r="L4">
        <f>ROUND(C4*Premissas!$D$24/12,0)</f>
        <v/>
      </c>
      <c r="M4">
        <f>ROUND(D4*Premissas!$D$25,0)</f>
        <v/>
      </c>
      <c r="N4">
        <f>ROUND(E4*Premissas!$D$29+B4*Premissas!$D$30,0)</f>
        <v/>
      </c>
      <c r="O4">
        <f>K4+L4+M4+N4</f>
        <v/>
      </c>
      <c r="P4">
        <f>K4+ROUND(AC4*Premissas!$D$24,0)+M4+N4</f>
        <v/>
      </c>
      <c r="Q4">
        <f>ROUND(IF(A4-1-Premissas!$D$21&gt;=0,OFFSET($P$4,A4-1-Premissas!$D$21,0),0)*(1-Premissas!$D$20/100),0)</f>
        <v/>
      </c>
      <c r="R4">
        <f>ROUND(F4*Premissas!$D$11+N4*Premissas!$D$31/100,0)+ROUND((E4+B4)*Premissas!$D$10,0)+ROUND(Q4*Premissas!$D$8/100,0)+ROUND(Premissas!$D$35+(B4+C4)*Premissas!$D$36,0)</f>
        <v/>
      </c>
      <c r="S4">
        <f>O4-R4</f>
        <v/>
      </c>
      <c r="T4">
        <f>ROUND(O4*Premissas!$D$9/100,0)</f>
        <v/>
      </c>
      <c r="U4">
        <f>ROUND(AB4*Premissas!$D$33,0)</f>
        <v/>
      </c>
      <c r="V4">
        <f>Premissas!$D$37+ROUND(Premissas!$D$12*Premissas!$D$38+D4*Premissas!$D$27,0)</f>
        <v/>
      </c>
      <c r="W4">
        <f>Premissas!$D$39</f>
        <v/>
      </c>
      <c r="X4">
        <f>S4-T4-ROUND(Premissas!$D$12*Premissas!$D$38+D4*Premissas!$D$27,0)</f>
        <v/>
      </c>
      <c r="Y4">
        <f>O4-R4-T4-U4-V4-W4</f>
        <v/>
      </c>
      <c r="Z4">
        <f>Q4-R4-T4-U4-V4-W4</f>
        <v/>
      </c>
      <c r="AA4">
        <f>Premissas!$D$40+Z4</f>
        <v/>
      </c>
      <c r="AB4">
        <f>Premissas!$D$32+(B4+C4)/Premissas!$D$34</f>
        <v/>
      </c>
      <c r="AC4">
        <f>D4</f>
        <v/>
      </c>
    </row>
    <row r="5">
      <c r="A5" t="n">
        <v>2</v>
      </c>
      <c r="B5">
        <f>B4*(1-Premissas!$D$18/12)+Premissas!$D$12</f>
        <v/>
      </c>
      <c r="C5">
        <f>IF($B$2=1,C4*(1-Premissas!$D$26/12)+D5,0)</f>
        <v/>
      </c>
      <c r="D5">
        <f>IF(AND($B$2=1,A5&gt;=Premissas!$D$23),Premissas!$D$22,0)</f>
        <v/>
      </c>
      <c r="E5">
        <f>B5*Premissas!$D$28</f>
        <v/>
      </c>
      <c r="F5">
        <f>B5*Premissas!$D$13/12*MIN(1,A5/Premissas!$D$17)</f>
        <v/>
      </c>
      <c r="G5">
        <f>F5*Premissas!$D$14</f>
        <v/>
      </c>
      <c r="H5">
        <f>IF(IF(A5-1-Premissas!$D$16&gt;=0,OFFSET($J$4,A5-1-Premissas!$D$16,0),0)&gt;0,ROUND(IF(A5-1-Premissas!$D$16&gt;=0,OFFSET($J$4,A5-1-Premissas!$D$16,0),0)*10000/Premissas!$D$5*Premissas!$D$15,0),0)</f>
        <v/>
      </c>
      <c r="I5">
        <f>ROUND(G5*Premissas!$D$6/10000,0)</f>
        <v/>
      </c>
      <c r="J5">
        <f>ROUND(G5*Premissas!$D$5/10000,0)</f>
        <v/>
      </c>
      <c r="K5">
        <f>IF(IF(A5-1-Premissas!$D$16&gt;=0,OFFSET($A$4,A5-1-Premissas!$D$16,0)&gt;=Premissas!$D$19,FALSE),ROUND(IF(A5-1-Premissas!$D$16&gt;=0,OFFSET($J$4,A5-1-Premissas!$D$16,0),0)*Premissas!$D$15,0),0)</f>
        <v/>
      </c>
      <c r="L5">
        <f>ROUND(C5*Premissas!$D$24/12,0)</f>
        <v/>
      </c>
      <c r="M5">
        <f>ROUND(D5*Premissas!$D$25,0)</f>
        <v/>
      </c>
      <c r="N5">
        <f>ROUND(E5*Premissas!$D$29+B5*Premissas!$D$30,0)</f>
        <v/>
      </c>
      <c r="O5">
        <f>K5+L5+M5+N5</f>
        <v/>
      </c>
      <c r="P5">
        <f>K5+ROUND(AC5*Premissas!$D$24,0)+M5+N5</f>
        <v/>
      </c>
      <c r="Q5">
        <f>ROUND(IF(A5-1-Premissas!$D$21&gt;=0,OFFSET($P$4,A5-1-Premissas!$D$21,0),0)*(1-Premissas!$D$20/100),0)</f>
        <v/>
      </c>
      <c r="R5">
        <f>ROUND(F5*Premissas!$D$11+N5*Premissas!$D$31/100,0)+ROUND((E5+B5)*Premissas!$D$10,0)+ROUND(Q5*Premissas!$D$8/100,0)+ROUND(Premissas!$D$35+(B5+C5)*Premissas!$D$36,0)</f>
        <v/>
      </c>
      <c r="S5">
        <f>O5-R5</f>
        <v/>
      </c>
      <c r="T5">
        <f>ROUND(O5*Premissas!$D$9/100,0)</f>
        <v/>
      </c>
      <c r="U5">
        <f>ROUND(AB5*Premissas!$D$33,0)</f>
        <v/>
      </c>
      <c r="V5">
        <f>Premissas!$D$37+ROUND(Premissas!$D$12*Premissas!$D$38+D5*Premissas!$D$27,0)</f>
        <v/>
      </c>
      <c r="W5">
        <f>Premissas!$D$39</f>
        <v/>
      </c>
      <c r="X5">
        <f>S5-T5-ROUND(Premissas!$D$12*Premissas!$D$38+D5*Premissas!$D$27,0)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Premissas!$D$32+(B5+C5)/Premissas!$D$34</f>
        <v/>
      </c>
      <c r="AC5">
        <f>D5</f>
        <v/>
      </c>
    </row>
    <row r="6">
      <c r="A6" t="n">
        <v>3</v>
      </c>
      <c r="B6">
        <f>B5*(1-Premissas!$D$18/12)+Premissas!$D$12</f>
        <v/>
      </c>
      <c r="C6">
        <f>IF($B$2=1,C5*(1-Premissas!$D$26/12)+D6,0)</f>
        <v/>
      </c>
      <c r="D6">
        <f>IF(AND($B$2=1,A6&gt;=Premissas!$D$23),Premissas!$D$22,0)</f>
        <v/>
      </c>
      <c r="E6">
        <f>B6*Premissas!$D$28</f>
        <v/>
      </c>
      <c r="F6">
        <f>B6*Premissas!$D$13/12*MIN(1,A6/Premissas!$D$17)</f>
        <v/>
      </c>
      <c r="G6">
        <f>F6*Premissas!$D$14</f>
        <v/>
      </c>
      <c r="H6">
        <f>IF(IF(A6-1-Premissas!$D$16&gt;=0,OFFSET($J$4,A6-1-Premissas!$D$16,0),0)&gt;0,ROUND(IF(A6-1-Premissas!$D$16&gt;=0,OFFSET($J$4,A6-1-Premissas!$D$16,0),0)*10000/Premissas!$D$5*Premissas!$D$15,0),0)</f>
        <v/>
      </c>
      <c r="I6">
        <f>ROUND(G6*Premissas!$D$6/10000,0)</f>
        <v/>
      </c>
      <c r="J6">
        <f>ROUND(G6*Premissas!$D$5/10000,0)</f>
        <v/>
      </c>
      <c r="K6">
        <f>IF(IF(A6-1-Premissas!$D$16&gt;=0,OFFSET($A$4,A6-1-Premissas!$D$16,0)&gt;=Premissas!$D$19,FALSE),ROUND(IF(A6-1-Premissas!$D$16&gt;=0,OFFSET($J$4,A6-1-Premissas!$D$16,0),0)*Premissas!$D$15,0),0)</f>
        <v/>
      </c>
      <c r="L6">
        <f>ROUND(C6*Premissas!$D$24/12,0)</f>
        <v/>
      </c>
      <c r="M6">
        <f>ROUND(D6*Premissas!$D$25,0)</f>
        <v/>
      </c>
      <c r="N6">
        <f>ROUND(E6*Premissas!$D$29+B6*Premissas!$D$30,0)</f>
        <v/>
      </c>
      <c r="O6">
        <f>K6+L6+M6+N6</f>
        <v/>
      </c>
      <c r="P6">
        <f>K6+ROUND(AC6*Premissas!$D$24,0)+M6+N6</f>
        <v/>
      </c>
      <c r="Q6">
        <f>ROUND(IF(A6-1-Premissas!$D$21&gt;=0,OFFSET($P$4,A6-1-Premissas!$D$21,0),0)*(1-Premissas!$D$20/100),0)</f>
        <v/>
      </c>
      <c r="R6">
        <f>ROUND(F6*Premissas!$D$11+N6*Premissas!$D$31/100,0)+ROUND((E6+B6)*Premissas!$D$10,0)+ROUND(Q6*Premissas!$D$8/100,0)+ROUND(Premissas!$D$35+(B6+C6)*Premissas!$D$36,0)</f>
        <v/>
      </c>
      <c r="S6">
        <f>O6-R6</f>
        <v/>
      </c>
      <c r="T6">
        <f>ROUND(O6*Premissas!$D$9/100,0)</f>
        <v/>
      </c>
      <c r="U6">
        <f>ROUND(AB6*Premissas!$D$33,0)</f>
        <v/>
      </c>
      <c r="V6">
        <f>Premissas!$D$37+ROUND(Premissas!$D$12*Premissas!$D$38+D6*Premissas!$D$27,0)</f>
        <v/>
      </c>
      <c r="W6">
        <f>Premissas!$D$39</f>
        <v/>
      </c>
      <c r="X6">
        <f>S6-T6-ROUND(Premissas!$D$12*Premissas!$D$38+D6*Premissas!$D$27,0)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Premissas!$D$32+(B6+C6)/Premissas!$D$34</f>
        <v/>
      </c>
      <c r="AC6">
        <f>D6</f>
        <v/>
      </c>
    </row>
    <row r="7">
      <c r="A7" t="n">
        <v>4</v>
      </c>
      <c r="B7">
        <f>B6*(1-Premissas!$D$18/12)+Premissas!$D$12</f>
        <v/>
      </c>
      <c r="C7">
        <f>IF($B$2=1,C6*(1-Premissas!$D$26/12)+D7,0)</f>
        <v/>
      </c>
      <c r="D7">
        <f>IF(AND($B$2=1,A7&gt;=Premissas!$D$23),Premissas!$D$22,0)</f>
        <v/>
      </c>
      <c r="E7">
        <f>B7*Premissas!$D$28</f>
        <v/>
      </c>
      <c r="F7">
        <f>B7*Premissas!$D$13/12*MIN(1,A7/Premissas!$D$17)</f>
        <v/>
      </c>
      <c r="G7">
        <f>F7*Premissas!$D$14</f>
        <v/>
      </c>
      <c r="H7">
        <f>IF(IF(A7-1-Premissas!$D$16&gt;=0,OFFSET($J$4,A7-1-Premissas!$D$16,0),0)&gt;0,ROUND(IF(A7-1-Premissas!$D$16&gt;=0,OFFSET($J$4,A7-1-Premissas!$D$16,0),0)*10000/Premissas!$D$5*Premissas!$D$15,0),0)</f>
        <v/>
      </c>
      <c r="I7">
        <f>ROUND(G7*Premissas!$D$6/10000,0)</f>
        <v/>
      </c>
      <c r="J7">
        <f>ROUND(G7*Premissas!$D$5/10000,0)</f>
        <v/>
      </c>
      <c r="K7">
        <f>IF(IF(A7-1-Premissas!$D$16&gt;=0,OFFSET($A$4,A7-1-Premissas!$D$16,0)&gt;=Premissas!$D$19,FALSE),ROUND(IF(A7-1-Premissas!$D$16&gt;=0,OFFSET($J$4,A7-1-Premissas!$D$16,0),0)*Premissas!$D$15,0),0)</f>
        <v/>
      </c>
      <c r="L7">
        <f>ROUND(C7*Premissas!$D$24/12,0)</f>
        <v/>
      </c>
      <c r="M7">
        <f>ROUND(D7*Premissas!$D$25,0)</f>
        <v/>
      </c>
      <c r="N7">
        <f>ROUND(E7*Premissas!$D$29+B7*Premissas!$D$30,0)</f>
        <v/>
      </c>
      <c r="O7">
        <f>K7+L7+M7+N7</f>
        <v/>
      </c>
      <c r="P7">
        <f>K7+ROUND(AC7*Premissas!$D$24,0)+M7+N7</f>
        <v/>
      </c>
      <c r="Q7">
        <f>ROUND(IF(A7-1-Premissas!$D$21&gt;=0,OFFSET($P$4,A7-1-Premissas!$D$21,0),0)*(1-Premissas!$D$20/100),0)</f>
        <v/>
      </c>
      <c r="R7">
        <f>ROUND(F7*Premissas!$D$11+N7*Premissas!$D$31/100,0)+ROUND((E7+B7)*Premissas!$D$10,0)+ROUND(Q7*Premissas!$D$8/100,0)+ROUND(Premissas!$D$35+(B7+C7)*Premissas!$D$36,0)</f>
        <v/>
      </c>
      <c r="S7">
        <f>O7-R7</f>
        <v/>
      </c>
      <c r="T7">
        <f>ROUND(O7*Premissas!$D$9/100,0)</f>
        <v/>
      </c>
      <c r="U7">
        <f>ROUND(AB7*Premissas!$D$33,0)</f>
        <v/>
      </c>
      <c r="V7">
        <f>Premissas!$D$37+ROUND(Premissas!$D$12*Premissas!$D$38+D7*Premissas!$D$27,0)</f>
        <v/>
      </c>
      <c r="W7">
        <f>Premissas!$D$39</f>
        <v/>
      </c>
      <c r="X7">
        <f>S7-T7-ROUND(Premissas!$D$12*Premissas!$D$38+D7*Premissas!$D$27,0)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Premissas!$D$32+(B7+C7)/Premissas!$D$34</f>
        <v/>
      </c>
      <c r="AC7">
        <f>D7</f>
        <v/>
      </c>
    </row>
    <row r="8">
      <c r="A8" t="n">
        <v>5</v>
      </c>
      <c r="B8">
        <f>B7*(1-Premissas!$D$18/12)+Premissas!$D$12</f>
        <v/>
      </c>
      <c r="C8">
        <f>IF($B$2=1,C7*(1-Premissas!$D$26/12)+D8,0)</f>
        <v/>
      </c>
      <c r="D8">
        <f>IF(AND($B$2=1,A8&gt;=Premissas!$D$23),Premissas!$D$22,0)</f>
        <v/>
      </c>
      <c r="E8">
        <f>B8*Premissas!$D$28</f>
        <v/>
      </c>
      <c r="F8">
        <f>B8*Premissas!$D$13/12*MIN(1,A8/Premissas!$D$17)</f>
        <v/>
      </c>
      <c r="G8">
        <f>F8*Premissas!$D$14</f>
        <v/>
      </c>
      <c r="H8">
        <f>IF(IF(A8-1-Premissas!$D$16&gt;=0,OFFSET($J$4,A8-1-Premissas!$D$16,0),0)&gt;0,ROUND(IF(A8-1-Premissas!$D$16&gt;=0,OFFSET($J$4,A8-1-Premissas!$D$16,0),0)*10000/Premissas!$D$5*Premissas!$D$15,0),0)</f>
        <v/>
      </c>
      <c r="I8">
        <f>ROUND(G8*Premissas!$D$6/10000,0)</f>
        <v/>
      </c>
      <c r="J8">
        <f>ROUND(G8*Premissas!$D$5/10000,0)</f>
        <v/>
      </c>
      <c r="K8">
        <f>IF(IF(A8-1-Premissas!$D$16&gt;=0,OFFSET($A$4,A8-1-Premissas!$D$16,0)&gt;=Premissas!$D$19,FALSE),ROUND(IF(A8-1-Premissas!$D$16&gt;=0,OFFSET($J$4,A8-1-Premissas!$D$16,0),0)*Premissas!$D$15,0),0)</f>
        <v/>
      </c>
      <c r="L8">
        <f>ROUND(C8*Premissas!$D$24/12,0)</f>
        <v/>
      </c>
      <c r="M8">
        <f>ROUND(D8*Premissas!$D$25,0)</f>
        <v/>
      </c>
      <c r="N8">
        <f>ROUND(E8*Premissas!$D$29+B8*Premissas!$D$30,0)</f>
        <v/>
      </c>
      <c r="O8">
        <f>K8+L8+M8+N8</f>
        <v/>
      </c>
      <c r="P8">
        <f>K8+ROUND(AC8*Premissas!$D$24,0)+M8+N8</f>
        <v/>
      </c>
      <c r="Q8">
        <f>ROUND(IF(A8-1-Premissas!$D$21&gt;=0,OFFSET($P$4,A8-1-Premissas!$D$21,0),0)*(1-Premissas!$D$20/100),0)</f>
        <v/>
      </c>
      <c r="R8">
        <f>ROUND(F8*Premissas!$D$11+N8*Premissas!$D$31/100,0)+ROUND((E8+B8)*Premissas!$D$10,0)+ROUND(Q8*Premissas!$D$8/100,0)+ROUND(Premissas!$D$35+(B8+C8)*Premissas!$D$36,0)</f>
        <v/>
      </c>
      <c r="S8">
        <f>O8-R8</f>
        <v/>
      </c>
      <c r="T8">
        <f>ROUND(O8*Premissas!$D$9/100,0)</f>
        <v/>
      </c>
      <c r="U8">
        <f>ROUND(AB8*Premissas!$D$33,0)</f>
        <v/>
      </c>
      <c r="V8">
        <f>Premissas!$D$37+ROUND(Premissas!$D$12*Premissas!$D$38+D8*Premissas!$D$27,0)</f>
        <v/>
      </c>
      <c r="W8">
        <f>Premissas!$D$39</f>
        <v/>
      </c>
      <c r="X8">
        <f>S8-T8-ROUND(Premissas!$D$12*Premissas!$D$38+D8*Premissas!$D$27,0)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Premissas!$D$32+(B8+C8)/Premissas!$D$34</f>
        <v/>
      </c>
      <c r="AC8">
        <f>D8</f>
        <v/>
      </c>
    </row>
    <row r="9">
      <c r="A9" t="n">
        <v>6</v>
      </c>
      <c r="B9">
        <f>B8*(1-Premissas!$D$18/12)+Premissas!$D$12</f>
        <v/>
      </c>
      <c r="C9">
        <f>IF($B$2=1,C8*(1-Premissas!$D$26/12)+D9,0)</f>
        <v/>
      </c>
      <c r="D9">
        <f>IF(AND($B$2=1,A9&gt;=Premissas!$D$23),Premissas!$D$22,0)</f>
        <v/>
      </c>
      <c r="E9">
        <f>B9*Premissas!$D$28</f>
        <v/>
      </c>
      <c r="F9">
        <f>B9*Premissas!$D$13/12*MIN(1,A9/Premissas!$D$17)</f>
        <v/>
      </c>
      <c r="G9">
        <f>F9*Premissas!$D$14</f>
        <v/>
      </c>
      <c r="H9">
        <f>IF(IF(A9-1-Premissas!$D$16&gt;=0,OFFSET($J$4,A9-1-Premissas!$D$16,0),0)&gt;0,ROUND(IF(A9-1-Premissas!$D$16&gt;=0,OFFSET($J$4,A9-1-Premissas!$D$16,0),0)*10000/Premissas!$D$5*Premissas!$D$15,0),0)</f>
        <v/>
      </c>
      <c r="I9">
        <f>ROUND(G9*Premissas!$D$6/10000,0)</f>
        <v/>
      </c>
      <c r="J9">
        <f>ROUND(G9*Premissas!$D$5/10000,0)</f>
        <v/>
      </c>
      <c r="K9">
        <f>IF(IF(A9-1-Premissas!$D$16&gt;=0,OFFSET($A$4,A9-1-Premissas!$D$16,0)&gt;=Premissas!$D$19,FALSE),ROUND(IF(A9-1-Premissas!$D$16&gt;=0,OFFSET($J$4,A9-1-Premissas!$D$16,0),0)*Premissas!$D$15,0),0)</f>
        <v/>
      </c>
      <c r="L9">
        <f>ROUND(C9*Premissas!$D$24/12,0)</f>
        <v/>
      </c>
      <c r="M9">
        <f>ROUND(D9*Premissas!$D$25,0)</f>
        <v/>
      </c>
      <c r="N9">
        <f>ROUND(E9*Premissas!$D$29+B9*Premissas!$D$30,0)</f>
        <v/>
      </c>
      <c r="O9">
        <f>K9+L9+M9+N9</f>
        <v/>
      </c>
      <c r="P9">
        <f>K9+ROUND(AC9*Premissas!$D$24,0)+M9+N9</f>
        <v/>
      </c>
      <c r="Q9">
        <f>ROUND(IF(A9-1-Premissas!$D$21&gt;=0,OFFSET($P$4,A9-1-Premissas!$D$21,0),0)*(1-Premissas!$D$20/100),0)</f>
        <v/>
      </c>
      <c r="R9">
        <f>ROUND(F9*Premissas!$D$11+N9*Premissas!$D$31/100,0)+ROUND((E9+B9)*Premissas!$D$10,0)+ROUND(Q9*Premissas!$D$8/100,0)+ROUND(Premissas!$D$35+(B9+C9)*Premissas!$D$36,0)</f>
        <v/>
      </c>
      <c r="S9">
        <f>O9-R9</f>
        <v/>
      </c>
      <c r="T9">
        <f>ROUND(O9*Premissas!$D$9/100,0)</f>
        <v/>
      </c>
      <c r="U9">
        <f>ROUND(AB9*Premissas!$D$33,0)</f>
        <v/>
      </c>
      <c r="V9">
        <f>Premissas!$D$37+ROUND(Premissas!$D$12*Premissas!$D$38+D9*Premissas!$D$27,0)</f>
        <v/>
      </c>
      <c r="W9">
        <f>Premissas!$D$39</f>
        <v/>
      </c>
      <c r="X9">
        <f>S9-T9-ROUND(Premissas!$D$12*Premissas!$D$38+D9*Premissas!$D$27,0)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Premissas!$D$32+(B9+C9)/Premissas!$D$34</f>
        <v/>
      </c>
      <c r="AC9">
        <f>D9</f>
        <v/>
      </c>
    </row>
    <row r="10">
      <c r="A10" t="n">
        <v>7</v>
      </c>
      <c r="B10">
        <f>B9*(1-Premissas!$D$18/12)+Premissas!$D$12</f>
        <v/>
      </c>
      <c r="C10">
        <f>IF($B$2=1,C9*(1-Premissas!$D$26/12)+D10,0)</f>
        <v/>
      </c>
      <c r="D10">
        <f>IF(AND($B$2=1,A10&gt;=Premissas!$D$23),Premissas!$D$22,0)</f>
        <v/>
      </c>
      <c r="E10">
        <f>B10*Premissas!$D$28</f>
        <v/>
      </c>
      <c r="F10">
        <f>B10*Premissas!$D$13/12*MIN(1,A10/Premissas!$D$17)</f>
        <v/>
      </c>
      <c r="G10">
        <f>F10*Premissas!$D$14</f>
        <v/>
      </c>
      <c r="H10">
        <f>IF(IF(A10-1-Premissas!$D$16&gt;=0,OFFSET($J$4,A10-1-Premissas!$D$16,0),0)&gt;0,ROUND(IF(A10-1-Premissas!$D$16&gt;=0,OFFSET($J$4,A10-1-Premissas!$D$16,0),0)*10000/Premissas!$D$5*Premissas!$D$15,0),0)</f>
        <v/>
      </c>
      <c r="I10">
        <f>ROUND(G10*Premissas!$D$6/10000,0)</f>
        <v/>
      </c>
      <c r="J10">
        <f>ROUND(G10*Premissas!$D$5/10000,0)</f>
        <v/>
      </c>
      <c r="K10">
        <f>IF(IF(A10-1-Premissas!$D$16&gt;=0,OFFSET($A$4,A10-1-Premissas!$D$16,0)&gt;=Premissas!$D$19,FALSE),ROUND(IF(A10-1-Premissas!$D$16&gt;=0,OFFSET($J$4,A10-1-Premissas!$D$16,0),0)*Premissas!$D$15,0),0)</f>
        <v/>
      </c>
      <c r="L10">
        <f>ROUND(C10*Premissas!$D$24/12,0)</f>
        <v/>
      </c>
      <c r="M10">
        <f>ROUND(D10*Premissas!$D$25,0)</f>
        <v/>
      </c>
      <c r="N10">
        <f>ROUND(E10*Premissas!$D$29+B10*Premissas!$D$30,0)</f>
        <v/>
      </c>
      <c r="O10">
        <f>K10+L10+M10+N10</f>
        <v/>
      </c>
      <c r="P10">
        <f>K10+ROUND(AC10*Premissas!$D$24,0)+M10+N10</f>
        <v/>
      </c>
      <c r="Q10">
        <f>ROUND(IF(A10-1-Premissas!$D$21&gt;=0,OFFSET($P$4,A10-1-Premissas!$D$21,0),0)*(1-Premissas!$D$20/100),0)</f>
        <v/>
      </c>
      <c r="R10">
        <f>ROUND(F10*Premissas!$D$11+N10*Premissas!$D$31/100,0)+ROUND((E10+B10)*Premissas!$D$10,0)+ROUND(Q10*Premissas!$D$8/100,0)+ROUND(Premissas!$D$35+(B10+C10)*Premissas!$D$36,0)</f>
        <v/>
      </c>
      <c r="S10">
        <f>O10-R10</f>
        <v/>
      </c>
      <c r="T10">
        <f>ROUND(O10*Premissas!$D$9/100,0)</f>
        <v/>
      </c>
      <c r="U10">
        <f>ROUND(AB10*Premissas!$D$33,0)</f>
        <v/>
      </c>
      <c r="V10">
        <f>Premissas!$D$37+ROUND(Premissas!$D$12*Premissas!$D$38+D10*Premissas!$D$27,0)</f>
        <v/>
      </c>
      <c r="W10">
        <f>Premissas!$D$39</f>
        <v/>
      </c>
      <c r="X10">
        <f>S10-T10-ROUND(Premissas!$D$12*Premissas!$D$38+D10*Premissas!$D$27,0)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Premissas!$D$32+(B10+C10)/Premissas!$D$34</f>
        <v/>
      </c>
      <c r="AC10">
        <f>D10</f>
        <v/>
      </c>
    </row>
    <row r="11">
      <c r="A11" t="n">
        <v>8</v>
      </c>
      <c r="B11">
        <f>B10*(1-Premissas!$D$18/12)+Premissas!$D$12</f>
        <v/>
      </c>
      <c r="C11">
        <f>IF($B$2=1,C10*(1-Premissas!$D$26/12)+D11,0)</f>
        <v/>
      </c>
      <c r="D11">
        <f>IF(AND($B$2=1,A11&gt;=Premissas!$D$23),Premissas!$D$22,0)</f>
        <v/>
      </c>
      <c r="E11">
        <f>B11*Premissas!$D$28</f>
        <v/>
      </c>
      <c r="F11">
        <f>B11*Premissas!$D$13/12*MIN(1,A11/Premissas!$D$17)</f>
        <v/>
      </c>
      <c r="G11">
        <f>F11*Premissas!$D$14</f>
        <v/>
      </c>
      <c r="H11">
        <f>IF(IF(A11-1-Premissas!$D$16&gt;=0,OFFSET($J$4,A11-1-Premissas!$D$16,0),0)&gt;0,ROUND(IF(A11-1-Premissas!$D$16&gt;=0,OFFSET($J$4,A11-1-Premissas!$D$16,0),0)*10000/Premissas!$D$5*Premissas!$D$15,0),0)</f>
        <v/>
      </c>
      <c r="I11">
        <f>ROUND(G11*Premissas!$D$6/10000,0)</f>
        <v/>
      </c>
      <c r="J11">
        <f>ROUND(G11*Premissas!$D$5/10000,0)</f>
        <v/>
      </c>
      <c r="K11">
        <f>IF(IF(A11-1-Premissas!$D$16&gt;=0,OFFSET($A$4,A11-1-Premissas!$D$16,0)&gt;=Premissas!$D$19,FALSE),ROUND(IF(A11-1-Premissas!$D$16&gt;=0,OFFSET($J$4,A11-1-Premissas!$D$16,0),0)*Premissas!$D$15,0),0)</f>
        <v/>
      </c>
      <c r="L11">
        <f>ROUND(C11*Premissas!$D$24/12,0)</f>
        <v/>
      </c>
      <c r="M11">
        <f>ROUND(D11*Premissas!$D$25,0)</f>
        <v/>
      </c>
      <c r="N11">
        <f>ROUND(E11*Premissas!$D$29+B11*Premissas!$D$30,0)</f>
        <v/>
      </c>
      <c r="O11">
        <f>K11+L11+M11+N11</f>
        <v/>
      </c>
      <c r="P11">
        <f>K11+ROUND(AC11*Premissas!$D$24,0)+M11+N11</f>
        <v/>
      </c>
      <c r="Q11">
        <f>ROUND(IF(A11-1-Premissas!$D$21&gt;=0,OFFSET($P$4,A11-1-Premissas!$D$21,0),0)*(1-Premissas!$D$20/100),0)</f>
        <v/>
      </c>
      <c r="R11">
        <f>ROUND(F11*Premissas!$D$11+N11*Premissas!$D$31/100,0)+ROUND((E11+B11)*Premissas!$D$10,0)+ROUND(Q11*Premissas!$D$8/100,0)+ROUND(Premissas!$D$35+(B11+C11)*Premissas!$D$36,0)</f>
        <v/>
      </c>
      <c r="S11">
        <f>O11-R11</f>
        <v/>
      </c>
      <c r="T11">
        <f>ROUND(O11*Premissas!$D$9/100,0)</f>
        <v/>
      </c>
      <c r="U11">
        <f>ROUND(AB11*Premissas!$D$33,0)</f>
        <v/>
      </c>
      <c r="V11">
        <f>Premissas!$D$37+ROUND(Premissas!$D$12*Premissas!$D$38+D11*Premissas!$D$27,0)</f>
        <v/>
      </c>
      <c r="W11">
        <f>Premissas!$D$39</f>
        <v/>
      </c>
      <c r="X11">
        <f>S11-T11-ROUND(Premissas!$D$12*Premissas!$D$38+D11*Premissas!$D$27,0)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Premissas!$D$32+(B11+C11)/Premissas!$D$34</f>
        <v/>
      </c>
      <c r="AC11">
        <f>D11</f>
        <v/>
      </c>
    </row>
    <row r="12">
      <c r="A12" t="n">
        <v>9</v>
      </c>
      <c r="B12">
        <f>B11*(1-Premissas!$D$18/12)+Premissas!$D$12</f>
        <v/>
      </c>
      <c r="C12">
        <f>IF($B$2=1,C11*(1-Premissas!$D$26/12)+D12,0)</f>
        <v/>
      </c>
      <c r="D12">
        <f>IF(AND($B$2=1,A12&gt;=Premissas!$D$23),Premissas!$D$22,0)</f>
        <v/>
      </c>
      <c r="E12">
        <f>B12*Premissas!$D$28</f>
        <v/>
      </c>
      <c r="F12">
        <f>B12*Premissas!$D$13/12*MIN(1,A12/Premissas!$D$17)</f>
        <v/>
      </c>
      <c r="G12">
        <f>F12*Premissas!$D$14</f>
        <v/>
      </c>
      <c r="H12">
        <f>IF(IF(A12-1-Premissas!$D$16&gt;=0,OFFSET($J$4,A12-1-Premissas!$D$16,0),0)&gt;0,ROUND(IF(A12-1-Premissas!$D$16&gt;=0,OFFSET($J$4,A12-1-Premissas!$D$16,0),0)*10000/Premissas!$D$5*Premissas!$D$15,0),0)</f>
        <v/>
      </c>
      <c r="I12">
        <f>ROUND(G12*Premissas!$D$6/10000,0)</f>
        <v/>
      </c>
      <c r="J12">
        <f>ROUND(G12*Premissas!$D$5/10000,0)</f>
        <v/>
      </c>
      <c r="K12">
        <f>IF(IF(A12-1-Premissas!$D$16&gt;=0,OFFSET($A$4,A12-1-Premissas!$D$16,0)&gt;=Premissas!$D$19,FALSE),ROUND(IF(A12-1-Premissas!$D$16&gt;=0,OFFSET($J$4,A12-1-Premissas!$D$16,0),0)*Premissas!$D$15,0),0)</f>
        <v/>
      </c>
      <c r="L12">
        <f>ROUND(C12*Premissas!$D$24/12,0)</f>
        <v/>
      </c>
      <c r="M12">
        <f>ROUND(D12*Premissas!$D$25,0)</f>
        <v/>
      </c>
      <c r="N12">
        <f>ROUND(E12*Premissas!$D$29+B12*Premissas!$D$30,0)</f>
        <v/>
      </c>
      <c r="O12">
        <f>K12+L12+M12+N12</f>
        <v/>
      </c>
      <c r="P12">
        <f>K12+ROUND(AC12*Premissas!$D$24,0)+M12+N12</f>
        <v/>
      </c>
      <c r="Q12">
        <f>ROUND(IF(A12-1-Premissas!$D$21&gt;=0,OFFSET($P$4,A12-1-Premissas!$D$21,0),0)*(1-Premissas!$D$20/100),0)</f>
        <v/>
      </c>
      <c r="R12">
        <f>ROUND(F12*Premissas!$D$11+N12*Premissas!$D$31/100,0)+ROUND((E12+B12)*Premissas!$D$10,0)+ROUND(Q12*Premissas!$D$8/100,0)+ROUND(Premissas!$D$35+(B12+C12)*Premissas!$D$36,0)</f>
        <v/>
      </c>
      <c r="S12">
        <f>O12-R12</f>
        <v/>
      </c>
      <c r="T12">
        <f>ROUND(O12*Premissas!$D$9/100,0)</f>
        <v/>
      </c>
      <c r="U12">
        <f>ROUND(AB12*Premissas!$D$33,0)</f>
        <v/>
      </c>
      <c r="V12">
        <f>Premissas!$D$37+ROUND(Premissas!$D$12*Premissas!$D$38+D12*Premissas!$D$27,0)</f>
        <v/>
      </c>
      <c r="W12">
        <f>Premissas!$D$39</f>
        <v/>
      </c>
      <c r="X12">
        <f>S12-T12-ROUND(Premissas!$D$12*Premissas!$D$38+D12*Premissas!$D$27,0)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Premissas!$D$32+(B12+C12)/Premissas!$D$34</f>
        <v/>
      </c>
      <c r="AC12">
        <f>D12</f>
        <v/>
      </c>
    </row>
    <row r="13">
      <c r="A13" t="n">
        <v>10</v>
      </c>
      <c r="B13">
        <f>B12*(1-Premissas!$D$18/12)+Premissas!$D$12</f>
        <v/>
      </c>
      <c r="C13">
        <f>IF($B$2=1,C12*(1-Premissas!$D$26/12)+D13,0)</f>
        <v/>
      </c>
      <c r="D13">
        <f>IF(AND($B$2=1,A13&gt;=Premissas!$D$23),Premissas!$D$22,0)</f>
        <v/>
      </c>
      <c r="E13">
        <f>B13*Premissas!$D$28</f>
        <v/>
      </c>
      <c r="F13">
        <f>B13*Premissas!$D$13/12*MIN(1,A13/Premissas!$D$17)</f>
        <v/>
      </c>
      <c r="G13">
        <f>F13*Premissas!$D$14</f>
        <v/>
      </c>
      <c r="H13">
        <f>IF(IF(A13-1-Premissas!$D$16&gt;=0,OFFSET($J$4,A13-1-Premissas!$D$16,0),0)&gt;0,ROUND(IF(A13-1-Premissas!$D$16&gt;=0,OFFSET($J$4,A13-1-Premissas!$D$16,0),0)*10000/Premissas!$D$5*Premissas!$D$15,0),0)</f>
        <v/>
      </c>
      <c r="I13">
        <f>ROUND(G13*Premissas!$D$6/10000,0)</f>
        <v/>
      </c>
      <c r="J13">
        <f>ROUND(G13*Premissas!$D$5/10000,0)</f>
        <v/>
      </c>
      <c r="K13">
        <f>IF(IF(A13-1-Premissas!$D$16&gt;=0,OFFSET($A$4,A13-1-Premissas!$D$16,0)&gt;=Premissas!$D$19,FALSE),ROUND(IF(A13-1-Premissas!$D$16&gt;=0,OFFSET($J$4,A13-1-Premissas!$D$16,0),0)*Premissas!$D$15,0),0)</f>
        <v/>
      </c>
      <c r="L13">
        <f>ROUND(C13*Premissas!$D$24/12,0)</f>
        <v/>
      </c>
      <c r="M13">
        <f>ROUND(D13*Premissas!$D$25,0)</f>
        <v/>
      </c>
      <c r="N13">
        <f>ROUND(E13*Premissas!$D$29+B13*Premissas!$D$30,0)</f>
        <v/>
      </c>
      <c r="O13">
        <f>K13+L13+M13+N13</f>
        <v/>
      </c>
      <c r="P13">
        <f>K13+ROUND(AC13*Premissas!$D$24,0)+M13+N13</f>
        <v/>
      </c>
      <c r="Q13">
        <f>ROUND(IF(A13-1-Premissas!$D$21&gt;=0,OFFSET($P$4,A13-1-Premissas!$D$21,0),0)*(1-Premissas!$D$20/100),0)</f>
        <v/>
      </c>
      <c r="R13">
        <f>ROUND(F13*Premissas!$D$11+N13*Premissas!$D$31/100,0)+ROUND((E13+B13)*Premissas!$D$10,0)+ROUND(Q13*Premissas!$D$8/100,0)+ROUND(Premissas!$D$35+(B13+C13)*Premissas!$D$36,0)</f>
        <v/>
      </c>
      <c r="S13">
        <f>O13-R13</f>
        <v/>
      </c>
      <c r="T13">
        <f>ROUND(O13*Premissas!$D$9/100,0)</f>
        <v/>
      </c>
      <c r="U13">
        <f>ROUND(AB13*Premissas!$D$33,0)</f>
        <v/>
      </c>
      <c r="V13">
        <f>Premissas!$D$37+ROUND(Premissas!$D$12*Premissas!$D$38+D13*Premissas!$D$27,0)</f>
        <v/>
      </c>
      <c r="W13">
        <f>Premissas!$D$39</f>
        <v/>
      </c>
      <c r="X13">
        <f>S13-T13-ROUND(Premissas!$D$12*Premissas!$D$38+D13*Premissas!$D$27,0)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Premissas!$D$32+(B13+C13)/Premissas!$D$34</f>
        <v/>
      </c>
      <c r="AC13">
        <f>D13</f>
        <v/>
      </c>
    </row>
    <row r="14">
      <c r="A14" t="n">
        <v>11</v>
      </c>
      <c r="B14">
        <f>B13*(1-Premissas!$D$18/12)+Premissas!$D$12</f>
        <v/>
      </c>
      <c r="C14">
        <f>IF($B$2=1,C13*(1-Premissas!$D$26/12)+D14,0)</f>
        <v/>
      </c>
      <c r="D14">
        <f>IF(AND($B$2=1,A14&gt;=Premissas!$D$23),Premissas!$D$22,0)</f>
        <v/>
      </c>
      <c r="E14">
        <f>B14*Premissas!$D$28</f>
        <v/>
      </c>
      <c r="F14">
        <f>B14*Premissas!$D$13/12*MIN(1,A14/Premissas!$D$17)</f>
        <v/>
      </c>
      <c r="G14">
        <f>F14*Premissas!$D$14</f>
        <v/>
      </c>
      <c r="H14">
        <f>IF(IF(A14-1-Premissas!$D$16&gt;=0,OFFSET($J$4,A14-1-Premissas!$D$16,0),0)&gt;0,ROUND(IF(A14-1-Premissas!$D$16&gt;=0,OFFSET($J$4,A14-1-Premissas!$D$16,0),0)*10000/Premissas!$D$5*Premissas!$D$15,0),0)</f>
        <v/>
      </c>
      <c r="I14">
        <f>ROUND(G14*Premissas!$D$6/10000,0)</f>
        <v/>
      </c>
      <c r="J14">
        <f>ROUND(G14*Premissas!$D$5/10000,0)</f>
        <v/>
      </c>
      <c r="K14">
        <f>IF(IF(A14-1-Premissas!$D$16&gt;=0,OFFSET($A$4,A14-1-Premissas!$D$16,0)&gt;=Premissas!$D$19,FALSE),ROUND(IF(A14-1-Premissas!$D$16&gt;=0,OFFSET($J$4,A14-1-Premissas!$D$16,0),0)*Premissas!$D$15,0),0)</f>
        <v/>
      </c>
      <c r="L14">
        <f>ROUND(C14*Premissas!$D$24/12,0)</f>
        <v/>
      </c>
      <c r="M14">
        <f>ROUND(D14*Premissas!$D$25,0)</f>
        <v/>
      </c>
      <c r="N14">
        <f>ROUND(E14*Premissas!$D$29+B14*Premissas!$D$30,0)</f>
        <v/>
      </c>
      <c r="O14">
        <f>K14+L14+M14+N14</f>
        <v/>
      </c>
      <c r="P14">
        <f>K14+ROUND(AC14*Premissas!$D$24,0)+M14+N14</f>
        <v/>
      </c>
      <c r="Q14">
        <f>ROUND(IF(A14-1-Premissas!$D$21&gt;=0,OFFSET($P$4,A14-1-Premissas!$D$21,0),0)*(1-Premissas!$D$20/100),0)</f>
        <v/>
      </c>
      <c r="R14">
        <f>ROUND(F14*Premissas!$D$11+N14*Premissas!$D$31/100,0)+ROUND((E14+B14)*Premissas!$D$10,0)+ROUND(Q14*Premissas!$D$8/100,0)+ROUND(Premissas!$D$35+(B14+C14)*Premissas!$D$36,0)</f>
        <v/>
      </c>
      <c r="S14">
        <f>O14-R14</f>
        <v/>
      </c>
      <c r="T14">
        <f>ROUND(O14*Premissas!$D$9/100,0)</f>
        <v/>
      </c>
      <c r="U14">
        <f>ROUND(AB14*Premissas!$D$33,0)</f>
        <v/>
      </c>
      <c r="V14">
        <f>Premissas!$D$37+ROUND(Premissas!$D$12*Premissas!$D$38+D14*Premissas!$D$27,0)</f>
        <v/>
      </c>
      <c r="W14">
        <f>Premissas!$D$39</f>
        <v/>
      </c>
      <c r="X14">
        <f>S14-T14-ROUND(Premissas!$D$12*Premissas!$D$38+D14*Premissas!$D$27,0)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Premissas!$D$32+(B14+C14)/Premissas!$D$34</f>
        <v/>
      </c>
      <c r="AC14">
        <f>D14</f>
        <v/>
      </c>
    </row>
    <row r="15">
      <c r="A15" t="n">
        <v>12</v>
      </c>
      <c r="B15">
        <f>B14*(1-Premissas!$D$18/12)+Premissas!$D$12</f>
        <v/>
      </c>
      <c r="C15">
        <f>IF($B$2=1,C14*(1-Premissas!$D$26/12)+D15,0)</f>
        <v/>
      </c>
      <c r="D15">
        <f>IF(AND($B$2=1,A15&gt;=Premissas!$D$23),Premissas!$D$22,0)</f>
        <v/>
      </c>
      <c r="E15">
        <f>B15*Premissas!$D$28</f>
        <v/>
      </c>
      <c r="F15">
        <f>B15*Premissas!$D$13/12*MIN(1,A15/Premissas!$D$17)</f>
        <v/>
      </c>
      <c r="G15">
        <f>F15*Premissas!$D$14</f>
        <v/>
      </c>
      <c r="H15">
        <f>IF(IF(A15-1-Premissas!$D$16&gt;=0,OFFSET($J$4,A15-1-Premissas!$D$16,0),0)&gt;0,ROUND(IF(A15-1-Premissas!$D$16&gt;=0,OFFSET($J$4,A15-1-Premissas!$D$16,0),0)*10000/Premissas!$D$5*Premissas!$D$15,0),0)</f>
        <v/>
      </c>
      <c r="I15">
        <f>ROUND(G15*Premissas!$D$6/10000,0)</f>
        <v/>
      </c>
      <c r="J15">
        <f>ROUND(G15*Premissas!$D$5/10000,0)</f>
        <v/>
      </c>
      <c r="K15">
        <f>IF(IF(A15-1-Premissas!$D$16&gt;=0,OFFSET($A$4,A15-1-Premissas!$D$16,0)&gt;=Premissas!$D$19,FALSE),ROUND(IF(A15-1-Premissas!$D$16&gt;=0,OFFSET($J$4,A15-1-Premissas!$D$16,0),0)*Premissas!$D$15,0),0)</f>
        <v/>
      </c>
      <c r="L15">
        <f>ROUND(C15*Premissas!$D$24/12,0)</f>
        <v/>
      </c>
      <c r="M15">
        <f>ROUND(D15*Premissas!$D$25,0)</f>
        <v/>
      </c>
      <c r="N15">
        <f>ROUND(E15*Premissas!$D$29+B15*Premissas!$D$30,0)</f>
        <v/>
      </c>
      <c r="O15">
        <f>K15+L15+M15+N15</f>
        <v/>
      </c>
      <c r="P15">
        <f>K15+ROUND(AC15*Premissas!$D$24,0)+M15+N15</f>
        <v/>
      </c>
      <c r="Q15">
        <f>ROUND(IF(A15-1-Premissas!$D$21&gt;=0,OFFSET($P$4,A15-1-Premissas!$D$21,0),0)*(1-Premissas!$D$20/100),0)</f>
        <v/>
      </c>
      <c r="R15">
        <f>ROUND(F15*Premissas!$D$11+N15*Premissas!$D$31/100,0)+ROUND((E15+B15)*Premissas!$D$10,0)+ROUND(Q15*Premissas!$D$8/100,0)+ROUND(Premissas!$D$35+(B15+C15)*Premissas!$D$36,0)</f>
        <v/>
      </c>
      <c r="S15">
        <f>O15-R15</f>
        <v/>
      </c>
      <c r="T15">
        <f>ROUND(O15*Premissas!$D$9/100,0)</f>
        <v/>
      </c>
      <c r="U15">
        <f>ROUND(AB15*Premissas!$D$33,0)</f>
        <v/>
      </c>
      <c r="V15">
        <f>Premissas!$D$37+ROUND(Premissas!$D$12*Premissas!$D$38+D15*Premissas!$D$27,0)</f>
        <v/>
      </c>
      <c r="W15">
        <f>Premissas!$D$39</f>
        <v/>
      </c>
      <c r="X15">
        <f>S15-T15-ROUND(Premissas!$D$12*Premissas!$D$38+D15*Premissas!$D$27,0)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Premissas!$D$32+(B15+C15)/Premissas!$D$34</f>
        <v/>
      </c>
      <c r="AC15">
        <f>D15</f>
        <v/>
      </c>
    </row>
    <row r="16">
      <c r="A16" t="n">
        <v>13</v>
      </c>
      <c r="B16">
        <f>B15*(1-Premissas!$D$18/12)+Premissas!$D$12</f>
        <v/>
      </c>
      <c r="C16">
        <f>IF($B$2=1,C15*(1-Premissas!$D$26/12)+D16,0)</f>
        <v/>
      </c>
      <c r="D16">
        <f>IF(AND($B$2=1,A16&gt;=Premissas!$D$23),Premissas!$D$22,0)</f>
        <v/>
      </c>
      <c r="E16">
        <f>B16*Premissas!$D$28</f>
        <v/>
      </c>
      <c r="F16">
        <f>B16*Premissas!$D$13/12*MIN(1,A16/Premissas!$D$17)</f>
        <v/>
      </c>
      <c r="G16">
        <f>F16*Premissas!$D$14</f>
        <v/>
      </c>
      <c r="H16">
        <f>IF(IF(A16-1-Premissas!$D$16&gt;=0,OFFSET($J$4,A16-1-Premissas!$D$16,0),0)&gt;0,ROUND(IF(A16-1-Premissas!$D$16&gt;=0,OFFSET($J$4,A16-1-Premissas!$D$16,0),0)*10000/Premissas!$D$5*Premissas!$D$15,0),0)</f>
        <v/>
      </c>
      <c r="I16">
        <f>ROUND(G16*Premissas!$D$6/10000,0)</f>
        <v/>
      </c>
      <c r="J16">
        <f>ROUND(G16*Premissas!$D$5/10000,0)</f>
        <v/>
      </c>
      <c r="K16">
        <f>IF(IF(A16-1-Premissas!$D$16&gt;=0,OFFSET($A$4,A16-1-Premissas!$D$16,0)&gt;=Premissas!$D$19,FALSE),ROUND(IF(A16-1-Premissas!$D$16&gt;=0,OFFSET($J$4,A16-1-Premissas!$D$16,0),0)*Premissas!$D$15,0),0)</f>
        <v/>
      </c>
      <c r="L16">
        <f>ROUND(C16*Premissas!$D$24/12,0)</f>
        <v/>
      </c>
      <c r="M16">
        <f>ROUND(D16*Premissas!$D$25,0)</f>
        <v/>
      </c>
      <c r="N16">
        <f>ROUND(E16*Premissas!$D$29+B16*Premissas!$D$30,0)</f>
        <v/>
      </c>
      <c r="O16">
        <f>K16+L16+M16+N16</f>
        <v/>
      </c>
      <c r="P16">
        <f>K16+ROUND(AC16*Premissas!$D$24,0)+M16+N16</f>
        <v/>
      </c>
      <c r="Q16">
        <f>ROUND(IF(A16-1-Premissas!$D$21&gt;=0,OFFSET($P$4,A16-1-Premissas!$D$21,0),0)*(1-Premissas!$D$20/100),0)</f>
        <v/>
      </c>
      <c r="R16">
        <f>ROUND(F16*Premissas!$D$11+N16*Premissas!$D$31/100,0)+ROUND((E16+B16)*Premissas!$D$10,0)+ROUND(Q16*Premissas!$D$8/100,0)+ROUND(Premissas!$D$35+(B16+C16)*Premissas!$D$36,0)</f>
        <v/>
      </c>
      <c r="S16">
        <f>O16-R16</f>
        <v/>
      </c>
      <c r="T16">
        <f>ROUND(O16*Premissas!$D$9/100,0)</f>
        <v/>
      </c>
      <c r="U16">
        <f>ROUND(AB16*Premissas!$D$33,0)</f>
        <v/>
      </c>
      <c r="V16">
        <f>Premissas!$D$37+ROUND(Premissas!$D$12*Premissas!$D$38+D16*Premissas!$D$27,0)</f>
        <v/>
      </c>
      <c r="W16">
        <f>Premissas!$D$39</f>
        <v/>
      </c>
      <c r="X16">
        <f>S16-T16-ROUND(Premissas!$D$12*Premissas!$D$38+D16*Premissas!$D$27,0)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Premissas!$D$32+(B16+C16)/Premissas!$D$34</f>
        <v/>
      </c>
      <c r="AC16">
        <f>D16+AC4*(1-Premissas!$D$26/12)^12</f>
        <v/>
      </c>
    </row>
    <row r="17">
      <c r="A17" t="n">
        <v>14</v>
      </c>
      <c r="B17">
        <f>B16*(1-Premissas!$D$18/12)+Premissas!$D$12</f>
        <v/>
      </c>
      <c r="C17">
        <f>IF($B$2=1,C16*(1-Premissas!$D$26/12)+D17,0)</f>
        <v/>
      </c>
      <c r="D17">
        <f>IF(AND($B$2=1,A17&gt;=Premissas!$D$23),Premissas!$D$22,0)</f>
        <v/>
      </c>
      <c r="E17">
        <f>B17*Premissas!$D$28</f>
        <v/>
      </c>
      <c r="F17">
        <f>B17*Premissas!$D$13/12*MIN(1,A17/Premissas!$D$17)</f>
        <v/>
      </c>
      <c r="G17">
        <f>F17*Premissas!$D$14</f>
        <v/>
      </c>
      <c r="H17">
        <f>IF(IF(A17-1-Premissas!$D$16&gt;=0,OFFSET($J$4,A17-1-Premissas!$D$16,0),0)&gt;0,ROUND(IF(A17-1-Premissas!$D$16&gt;=0,OFFSET($J$4,A17-1-Premissas!$D$16,0),0)*10000/Premissas!$D$5*Premissas!$D$15,0),0)</f>
        <v/>
      </c>
      <c r="I17">
        <f>ROUND(G17*Premissas!$D$6/10000,0)</f>
        <v/>
      </c>
      <c r="J17">
        <f>ROUND(G17*Premissas!$D$5/10000,0)</f>
        <v/>
      </c>
      <c r="K17">
        <f>IF(IF(A17-1-Premissas!$D$16&gt;=0,OFFSET($A$4,A17-1-Premissas!$D$16,0)&gt;=Premissas!$D$19,FALSE),ROUND(IF(A17-1-Premissas!$D$16&gt;=0,OFFSET($J$4,A17-1-Premissas!$D$16,0),0)*Premissas!$D$15,0),0)</f>
        <v/>
      </c>
      <c r="L17">
        <f>ROUND(C17*Premissas!$D$24/12,0)</f>
        <v/>
      </c>
      <c r="M17">
        <f>ROUND(D17*Premissas!$D$25,0)</f>
        <v/>
      </c>
      <c r="N17">
        <f>ROUND(E17*Premissas!$D$29+B17*Premissas!$D$30,0)</f>
        <v/>
      </c>
      <c r="O17">
        <f>K17+L17+M17+N17</f>
        <v/>
      </c>
      <c r="P17">
        <f>K17+ROUND(AC17*Premissas!$D$24,0)+M17+N17</f>
        <v/>
      </c>
      <c r="Q17">
        <f>ROUND(IF(A17-1-Premissas!$D$21&gt;=0,OFFSET($P$4,A17-1-Premissas!$D$21,0),0)*(1-Premissas!$D$20/100),0)</f>
        <v/>
      </c>
      <c r="R17">
        <f>ROUND(F17*Premissas!$D$11+N17*Premissas!$D$31/100,0)+ROUND((E17+B17)*Premissas!$D$10,0)+ROUND(Q17*Premissas!$D$8/100,0)+ROUND(Premissas!$D$35+(B17+C17)*Premissas!$D$36,0)</f>
        <v/>
      </c>
      <c r="S17">
        <f>O17-R17</f>
        <v/>
      </c>
      <c r="T17">
        <f>ROUND(O17*Premissas!$D$9/100,0)</f>
        <v/>
      </c>
      <c r="U17">
        <f>ROUND(AB17*Premissas!$D$33,0)</f>
        <v/>
      </c>
      <c r="V17">
        <f>Premissas!$D$37+ROUND(Premissas!$D$12*Premissas!$D$38+D17*Premissas!$D$27,0)</f>
        <v/>
      </c>
      <c r="W17">
        <f>Premissas!$D$39</f>
        <v/>
      </c>
      <c r="X17">
        <f>S17-T17-ROUND(Premissas!$D$12*Premissas!$D$38+D17*Premissas!$D$27,0)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Premissas!$D$32+(B17+C17)/Premissas!$D$34</f>
        <v/>
      </c>
      <c r="AC17">
        <f>D17+AC5*(1-Premissas!$D$26/12)^12</f>
        <v/>
      </c>
    </row>
    <row r="18">
      <c r="A18" t="n">
        <v>15</v>
      </c>
      <c r="B18">
        <f>B17*(1-Premissas!$D$18/12)+Premissas!$D$12</f>
        <v/>
      </c>
      <c r="C18">
        <f>IF($B$2=1,C17*(1-Premissas!$D$26/12)+D18,0)</f>
        <v/>
      </c>
      <c r="D18">
        <f>IF(AND($B$2=1,A18&gt;=Premissas!$D$23),Premissas!$D$22,0)</f>
        <v/>
      </c>
      <c r="E18">
        <f>B18*Premissas!$D$28</f>
        <v/>
      </c>
      <c r="F18">
        <f>B18*Premissas!$D$13/12*MIN(1,A18/Premissas!$D$17)</f>
        <v/>
      </c>
      <c r="G18">
        <f>F18*Premissas!$D$14</f>
        <v/>
      </c>
      <c r="H18">
        <f>IF(IF(A18-1-Premissas!$D$16&gt;=0,OFFSET($J$4,A18-1-Premissas!$D$16,0),0)&gt;0,ROUND(IF(A18-1-Premissas!$D$16&gt;=0,OFFSET($J$4,A18-1-Premissas!$D$16,0),0)*10000/Premissas!$D$5*Premissas!$D$15,0),0)</f>
        <v/>
      </c>
      <c r="I18">
        <f>ROUND(G18*Premissas!$D$6/10000,0)</f>
        <v/>
      </c>
      <c r="J18">
        <f>ROUND(G18*Premissas!$D$5/10000,0)</f>
        <v/>
      </c>
      <c r="K18">
        <f>IF(IF(A18-1-Premissas!$D$16&gt;=0,OFFSET($A$4,A18-1-Premissas!$D$16,0)&gt;=Premissas!$D$19,FALSE),ROUND(IF(A18-1-Premissas!$D$16&gt;=0,OFFSET($J$4,A18-1-Premissas!$D$16,0),0)*Premissas!$D$15,0),0)</f>
        <v/>
      </c>
      <c r="L18">
        <f>ROUND(C18*Premissas!$D$24/12,0)</f>
        <v/>
      </c>
      <c r="M18">
        <f>ROUND(D18*Premissas!$D$25,0)</f>
        <v/>
      </c>
      <c r="N18">
        <f>ROUND(E18*Premissas!$D$29+B18*Premissas!$D$30,0)</f>
        <v/>
      </c>
      <c r="O18">
        <f>K18+L18+M18+N18</f>
        <v/>
      </c>
      <c r="P18">
        <f>K18+ROUND(AC18*Premissas!$D$24,0)+M18+N18</f>
        <v/>
      </c>
      <c r="Q18">
        <f>ROUND(IF(A18-1-Premissas!$D$21&gt;=0,OFFSET($P$4,A18-1-Premissas!$D$21,0),0)*(1-Premissas!$D$20/100),0)</f>
        <v/>
      </c>
      <c r="R18">
        <f>ROUND(F18*Premissas!$D$11+N18*Premissas!$D$31/100,0)+ROUND((E18+B18)*Premissas!$D$10,0)+ROUND(Q18*Premissas!$D$8/100,0)+ROUND(Premissas!$D$35+(B18+C18)*Premissas!$D$36,0)</f>
        <v/>
      </c>
      <c r="S18">
        <f>O18-R18</f>
        <v/>
      </c>
      <c r="T18">
        <f>ROUND(O18*Premissas!$D$9/100,0)</f>
        <v/>
      </c>
      <c r="U18">
        <f>ROUND(AB18*Premissas!$D$33,0)</f>
        <v/>
      </c>
      <c r="V18">
        <f>Premissas!$D$37+ROUND(Premissas!$D$12*Premissas!$D$38+D18*Premissas!$D$27,0)</f>
        <v/>
      </c>
      <c r="W18">
        <f>Premissas!$D$39</f>
        <v/>
      </c>
      <c r="X18">
        <f>S18-T18-ROUND(Premissas!$D$12*Premissas!$D$38+D18*Premissas!$D$27,0)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Premissas!$D$32+(B18+C18)/Premissas!$D$34</f>
        <v/>
      </c>
      <c r="AC18">
        <f>D18+AC6*(1-Premissas!$D$26/12)^12</f>
        <v/>
      </c>
    </row>
    <row r="19">
      <c r="A19" t="n">
        <v>16</v>
      </c>
      <c r="B19">
        <f>B18*(1-Premissas!$D$18/12)+Premissas!$D$12</f>
        <v/>
      </c>
      <c r="C19">
        <f>IF($B$2=1,C18*(1-Premissas!$D$26/12)+D19,0)</f>
        <v/>
      </c>
      <c r="D19">
        <f>IF(AND($B$2=1,A19&gt;=Premissas!$D$23),Premissas!$D$22,0)</f>
        <v/>
      </c>
      <c r="E19">
        <f>B19*Premissas!$D$28</f>
        <v/>
      </c>
      <c r="F19">
        <f>B19*Premissas!$D$13/12*MIN(1,A19/Premissas!$D$17)</f>
        <v/>
      </c>
      <c r="G19">
        <f>F19*Premissas!$D$14</f>
        <v/>
      </c>
      <c r="H19">
        <f>IF(IF(A19-1-Premissas!$D$16&gt;=0,OFFSET($J$4,A19-1-Premissas!$D$16,0),0)&gt;0,ROUND(IF(A19-1-Premissas!$D$16&gt;=0,OFFSET($J$4,A19-1-Premissas!$D$16,0),0)*10000/Premissas!$D$5*Premissas!$D$15,0),0)</f>
        <v/>
      </c>
      <c r="I19">
        <f>ROUND(G19*Premissas!$D$6/10000,0)</f>
        <v/>
      </c>
      <c r="J19">
        <f>ROUND(G19*Premissas!$D$5/10000,0)</f>
        <v/>
      </c>
      <c r="K19">
        <f>IF(IF(A19-1-Premissas!$D$16&gt;=0,OFFSET($A$4,A19-1-Premissas!$D$16,0)&gt;=Premissas!$D$19,FALSE),ROUND(IF(A19-1-Premissas!$D$16&gt;=0,OFFSET($J$4,A19-1-Premissas!$D$16,0),0)*Premissas!$D$15,0),0)</f>
        <v/>
      </c>
      <c r="L19">
        <f>ROUND(C19*Premissas!$D$24/12,0)</f>
        <v/>
      </c>
      <c r="M19">
        <f>ROUND(D19*Premissas!$D$25,0)</f>
        <v/>
      </c>
      <c r="N19">
        <f>ROUND(E19*Premissas!$D$29+B19*Premissas!$D$30,0)</f>
        <v/>
      </c>
      <c r="O19">
        <f>K19+L19+M19+N19</f>
        <v/>
      </c>
      <c r="P19">
        <f>K19+ROUND(AC19*Premissas!$D$24,0)+M19+N19</f>
        <v/>
      </c>
      <c r="Q19">
        <f>ROUND(IF(A19-1-Premissas!$D$21&gt;=0,OFFSET($P$4,A19-1-Premissas!$D$21,0),0)*(1-Premissas!$D$20/100),0)</f>
        <v/>
      </c>
      <c r="R19">
        <f>ROUND(F19*Premissas!$D$11+N19*Premissas!$D$31/100,0)+ROUND((E19+B19)*Premissas!$D$10,0)+ROUND(Q19*Premissas!$D$8/100,0)+ROUND(Premissas!$D$35+(B19+C19)*Premissas!$D$36,0)</f>
        <v/>
      </c>
      <c r="S19">
        <f>O19-R19</f>
        <v/>
      </c>
      <c r="T19">
        <f>ROUND(O19*Premissas!$D$9/100,0)</f>
        <v/>
      </c>
      <c r="U19">
        <f>ROUND(AB19*Premissas!$D$33,0)</f>
        <v/>
      </c>
      <c r="V19">
        <f>Premissas!$D$37+ROUND(Premissas!$D$12*Premissas!$D$38+D19*Premissas!$D$27,0)</f>
        <v/>
      </c>
      <c r="W19">
        <f>Premissas!$D$39</f>
        <v/>
      </c>
      <c r="X19">
        <f>S19-T19-ROUND(Premissas!$D$12*Premissas!$D$38+D19*Premissas!$D$27,0)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Premissas!$D$32+(B19+C19)/Premissas!$D$34</f>
        <v/>
      </c>
      <c r="AC19">
        <f>D19+AC7*(1-Premissas!$D$26/12)^12</f>
        <v/>
      </c>
    </row>
    <row r="20">
      <c r="A20" t="n">
        <v>17</v>
      </c>
      <c r="B20">
        <f>B19*(1-Premissas!$D$18/12)+Premissas!$D$12</f>
        <v/>
      </c>
      <c r="C20">
        <f>IF($B$2=1,C19*(1-Premissas!$D$26/12)+D20,0)</f>
        <v/>
      </c>
      <c r="D20">
        <f>IF(AND($B$2=1,A20&gt;=Premissas!$D$23),Premissas!$D$22,0)</f>
        <v/>
      </c>
      <c r="E20">
        <f>B20*Premissas!$D$28</f>
        <v/>
      </c>
      <c r="F20">
        <f>B20*Premissas!$D$13/12*MIN(1,A20/Premissas!$D$17)</f>
        <v/>
      </c>
      <c r="G20">
        <f>F20*Premissas!$D$14</f>
        <v/>
      </c>
      <c r="H20">
        <f>IF(IF(A20-1-Premissas!$D$16&gt;=0,OFFSET($J$4,A20-1-Premissas!$D$16,0),0)&gt;0,ROUND(IF(A20-1-Premissas!$D$16&gt;=0,OFFSET($J$4,A20-1-Premissas!$D$16,0),0)*10000/Premissas!$D$5*Premissas!$D$15,0),0)</f>
        <v/>
      </c>
      <c r="I20">
        <f>ROUND(G20*Premissas!$D$6/10000,0)</f>
        <v/>
      </c>
      <c r="J20">
        <f>ROUND(G20*Premissas!$D$5/10000,0)</f>
        <v/>
      </c>
      <c r="K20">
        <f>IF(IF(A20-1-Premissas!$D$16&gt;=0,OFFSET($A$4,A20-1-Premissas!$D$16,0)&gt;=Premissas!$D$19,FALSE),ROUND(IF(A20-1-Premissas!$D$16&gt;=0,OFFSET($J$4,A20-1-Premissas!$D$16,0),0)*Premissas!$D$15,0),0)</f>
        <v/>
      </c>
      <c r="L20">
        <f>ROUND(C20*Premissas!$D$24/12,0)</f>
        <v/>
      </c>
      <c r="M20">
        <f>ROUND(D20*Premissas!$D$25,0)</f>
        <v/>
      </c>
      <c r="N20">
        <f>ROUND(E20*Premissas!$D$29+B20*Premissas!$D$30,0)</f>
        <v/>
      </c>
      <c r="O20">
        <f>K20+L20+M20+N20</f>
        <v/>
      </c>
      <c r="P20">
        <f>K20+ROUND(AC20*Premissas!$D$24,0)+M20+N20</f>
        <v/>
      </c>
      <c r="Q20">
        <f>ROUND(IF(A20-1-Premissas!$D$21&gt;=0,OFFSET($P$4,A20-1-Premissas!$D$21,0),0)*(1-Premissas!$D$20/100),0)</f>
        <v/>
      </c>
      <c r="R20">
        <f>ROUND(F20*Premissas!$D$11+N20*Premissas!$D$31/100,0)+ROUND((E20+B20)*Premissas!$D$10,0)+ROUND(Q20*Premissas!$D$8/100,0)+ROUND(Premissas!$D$35+(B20+C20)*Premissas!$D$36,0)</f>
        <v/>
      </c>
      <c r="S20">
        <f>O20-R20</f>
        <v/>
      </c>
      <c r="T20">
        <f>ROUND(O20*Premissas!$D$9/100,0)</f>
        <v/>
      </c>
      <c r="U20">
        <f>ROUND(AB20*Premissas!$D$33,0)</f>
        <v/>
      </c>
      <c r="V20">
        <f>Premissas!$D$37+ROUND(Premissas!$D$12*Premissas!$D$38+D20*Premissas!$D$27,0)</f>
        <v/>
      </c>
      <c r="W20">
        <f>Premissas!$D$39</f>
        <v/>
      </c>
      <c r="X20">
        <f>S20-T20-ROUND(Premissas!$D$12*Premissas!$D$38+D20*Premissas!$D$27,0)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Premissas!$D$32+(B20+C20)/Premissas!$D$34</f>
        <v/>
      </c>
      <c r="AC20">
        <f>D20+AC8*(1-Premissas!$D$26/12)^12</f>
        <v/>
      </c>
    </row>
    <row r="21">
      <c r="A21" t="n">
        <v>18</v>
      </c>
      <c r="B21">
        <f>B20*(1-Premissas!$D$18/12)+Premissas!$D$12</f>
        <v/>
      </c>
      <c r="C21">
        <f>IF($B$2=1,C20*(1-Premissas!$D$26/12)+D21,0)</f>
        <v/>
      </c>
      <c r="D21">
        <f>IF(AND($B$2=1,A21&gt;=Premissas!$D$23),Premissas!$D$22,0)</f>
        <v/>
      </c>
      <c r="E21">
        <f>B21*Premissas!$D$28</f>
        <v/>
      </c>
      <c r="F21">
        <f>B21*Premissas!$D$13/12*MIN(1,A21/Premissas!$D$17)</f>
        <v/>
      </c>
      <c r="G21">
        <f>F21*Premissas!$D$14</f>
        <v/>
      </c>
      <c r="H21">
        <f>IF(IF(A21-1-Premissas!$D$16&gt;=0,OFFSET($J$4,A21-1-Premissas!$D$16,0),0)&gt;0,ROUND(IF(A21-1-Premissas!$D$16&gt;=0,OFFSET($J$4,A21-1-Premissas!$D$16,0),0)*10000/Premissas!$D$5*Premissas!$D$15,0),0)</f>
        <v/>
      </c>
      <c r="I21">
        <f>ROUND(G21*Premissas!$D$6/10000,0)</f>
        <v/>
      </c>
      <c r="J21">
        <f>ROUND(G21*Premissas!$D$5/10000,0)</f>
        <v/>
      </c>
      <c r="K21">
        <f>IF(IF(A21-1-Premissas!$D$16&gt;=0,OFFSET($A$4,A21-1-Premissas!$D$16,0)&gt;=Premissas!$D$19,FALSE),ROUND(IF(A21-1-Premissas!$D$16&gt;=0,OFFSET($J$4,A21-1-Premissas!$D$16,0),0)*Premissas!$D$15,0),0)</f>
        <v/>
      </c>
      <c r="L21">
        <f>ROUND(C21*Premissas!$D$24/12,0)</f>
        <v/>
      </c>
      <c r="M21">
        <f>ROUND(D21*Premissas!$D$25,0)</f>
        <v/>
      </c>
      <c r="N21">
        <f>ROUND(E21*Premissas!$D$29+B21*Premissas!$D$30,0)</f>
        <v/>
      </c>
      <c r="O21">
        <f>K21+L21+M21+N21</f>
        <v/>
      </c>
      <c r="P21">
        <f>K21+ROUND(AC21*Premissas!$D$24,0)+M21+N21</f>
        <v/>
      </c>
      <c r="Q21">
        <f>ROUND(IF(A21-1-Premissas!$D$21&gt;=0,OFFSET($P$4,A21-1-Premissas!$D$21,0),0)*(1-Premissas!$D$20/100),0)</f>
        <v/>
      </c>
      <c r="R21">
        <f>ROUND(F21*Premissas!$D$11+N21*Premissas!$D$31/100,0)+ROUND((E21+B21)*Premissas!$D$10,0)+ROUND(Q21*Premissas!$D$8/100,0)+ROUND(Premissas!$D$35+(B21+C21)*Premissas!$D$36,0)</f>
        <v/>
      </c>
      <c r="S21">
        <f>O21-R21</f>
        <v/>
      </c>
      <c r="T21">
        <f>ROUND(O21*Premissas!$D$9/100,0)</f>
        <v/>
      </c>
      <c r="U21">
        <f>ROUND(AB21*Premissas!$D$33,0)</f>
        <v/>
      </c>
      <c r="V21">
        <f>Premissas!$D$37+ROUND(Premissas!$D$12*Premissas!$D$38+D21*Premissas!$D$27,0)</f>
        <v/>
      </c>
      <c r="W21">
        <f>Premissas!$D$39</f>
        <v/>
      </c>
      <c r="X21">
        <f>S21-T21-ROUND(Premissas!$D$12*Premissas!$D$38+D21*Premissas!$D$27,0)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Premissas!$D$32+(B21+C21)/Premissas!$D$34</f>
        <v/>
      </c>
      <c r="AC21">
        <f>D21+AC9*(1-Premissas!$D$26/12)^12</f>
        <v/>
      </c>
    </row>
    <row r="22">
      <c r="A22" t="n">
        <v>19</v>
      </c>
      <c r="B22">
        <f>B21*(1-Premissas!$D$18/12)+Premissas!$D$12</f>
        <v/>
      </c>
      <c r="C22">
        <f>IF($B$2=1,C21*(1-Premissas!$D$26/12)+D22,0)</f>
        <v/>
      </c>
      <c r="D22">
        <f>IF(AND($B$2=1,A22&gt;=Premissas!$D$23),Premissas!$D$22,0)</f>
        <v/>
      </c>
      <c r="E22">
        <f>B22*Premissas!$D$28</f>
        <v/>
      </c>
      <c r="F22">
        <f>B22*Premissas!$D$13/12*MIN(1,A22/Premissas!$D$17)</f>
        <v/>
      </c>
      <c r="G22">
        <f>F22*Premissas!$D$14</f>
        <v/>
      </c>
      <c r="H22">
        <f>IF(IF(A22-1-Premissas!$D$16&gt;=0,OFFSET($J$4,A22-1-Premissas!$D$16,0),0)&gt;0,ROUND(IF(A22-1-Premissas!$D$16&gt;=0,OFFSET($J$4,A22-1-Premissas!$D$16,0),0)*10000/Premissas!$D$5*Premissas!$D$15,0),0)</f>
        <v/>
      </c>
      <c r="I22">
        <f>ROUND(G22*Premissas!$D$6/10000,0)</f>
        <v/>
      </c>
      <c r="J22">
        <f>ROUND(G22*Premissas!$D$5/10000,0)</f>
        <v/>
      </c>
      <c r="K22">
        <f>IF(IF(A22-1-Premissas!$D$16&gt;=0,OFFSET($A$4,A22-1-Premissas!$D$16,0)&gt;=Premissas!$D$19,FALSE),ROUND(IF(A22-1-Premissas!$D$16&gt;=0,OFFSET($J$4,A22-1-Premissas!$D$16,0),0)*Premissas!$D$15,0),0)</f>
        <v/>
      </c>
      <c r="L22">
        <f>ROUND(C22*Premissas!$D$24/12,0)</f>
        <v/>
      </c>
      <c r="M22">
        <f>ROUND(D22*Premissas!$D$25,0)</f>
        <v/>
      </c>
      <c r="N22">
        <f>ROUND(E22*Premissas!$D$29+B22*Premissas!$D$30,0)</f>
        <v/>
      </c>
      <c r="O22">
        <f>K22+L22+M22+N22</f>
        <v/>
      </c>
      <c r="P22">
        <f>K22+ROUND(AC22*Premissas!$D$24,0)+M22+N22</f>
        <v/>
      </c>
      <c r="Q22">
        <f>ROUND(IF(A22-1-Premissas!$D$21&gt;=0,OFFSET($P$4,A22-1-Premissas!$D$21,0),0)*(1-Premissas!$D$20/100),0)</f>
        <v/>
      </c>
      <c r="R22">
        <f>ROUND(F22*Premissas!$D$11+N22*Premissas!$D$31/100,0)+ROUND((E22+B22)*Premissas!$D$10,0)+ROUND(Q22*Premissas!$D$8/100,0)+ROUND(Premissas!$D$35+(B22+C22)*Premissas!$D$36,0)</f>
        <v/>
      </c>
      <c r="S22">
        <f>O22-R22</f>
        <v/>
      </c>
      <c r="T22">
        <f>ROUND(O22*Premissas!$D$9/100,0)</f>
        <v/>
      </c>
      <c r="U22">
        <f>ROUND(AB22*Premissas!$D$33,0)</f>
        <v/>
      </c>
      <c r="V22">
        <f>Premissas!$D$37+ROUND(Premissas!$D$12*Premissas!$D$38+D22*Premissas!$D$27,0)</f>
        <v/>
      </c>
      <c r="W22">
        <f>Premissas!$D$39</f>
        <v/>
      </c>
      <c r="X22">
        <f>S22-T22-ROUND(Premissas!$D$12*Premissas!$D$38+D22*Premissas!$D$27,0)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Premissas!$D$32+(B22+C22)/Premissas!$D$34</f>
        <v/>
      </c>
      <c r="AC22">
        <f>D22+AC10*(1-Premissas!$D$26/12)^12</f>
        <v/>
      </c>
    </row>
    <row r="23">
      <c r="A23" t="n">
        <v>20</v>
      </c>
      <c r="B23">
        <f>B22*(1-Premissas!$D$18/12)+Premissas!$D$12</f>
        <v/>
      </c>
      <c r="C23">
        <f>IF($B$2=1,C22*(1-Premissas!$D$26/12)+D23,0)</f>
        <v/>
      </c>
      <c r="D23">
        <f>IF(AND($B$2=1,A23&gt;=Premissas!$D$23),Premissas!$D$22,0)</f>
        <v/>
      </c>
      <c r="E23">
        <f>B23*Premissas!$D$28</f>
        <v/>
      </c>
      <c r="F23">
        <f>B23*Premissas!$D$13/12*MIN(1,A23/Premissas!$D$17)</f>
        <v/>
      </c>
      <c r="G23">
        <f>F23*Premissas!$D$14</f>
        <v/>
      </c>
      <c r="H23">
        <f>IF(IF(A23-1-Premissas!$D$16&gt;=0,OFFSET($J$4,A23-1-Premissas!$D$16,0),0)&gt;0,ROUND(IF(A23-1-Premissas!$D$16&gt;=0,OFFSET($J$4,A23-1-Premissas!$D$16,0),0)*10000/Premissas!$D$5*Premissas!$D$15,0),0)</f>
        <v/>
      </c>
      <c r="I23">
        <f>ROUND(G23*Premissas!$D$6/10000,0)</f>
        <v/>
      </c>
      <c r="J23">
        <f>ROUND(G23*Premissas!$D$5/10000,0)</f>
        <v/>
      </c>
      <c r="K23">
        <f>IF(IF(A23-1-Premissas!$D$16&gt;=0,OFFSET($A$4,A23-1-Premissas!$D$16,0)&gt;=Premissas!$D$19,FALSE),ROUND(IF(A23-1-Premissas!$D$16&gt;=0,OFFSET($J$4,A23-1-Premissas!$D$16,0),0)*Premissas!$D$15,0),0)</f>
        <v/>
      </c>
      <c r="L23">
        <f>ROUND(C23*Premissas!$D$24/12,0)</f>
        <v/>
      </c>
      <c r="M23">
        <f>ROUND(D23*Premissas!$D$25,0)</f>
        <v/>
      </c>
      <c r="N23">
        <f>ROUND(E23*Premissas!$D$29+B23*Premissas!$D$30,0)</f>
        <v/>
      </c>
      <c r="O23">
        <f>K23+L23+M23+N23</f>
        <v/>
      </c>
      <c r="P23">
        <f>K23+ROUND(AC23*Premissas!$D$24,0)+M23+N23</f>
        <v/>
      </c>
      <c r="Q23">
        <f>ROUND(IF(A23-1-Premissas!$D$21&gt;=0,OFFSET($P$4,A23-1-Premissas!$D$21,0),0)*(1-Premissas!$D$20/100),0)</f>
        <v/>
      </c>
      <c r="R23">
        <f>ROUND(F23*Premissas!$D$11+N23*Premissas!$D$31/100,0)+ROUND((E23+B23)*Premissas!$D$10,0)+ROUND(Q23*Premissas!$D$8/100,0)+ROUND(Premissas!$D$35+(B23+C23)*Premissas!$D$36,0)</f>
        <v/>
      </c>
      <c r="S23">
        <f>O23-R23</f>
        <v/>
      </c>
      <c r="T23">
        <f>ROUND(O23*Premissas!$D$9/100,0)</f>
        <v/>
      </c>
      <c r="U23">
        <f>ROUND(AB23*Premissas!$D$33,0)</f>
        <v/>
      </c>
      <c r="V23">
        <f>Premissas!$D$37+ROUND(Premissas!$D$12*Premissas!$D$38+D23*Premissas!$D$27,0)</f>
        <v/>
      </c>
      <c r="W23">
        <f>Premissas!$D$39</f>
        <v/>
      </c>
      <c r="X23">
        <f>S23-T23-ROUND(Premissas!$D$12*Premissas!$D$38+D23*Premissas!$D$27,0)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Premissas!$D$32+(B23+C23)/Premissas!$D$34</f>
        <v/>
      </c>
      <c r="AC23">
        <f>D23+AC11*(1-Premissas!$D$26/12)^12</f>
        <v/>
      </c>
    </row>
    <row r="24">
      <c r="A24" t="n">
        <v>21</v>
      </c>
      <c r="B24">
        <f>B23*(1-Premissas!$D$18/12)+Premissas!$D$12</f>
        <v/>
      </c>
      <c r="C24">
        <f>IF($B$2=1,C23*(1-Premissas!$D$26/12)+D24,0)</f>
        <v/>
      </c>
      <c r="D24">
        <f>IF(AND($B$2=1,A24&gt;=Premissas!$D$23),Premissas!$D$22,0)</f>
        <v/>
      </c>
      <c r="E24">
        <f>B24*Premissas!$D$28</f>
        <v/>
      </c>
      <c r="F24">
        <f>B24*Premissas!$D$13/12*MIN(1,A24/Premissas!$D$17)</f>
        <v/>
      </c>
      <c r="G24">
        <f>F24*Premissas!$D$14</f>
        <v/>
      </c>
      <c r="H24">
        <f>IF(IF(A24-1-Premissas!$D$16&gt;=0,OFFSET($J$4,A24-1-Premissas!$D$16,0),0)&gt;0,ROUND(IF(A24-1-Premissas!$D$16&gt;=0,OFFSET($J$4,A24-1-Premissas!$D$16,0),0)*10000/Premissas!$D$5*Premissas!$D$15,0),0)</f>
        <v/>
      </c>
      <c r="I24">
        <f>ROUND(G24*Premissas!$D$6/10000,0)</f>
        <v/>
      </c>
      <c r="J24">
        <f>ROUND(G24*Premissas!$D$5/10000,0)</f>
        <v/>
      </c>
      <c r="K24">
        <f>IF(IF(A24-1-Premissas!$D$16&gt;=0,OFFSET($A$4,A24-1-Premissas!$D$16,0)&gt;=Premissas!$D$19,FALSE),ROUND(IF(A24-1-Premissas!$D$16&gt;=0,OFFSET($J$4,A24-1-Premissas!$D$16,0),0)*Premissas!$D$15,0),0)</f>
        <v/>
      </c>
      <c r="L24">
        <f>ROUND(C24*Premissas!$D$24/12,0)</f>
        <v/>
      </c>
      <c r="M24">
        <f>ROUND(D24*Premissas!$D$25,0)</f>
        <v/>
      </c>
      <c r="N24">
        <f>ROUND(E24*Premissas!$D$29+B24*Premissas!$D$30,0)</f>
        <v/>
      </c>
      <c r="O24">
        <f>K24+L24+M24+N24</f>
        <v/>
      </c>
      <c r="P24">
        <f>K24+ROUND(AC24*Premissas!$D$24,0)+M24+N24</f>
        <v/>
      </c>
      <c r="Q24">
        <f>ROUND(IF(A24-1-Premissas!$D$21&gt;=0,OFFSET($P$4,A24-1-Premissas!$D$21,0),0)*(1-Premissas!$D$20/100),0)</f>
        <v/>
      </c>
      <c r="R24">
        <f>ROUND(F24*Premissas!$D$11+N24*Premissas!$D$31/100,0)+ROUND((E24+B24)*Premissas!$D$10,0)+ROUND(Q24*Premissas!$D$8/100,0)+ROUND(Premissas!$D$35+(B24+C24)*Premissas!$D$36,0)</f>
        <v/>
      </c>
      <c r="S24">
        <f>O24-R24</f>
        <v/>
      </c>
      <c r="T24">
        <f>ROUND(O24*Premissas!$D$9/100,0)</f>
        <v/>
      </c>
      <c r="U24">
        <f>ROUND(AB24*Premissas!$D$33,0)</f>
        <v/>
      </c>
      <c r="V24">
        <f>Premissas!$D$37+ROUND(Premissas!$D$12*Premissas!$D$38+D24*Premissas!$D$27,0)</f>
        <v/>
      </c>
      <c r="W24">
        <f>Premissas!$D$39</f>
        <v/>
      </c>
      <c r="X24">
        <f>S24-T24-ROUND(Premissas!$D$12*Premissas!$D$38+D24*Premissas!$D$27,0)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Premissas!$D$32+(B24+C24)/Premissas!$D$34</f>
        <v/>
      </c>
      <c r="AC24">
        <f>D24+AC12*(1-Premissas!$D$26/12)^12</f>
        <v/>
      </c>
    </row>
    <row r="25">
      <c r="A25" t="n">
        <v>22</v>
      </c>
      <c r="B25">
        <f>B24*(1-Premissas!$D$18/12)+Premissas!$D$12</f>
        <v/>
      </c>
      <c r="C25">
        <f>IF($B$2=1,C24*(1-Premissas!$D$26/12)+D25,0)</f>
        <v/>
      </c>
      <c r="D25">
        <f>IF(AND($B$2=1,A25&gt;=Premissas!$D$23),Premissas!$D$22,0)</f>
        <v/>
      </c>
      <c r="E25">
        <f>B25*Premissas!$D$28</f>
        <v/>
      </c>
      <c r="F25">
        <f>B25*Premissas!$D$13/12*MIN(1,A25/Premissas!$D$17)</f>
        <v/>
      </c>
      <c r="G25">
        <f>F25*Premissas!$D$14</f>
        <v/>
      </c>
      <c r="H25">
        <f>IF(IF(A25-1-Premissas!$D$16&gt;=0,OFFSET($J$4,A25-1-Premissas!$D$16,0),0)&gt;0,ROUND(IF(A25-1-Premissas!$D$16&gt;=0,OFFSET($J$4,A25-1-Premissas!$D$16,0),0)*10000/Premissas!$D$5*Premissas!$D$15,0),0)</f>
        <v/>
      </c>
      <c r="I25">
        <f>ROUND(G25*Premissas!$D$6/10000,0)</f>
        <v/>
      </c>
      <c r="J25">
        <f>ROUND(G25*Premissas!$D$5/10000,0)</f>
        <v/>
      </c>
      <c r="K25">
        <f>IF(IF(A25-1-Premissas!$D$16&gt;=0,OFFSET($A$4,A25-1-Premissas!$D$16,0)&gt;=Premissas!$D$19,FALSE),ROUND(IF(A25-1-Premissas!$D$16&gt;=0,OFFSET($J$4,A25-1-Premissas!$D$16,0),0)*Premissas!$D$15,0),0)</f>
        <v/>
      </c>
      <c r="L25">
        <f>ROUND(C25*Premissas!$D$24/12,0)</f>
        <v/>
      </c>
      <c r="M25">
        <f>ROUND(D25*Premissas!$D$25,0)</f>
        <v/>
      </c>
      <c r="N25">
        <f>ROUND(E25*Premissas!$D$29+B25*Premissas!$D$30,0)</f>
        <v/>
      </c>
      <c r="O25">
        <f>K25+L25+M25+N25</f>
        <v/>
      </c>
      <c r="P25">
        <f>K25+ROUND(AC25*Premissas!$D$24,0)+M25+N25</f>
        <v/>
      </c>
      <c r="Q25">
        <f>ROUND(IF(A25-1-Premissas!$D$21&gt;=0,OFFSET($P$4,A25-1-Premissas!$D$21,0),0)*(1-Premissas!$D$20/100),0)</f>
        <v/>
      </c>
      <c r="R25">
        <f>ROUND(F25*Premissas!$D$11+N25*Premissas!$D$31/100,0)+ROUND((E25+B25)*Premissas!$D$10,0)+ROUND(Q25*Premissas!$D$8/100,0)+ROUND(Premissas!$D$35+(B25+C25)*Premissas!$D$36,0)</f>
        <v/>
      </c>
      <c r="S25">
        <f>O25-R25</f>
        <v/>
      </c>
      <c r="T25">
        <f>ROUND(O25*Premissas!$D$9/100,0)</f>
        <v/>
      </c>
      <c r="U25">
        <f>ROUND(AB25*Premissas!$D$33,0)</f>
        <v/>
      </c>
      <c r="V25">
        <f>Premissas!$D$37+ROUND(Premissas!$D$12*Premissas!$D$38+D25*Premissas!$D$27,0)</f>
        <v/>
      </c>
      <c r="W25">
        <f>Premissas!$D$39</f>
        <v/>
      </c>
      <c r="X25">
        <f>S25-T25-ROUND(Premissas!$D$12*Premissas!$D$38+D25*Premissas!$D$27,0)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Premissas!$D$32+(B25+C25)/Premissas!$D$34</f>
        <v/>
      </c>
      <c r="AC25">
        <f>D25+AC13*(1-Premissas!$D$26/12)^12</f>
        <v/>
      </c>
    </row>
    <row r="26">
      <c r="A26" t="n">
        <v>23</v>
      </c>
      <c r="B26">
        <f>B25*(1-Premissas!$D$18/12)+Premissas!$D$12</f>
        <v/>
      </c>
      <c r="C26">
        <f>IF($B$2=1,C25*(1-Premissas!$D$26/12)+D26,0)</f>
        <v/>
      </c>
      <c r="D26">
        <f>IF(AND($B$2=1,A26&gt;=Premissas!$D$23),Premissas!$D$22,0)</f>
        <v/>
      </c>
      <c r="E26">
        <f>B26*Premissas!$D$28</f>
        <v/>
      </c>
      <c r="F26">
        <f>B26*Premissas!$D$13/12*MIN(1,A26/Premissas!$D$17)</f>
        <v/>
      </c>
      <c r="G26">
        <f>F26*Premissas!$D$14</f>
        <v/>
      </c>
      <c r="H26">
        <f>IF(IF(A26-1-Premissas!$D$16&gt;=0,OFFSET($J$4,A26-1-Premissas!$D$16,0),0)&gt;0,ROUND(IF(A26-1-Premissas!$D$16&gt;=0,OFFSET($J$4,A26-1-Premissas!$D$16,0),0)*10000/Premissas!$D$5*Premissas!$D$15,0),0)</f>
        <v/>
      </c>
      <c r="I26">
        <f>ROUND(G26*Premissas!$D$6/10000,0)</f>
        <v/>
      </c>
      <c r="J26">
        <f>ROUND(G26*Premissas!$D$5/10000,0)</f>
        <v/>
      </c>
      <c r="K26">
        <f>IF(IF(A26-1-Premissas!$D$16&gt;=0,OFFSET($A$4,A26-1-Premissas!$D$16,0)&gt;=Premissas!$D$19,FALSE),ROUND(IF(A26-1-Premissas!$D$16&gt;=0,OFFSET($J$4,A26-1-Premissas!$D$16,0),0)*Premissas!$D$15,0),0)</f>
        <v/>
      </c>
      <c r="L26">
        <f>ROUND(C26*Premissas!$D$24/12,0)</f>
        <v/>
      </c>
      <c r="M26">
        <f>ROUND(D26*Premissas!$D$25,0)</f>
        <v/>
      </c>
      <c r="N26">
        <f>ROUND(E26*Premissas!$D$29+B26*Premissas!$D$30,0)</f>
        <v/>
      </c>
      <c r="O26">
        <f>K26+L26+M26+N26</f>
        <v/>
      </c>
      <c r="P26">
        <f>K26+ROUND(AC26*Premissas!$D$24,0)+M26+N26</f>
        <v/>
      </c>
      <c r="Q26">
        <f>ROUND(IF(A26-1-Premissas!$D$21&gt;=0,OFFSET($P$4,A26-1-Premissas!$D$21,0),0)*(1-Premissas!$D$20/100),0)</f>
        <v/>
      </c>
      <c r="R26">
        <f>ROUND(F26*Premissas!$D$11+N26*Premissas!$D$31/100,0)+ROUND((E26+B26)*Premissas!$D$10,0)+ROUND(Q26*Premissas!$D$8/100,0)+ROUND(Premissas!$D$35+(B26+C26)*Premissas!$D$36,0)</f>
        <v/>
      </c>
      <c r="S26">
        <f>O26-R26</f>
        <v/>
      </c>
      <c r="T26">
        <f>ROUND(O26*Premissas!$D$9/100,0)</f>
        <v/>
      </c>
      <c r="U26">
        <f>ROUND(AB26*Premissas!$D$33,0)</f>
        <v/>
      </c>
      <c r="V26">
        <f>Premissas!$D$37+ROUND(Premissas!$D$12*Premissas!$D$38+D26*Premissas!$D$27,0)</f>
        <v/>
      </c>
      <c r="W26">
        <f>Premissas!$D$39</f>
        <v/>
      </c>
      <c r="X26">
        <f>S26-T26-ROUND(Premissas!$D$12*Premissas!$D$38+D26*Premissas!$D$27,0)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Premissas!$D$32+(B26+C26)/Premissas!$D$34</f>
        <v/>
      </c>
      <c r="AC26">
        <f>D26+AC14*(1-Premissas!$D$26/12)^12</f>
        <v/>
      </c>
    </row>
    <row r="27">
      <c r="A27" t="n">
        <v>24</v>
      </c>
      <c r="B27">
        <f>B26*(1-Premissas!$D$18/12)+Premissas!$D$12</f>
        <v/>
      </c>
      <c r="C27">
        <f>IF($B$2=1,C26*(1-Premissas!$D$26/12)+D27,0)</f>
        <v/>
      </c>
      <c r="D27">
        <f>IF(AND($B$2=1,A27&gt;=Premissas!$D$23),Premissas!$D$22,0)</f>
        <v/>
      </c>
      <c r="E27">
        <f>B27*Premissas!$D$28</f>
        <v/>
      </c>
      <c r="F27">
        <f>B27*Premissas!$D$13/12*MIN(1,A27/Premissas!$D$17)</f>
        <v/>
      </c>
      <c r="G27">
        <f>F27*Premissas!$D$14</f>
        <v/>
      </c>
      <c r="H27">
        <f>IF(IF(A27-1-Premissas!$D$16&gt;=0,OFFSET($J$4,A27-1-Premissas!$D$16,0),0)&gt;0,ROUND(IF(A27-1-Premissas!$D$16&gt;=0,OFFSET($J$4,A27-1-Premissas!$D$16,0),0)*10000/Premissas!$D$5*Premissas!$D$15,0),0)</f>
        <v/>
      </c>
      <c r="I27">
        <f>ROUND(G27*Premissas!$D$6/10000,0)</f>
        <v/>
      </c>
      <c r="J27">
        <f>ROUND(G27*Premissas!$D$5/10000,0)</f>
        <v/>
      </c>
      <c r="K27">
        <f>IF(IF(A27-1-Premissas!$D$16&gt;=0,OFFSET($A$4,A27-1-Premissas!$D$16,0)&gt;=Premissas!$D$19,FALSE),ROUND(IF(A27-1-Premissas!$D$16&gt;=0,OFFSET($J$4,A27-1-Premissas!$D$16,0),0)*Premissas!$D$15,0),0)</f>
        <v/>
      </c>
      <c r="L27">
        <f>ROUND(C27*Premissas!$D$24/12,0)</f>
        <v/>
      </c>
      <c r="M27">
        <f>ROUND(D27*Premissas!$D$25,0)</f>
        <v/>
      </c>
      <c r="N27">
        <f>ROUND(E27*Premissas!$D$29+B27*Premissas!$D$30,0)</f>
        <v/>
      </c>
      <c r="O27">
        <f>K27+L27+M27+N27</f>
        <v/>
      </c>
      <c r="P27">
        <f>K27+ROUND(AC27*Premissas!$D$24,0)+M27+N27</f>
        <v/>
      </c>
      <c r="Q27">
        <f>ROUND(IF(A27-1-Premissas!$D$21&gt;=0,OFFSET($P$4,A27-1-Premissas!$D$21,0),0)*(1-Premissas!$D$20/100),0)</f>
        <v/>
      </c>
      <c r="R27">
        <f>ROUND(F27*Premissas!$D$11+N27*Premissas!$D$31/100,0)+ROUND((E27+B27)*Premissas!$D$10,0)+ROUND(Q27*Premissas!$D$8/100,0)+ROUND(Premissas!$D$35+(B27+C27)*Premissas!$D$36,0)</f>
        <v/>
      </c>
      <c r="S27">
        <f>O27-R27</f>
        <v/>
      </c>
      <c r="T27">
        <f>ROUND(O27*Premissas!$D$9/100,0)</f>
        <v/>
      </c>
      <c r="U27">
        <f>ROUND(AB27*Premissas!$D$33,0)</f>
        <v/>
      </c>
      <c r="V27">
        <f>Premissas!$D$37+ROUND(Premissas!$D$12*Premissas!$D$38+D27*Premissas!$D$27,0)</f>
        <v/>
      </c>
      <c r="W27">
        <f>Premissas!$D$39</f>
        <v/>
      </c>
      <c r="X27">
        <f>S27-T27-ROUND(Premissas!$D$12*Premissas!$D$38+D27*Premissas!$D$27,0)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Premissas!$D$32+(B27+C27)/Premissas!$D$34</f>
        <v/>
      </c>
      <c r="AC27">
        <f>D27+AC15*(1-Premissas!$D$26/12)^12</f>
        <v/>
      </c>
    </row>
    <row r="28">
      <c r="A28" t="n">
        <v>25</v>
      </c>
      <c r="B28">
        <f>B27*(1-Premissas!$D$18/12)+Premissas!$D$12</f>
        <v/>
      </c>
      <c r="C28">
        <f>IF($B$2=1,C27*(1-Premissas!$D$26/12)+D28,0)</f>
        <v/>
      </c>
      <c r="D28">
        <f>IF(AND($B$2=1,A28&gt;=Premissas!$D$23),Premissas!$D$22,0)</f>
        <v/>
      </c>
      <c r="E28">
        <f>B28*Premissas!$D$28</f>
        <v/>
      </c>
      <c r="F28">
        <f>B28*Premissas!$D$13/12*MIN(1,A28/Premissas!$D$17)</f>
        <v/>
      </c>
      <c r="G28">
        <f>F28*Premissas!$D$14</f>
        <v/>
      </c>
      <c r="H28">
        <f>IF(IF(A28-1-Premissas!$D$16&gt;=0,OFFSET($J$4,A28-1-Premissas!$D$16,0),0)&gt;0,ROUND(IF(A28-1-Premissas!$D$16&gt;=0,OFFSET($J$4,A28-1-Premissas!$D$16,0),0)*10000/Premissas!$D$5*Premissas!$D$15,0),0)</f>
        <v/>
      </c>
      <c r="I28">
        <f>ROUND(G28*Premissas!$D$6/10000,0)</f>
        <v/>
      </c>
      <c r="J28">
        <f>ROUND(G28*Premissas!$D$5/10000,0)</f>
        <v/>
      </c>
      <c r="K28">
        <f>IF(IF(A28-1-Premissas!$D$16&gt;=0,OFFSET($A$4,A28-1-Premissas!$D$16,0)&gt;=Premissas!$D$19,FALSE),ROUND(IF(A28-1-Premissas!$D$16&gt;=0,OFFSET($J$4,A28-1-Premissas!$D$16,0),0)*Premissas!$D$15,0),0)</f>
        <v/>
      </c>
      <c r="L28">
        <f>ROUND(C28*Premissas!$D$24/12,0)</f>
        <v/>
      </c>
      <c r="M28">
        <f>ROUND(D28*Premissas!$D$25,0)</f>
        <v/>
      </c>
      <c r="N28">
        <f>ROUND(E28*Premissas!$D$29+B28*Premissas!$D$30,0)</f>
        <v/>
      </c>
      <c r="O28">
        <f>K28+L28+M28+N28</f>
        <v/>
      </c>
      <c r="P28">
        <f>K28+ROUND(AC28*Premissas!$D$24,0)+M28+N28</f>
        <v/>
      </c>
      <c r="Q28">
        <f>ROUND(IF(A28-1-Premissas!$D$21&gt;=0,OFFSET($P$4,A28-1-Premissas!$D$21,0),0)*(1-Premissas!$D$20/100),0)</f>
        <v/>
      </c>
      <c r="R28">
        <f>ROUND(F28*Premissas!$D$11+N28*Premissas!$D$31/100,0)+ROUND((E28+B28)*Premissas!$D$10,0)+ROUND(Q28*Premissas!$D$8/100,0)+ROUND(Premissas!$D$35+(B28+C28)*Premissas!$D$36,0)</f>
        <v/>
      </c>
      <c r="S28">
        <f>O28-R28</f>
        <v/>
      </c>
      <c r="T28">
        <f>ROUND(O28*Premissas!$D$9/100,0)</f>
        <v/>
      </c>
      <c r="U28">
        <f>ROUND(AB28*Premissas!$D$33,0)</f>
        <v/>
      </c>
      <c r="V28">
        <f>Premissas!$D$37+ROUND(Premissas!$D$12*Premissas!$D$38+D28*Premissas!$D$27,0)</f>
        <v/>
      </c>
      <c r="W28">
        <f>Premissas!$D$39</f>
        <v/>
      </c>
      <c r="X28">
        <f>S28-T28-ROUND(Premissas!$D$12*Premissas!$D$38+D28*Premissas!$D$27,0)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Premissas!$D$32+(B28+C28)/Premissas!$D$34</f>
        <v/>
      </c>
      <c r="AC28">
        <f>D28+AC16*(1-Premissas!$D$26/12)^12</f>
        <v/>
      </c>
    </row>
    <row r="29">
      <c r="A29" t="n">
        <v>26</v>
      </c>
      <c r="B29">
        <f>B28*(1-Premissas!$D$18/12)+Premissas!$D$12</f>
        <v/>
      </c>
      <c r="C29">
        <f>IF($B$2=1,C28*(1-Premissas!$D$26/12)+D29,0)</f>
        <v/>
      </c>
      <c r="D29">
        <f>IF(AND($B$2=1,A29&gt;=Premissas!$D$23),Premissas!$D$22,0)</f>
        <v/>
      </c>
      <c r="E29">
        <f>B29*Premissas!$D$28</f>
        <v/>
      </c>
      <c r="F29">
        <f>B29*Premissas!$D$13/12*MIN(1,A29/Premissas!$D$17)</f>
        <v/>
      </c>
      <c r="G29">
        <f>F29*Premissas!$D$14</f>
        <v/>
      </c>
      <c r="H29">
        <f>IF(IF(A29-1-Premissas!$D$16&gt;=0,OFFSET($J$4,A29-1-Premissas!$D$16,0),0)&gt;0,ROUND(IF(A29-1-Premissas!$D$16&gt;=0,OFFSET($J$4,A29-1-Premissas!$D$16,0),0)*10000/Premissas!$D$5*Premissas!$D$15,0),0)</f>
        <v/>
      </c>
      <c r="I29">
        <f>ROUND(G29*Premissas!$D$6/10000,0)</f>
        <v/>
      </c>
      <c r="J29">
        <f>ROUND(G29*Premissas!$D$5/10000,0)</f>
        <v/>
      </c>
      <c r="K29">
        <f>IF(IF(A29-1-Premissas!$D$16&gt;=0,OFFSET($A$4,A29-1-Premissas!$D$16,0)&gt;=Premissas!$D$19,FALSE),ROUND(IF(A29-1-Premissas!$D$16&gt;=0,OFFSET($J$4,A29-1-Premissas!$D$16,0),0)*Premissas!$D$15,0),0)</f>
        <v/>
      </c>
      <c r="L29">
        <f>ROUND(C29*Premissas!$D$24/12,0)</f>
        <v/>
      </c>
      <c r="M29">
        <f>ROUND(D29*Premissas!$D$25,0)</f>
        <v/>
      </c>
      <c r="N29">
        <f>ROUND(E29*Premissas!$D$29+B29*Premissas!$D$30,0)</f>
        <v/>
      </c>
      <c r="O29">
        <f>K29+L29+M29+N29</f>
        <v/>
      </c>
      <c r="P29">
        <f>K29+ROUND(AC29*Premissas!$D$24,0)+M29+N29</f>
        <v/>
      </c>
      <c r="Q29">
        <f>ROUND(IF(A29-1-Premissas!$D$21&gt;=0,OFFSET($P$4,A29-1-Premissas!$D$21,0),0)*(1-Premissas!$D$20/100),0)</f>
        <v/>
      </c>
      <c r="R29">
        <f>ROUND(F29*Premissas!$D$11+N29*Premissas!$D$31/100,0)+ROUND((E29+B29)*Premissas!$D$10,0)+ROUND(Q29*Premissas!$D$8/100,0)+ROUND(Premissas!$D$35+(B29+C29)*Premissas!$D$36,0)</f>
        <v/>
      </c>
      <c r="S29">
        <f>O29-R29</f>
        <v/>
      </c>
      <c r="T29">
        <f>ROUND(O29*Premissas!$D$9/100,0)</f>
        <v/>
      </c>
      <c r="U29">
        <f>ROUND(AB29*Premissas!$D$33,0)</f>
        <v/>
      </c>
      <c r="V29">
        <f>Premissas!$D$37+ROUND(Premissas!$D$12*Premissas!$D$38+D29*Premissas!$D$27,0)</f>
        <v/>
      </c>
      <c r="W29">
        <f>Premissas!$D$39</f>
        <v/>
      </c>
      <c r="X29">
        <f>S29-T29-ROUND(Premissas!$D$12*Premissas!$D$38+D29*Premissas!$D$27,0)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Premissas!$D$32+(B29+C29)/Premissas!$D$34</f>
        <v/>
      </c>
      <c r="AC29">
        <f>D29+AC17*(1-Premissas!$D$26/12)^12</f>
        <v/>
      </c>
    </row>
    <row r="30">
      <c r="A30" t="n">
        <v>27</v>
      </c>
      <c r="B30">
        <f>B29*(1-Premissas!$D$18/12)+Premissas!$D$12</f>
        <v/>
      </c>
      <c r="C30">
        <f>IF($B$2=1,C29*(1-Premissas!$D$26/12)+D30,0)</f>
        <v/>
      </c>
      <c r="D30">
        <f>IF(AND($B$2=1,A30&gt;=Premissas!$D$23),Premissas!$D$22,0)</f>
        <v/>
      </c>
      <c r="E30">
        <f>B30*Premissas!$D$28</f>
        <v/>
      </c>
      <c r="F30">
        <f>B30*Premissas!$D$13/12*MIN(1,A30/Premissas!$D$17)</f>
        <v/>
      </c>
      <c r="G30">
        <f>F30*Premissas!$D$14</f>
        <v/>
      </c>
      <c r="H30">
        <f>IF(IF(A30-1-Premissas!$D$16&gt;=0,OFFSET($J$4,A30-1-Premissas!$D$16,0),0)&gt;0,ROUND(IF(A30-1-Premissas!$D$16&gt;=0,OFFSET($J$4,A30-1-Premissas!$D$16,0),0)*10000/Premissas!$D$5*Premissas!$D$15,0),0)</f>
        <v/>
      </c>
      <c r="I30">
        <f>ROUND(G30*Premissas!$D$6/10000,0)</f>
        <v/>
      </c>
      <c r="J30">
        <f>ROUND(G30*Premissas!$D$5/10000,0)</f>
        <v/>
      </c>
      <c r="K30">
        <f>IF(IF(A30-1-Premissas!$D$16&gt;=0,OFFSET($A$4,A30-1-Premissas!$D$16,0)&gt;=Premissas!$D$19,FALSE),ROUND(IF(A30-1-Premissas!$D$16&gt;=0,OFFSET($J$4,A30-1-Premissas!$D$16,0),0)*Premissas!$D$15,0),0)</f>
        <v/>
      </c>
      <c r="L30">
        <f>ROUND(C30*Premissas!$D$24/12,0)</f>
        <v/>
      </c>
      <c r="M30">
        <f>ROUND(D30*Premissas!$D$25,0)</f>
        <v/>
      </c>
      <c r="N30">
        <f>ROUND(E30*Premissas!$D$29+B30*Premissas!$D$30,0)</f>
        <v/>
      </c>
      <c r="O30">
        <f>K30+L30+M30+N30</f>
        <v/>
      </c>
      <c r="P30">
        <f>K30+ROUND(AC30*Premissas!$D$24,0)+M30+N30</f>
        <v/>
      </c>
      <c r="Q30">
        <f>ROUND(IF(A30-1-Premissas!$D$21&gt;=0,OFFSET($P$4,A30-1-Premissas!$D$21,0),0)*(1-Premissas!$D$20/100),0)</f>
        <v/>
      </c>
      <c r="R30">
        <f>ROUND(F30*Premissas!$D$11+N30*Premissas!$D$31/100,0)+ROUND((E30+B30)*Premissas!$D$10,0)+ROUND(Q30*Premissas!$D$8/100,0)+ROUND(Premissas!$D$35+(B30+C30)*Premissas!$D$36,0)</f>
        <v/>
      </c>
      <c r="S30">
        <f>O30-R30</f>
        <v/>
      </c>
      <c r="T30">
        <f>ROUND(O30*Premissas!$D$9/100,0)</f>
        <v/>
      </c>
      <c r="U30">
        <f>ROUND(AB30*Premissas!$D$33,0)</f>
        <v/>
      </c>
      <c r="V30">
        <f>Premissas!$D$37+ROUND(Premissas!$D$12*Premissas!$D$38+D30*Premissas!$D$27,0)</f>
        <v/>
      </c>
      <c r="W30">
        <f>Premissas!$D$39</f>
        <v/>
      </c>
      <c r="X30">
        <f>S30-T30-ROUND(Premissas!$D$12*Premissas!$D$38+D30*Premissas!$D$27,0)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Premissas!$D$32+(B30+C30)/Premissas!$D$34</f>
        <v/>
      </c>
      <c r="AC30">
        <f>D30+AC18*(1-Premissas!$D$26/12)^12</f>
        <v/>
      </c>
    </row>
    <row r="31">
      <c r="A31" t="n">
        <v>28</v>
      </c>
      <c r="B31">
        <f>B30*(1-Premissas!$D$18/12)+Premissas!$D$12</f>
        <v/>
      </c>
      <c r="C31">
        <f>IF($B$2=1,C30*(1-Premissas!$D$26/12)+D31,0)</f>
        <v/>
      </c>
      <c r="D31">
        <f>IF(AND($B$2=1,A31&gt;=Premissas!$D$23),Premissas!$D$22,0)</f>
        <v/>
      </c>
      <c r="E31">
        <f>B31*Premissas!$D$28</f>
        <v/>
      </c>
      <c r="F31">
        <f>B31*Premissas!$D$13/12*MIN(1,A31/Premissas!$D$17)</f>
        <v/>
      </c>
      <c r="G31">
        <f>F31*Premissas!$D$14</f>
        <v/>
      </c>
      <c r="H31">
        <f>IF(IF(A31-1-Premissas!$D$16&gt;=0,OFFSET($J$4,A31-1-Premissas!$D$16,0),0)&gt;0,ROUND(IF(A31-1-Premissas!$D$16&gt;=0,OFFSET($J$4,A31-1-Premissas!$D$16,0),0)*10000/Premissas!$D$5*Premissas!$D$15,0),0)</f>
        <v/>
      </c>
      <c r="I31">
        <f>ROUND(G31*Premissas!$D$6/10000,0)</f>
        <v/>
      </c>
      <c r="J31">
        <f>ROUND(G31*Premissas!$D$5/10000,0)</f>
        <v/>
      </c>
      <c r="K31">
        <f>IF(IF(A31-1-Premissas!$D$16&gt;=0,OFFSET($A$4,A31-1-Premissas!$D$16,0)&gt;=Premissas!$D$19,FALSE),ROUND(IF(A31-1-Premissas!$D$16&gt;=0,OFFSET($J$4,A31-1-Premissas!$D$16,0),0)*Premissas!$D$15,0),0)</f>
        <v/>
      </c>
      <c r="L31">
        <f>ROUND(C31*Premissas!$D$24/12,0)</f>
        <v/>
      </c>
      <c r="M31">
        <f>ROUND(D31*Premissas!$D$25,0)</f>
        <v/>
      </c>
      <c r="N31">
        <f>ROUND(E31*Premissas!$D$29+B31*Premissas!$D$30,0)</f>
        <v/>
      </c>
      <c r="O31">
        <f>K31+L31+M31+N31</f>
        <v/>
      </c>
      <c r="P31">
        <f>K31+ROUND(AC31*Premissas!$D$24,0)+M31+N31</f>
        <v/>
      </c>
      <c r="Q31">
        <f>ROUND(IF(A31-1-Premissas!$D$21&gt;=0,OFFSET($P$4,A31-1-Premissas!$D$21,0),0)*(1-Premissas!$D$20/100),0)</f>
        <v/>
      </c>
      <c r="R31">
        <f>ROUND(F31*Premissas!$D$11+N31*Premissas!$D$31/100,0)+ROUND((E31+B31)*Premissas!$D$10,0)+ROUND(Q31*Premissas!$D$8/100,0)+ROUND(Premissas!$D$35+(B31+C31)*Premissas!$D$36,0)</f>
        <v/>
      </c>
      <c r="S31">
        <f>O31-R31</f>
        <v/>
      </c>
      <c r="T31">
        <f>ROUND(O31*Premissas!$D$9/100,0)</f>
        <v/>
      </c>
      <c r="U31">
        <f>ROUND(AB31*Premissas!$D$33,0)</f>
        <v/>
      </c>
      <c r="V31">
        <f>Premissas!$D$37+ROUND(Premissas!$D$12*Premissas!$D$38+D31*Premissas!$D$27,0)</f>
        <v/>
      </c>
      <c r="W31">
        <f>Premissas!$D$39</f>
        <v/>
      </c>
      <c r="X31">
        <f>S31-T31-ROUND(Premissas!$D$12*Premissas!$D$38+D31*Premissas!$D$27,0)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Premissas!$D$32+(B31+C31)/Premissas!$D$34</f>
        <v/>
      </c>
      <c r="AC31">
        <f>D31+AC19*(1-Premissas!$D$26/12)^12</f>
        <v/>
      </c>
    </row>
    <row r="32">
      <c r="A32" t="n">
        <v>29</v>
      </c>
      <c r="B32">
        <f>B31*(1-Premissas!$D$18/12)+Premissas!$D$12</f>
        <v/>
      </c>
      <c r="C32">
        <f>IF($B$2=1,C31*(1-Premissas!$D$26/12)+D32,0)</f>
        <v/>
      </c>
      <c r="D32">
        <f>IF(AND($B$2=1,A32&gt;=Premissas!$D$23),Premissas!$D$22,0)</f>
        <v/>
      </c>
      <c r="E32">
        <f>B32*Premissas!$D$28</f>
        <v/>
      </c>
      <c r="F32">
        <f>B32*Premissas!$D$13/12*MIN(1,A32/Premissas!$D$17)</f>
        <v/>
      </c>
      <c r="G32">
        <f>F32*Premissas!$D$14</f>
        <v/>
      </c>
      <c r="H32">
        <f>IF(IF(A32-1-Premissas!$D$16&gt;=0,OFFSET($J$4,A32-1-Premissas!$D$16,0),0)&gt;0,ROUND(IF(A32-1-Premissas!$D$16&gt;=0,OFFSET($J$4,A32-1-Premissas!$D$16,0),0)*10000/Premissas!$D$5*Premissas!$D$15,0),0)</f>
        <v/>
      </c>
      <c r="I32">
        <f>ROUND(G32*Premissas!$D$6/10000,0)</f>
        <v/>
      </c>
      <c r="J32">
        <f>ROUND(G32*Premissas!$D$5/10000,0)</f>
        <v/>
      </c>
      <c r="K32">
        <f>IF(IF(A32-1-Premissas!$D$16&gt;=0,OFFSET($A$4,A32-1-Premissas!$D$16,0)&gt;=Premissas!$D$19,FALSE),ROUND(IF(A32-1-Premissas!$D$16&gt;=0,OFFSET($J$4,A32-1-Premissas!$D$16,0),0)*Premissas!$D$15,0),0)</f>
        <v/>
      </c>
      <c r="L32">
        <f>ROUND(C32*Premissas!$D$24/12,0)</f>
        <v/>
      </c>
      <c r="M32">
        <f>ROUND(D32*Premissas!$D$25,0)</f>
        <v/>
      </c>
      <c r="N32">
        <f>ROUND(E32*Premissas!$D$29+B32*Premissas!$D$30,0)</f>
        <v/>
      </c>
      <c r="O32">
        <f>K32+L32+M32+N32</f>
        <v/>
      </c>
      <c r="P32">
        <f>K32+ROUND(AC32*Premissas!$D$24,0)+M32+N32</f>
        <v/>
      </c>
      <c r="Q32">
        <f>ROUND(IF(A32-1-Premissas!$D$21&gt;=0,OFFSET($P$4,A32-1-Premissas!$D$21,0),0)*(1-Premissas!$D$20/100),0)</f>
        <v/>
      </c>
      <c r="R32">
        <f>ROUND(F32*Premissas!$D$11+N32*Premissas!$D$31/100,0)+ROUND((E32+B32)*Premissas!$D$10,0)+ROUND(Q32*Premissas!$D$8/100,0)+ROUND(Premissas!$D$35+(B32+C32)*Premissas!$D$36,0)</f>
        <v/>
      </c>
      <c r="S32">
        <f>O32-R32</f>
        <v/>
      </c>
      <c r="T32">
        <f>ROUND(O32*Premissas!$D$9/100,0)</f>
        <v/>
      </c>
      <c r="U32">
        <f>ROUND(AB32*Premissas!$D$33,0)</f>
        <v/>
      </c>
      <c r="V32">
        <f>Premissas!$D$37+ROUND(Premissas!$D$12*Premissas!$D$38+D32*Premissas!$D$27,0)</f>
        <v/>
      </c>
      <c r="W32">
        <f>Premissas!$D$39</f>
        <v/>
      </c>
      <c r="X32">
        <f>S32-T32-ROUND(Premissas!$D$12*Premissas!$D$38+D32*Premissas!$D$27,0)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Premissas!$D$32+(B32+C32)/Premissas!$D$34</f>
        <v/>
      </c>
      <c r="AC32">
        <f>D32+AC20*(1-Premissas!$D$26/12)^12</f>
        <v/>
      </c>
    </row>
    <row r="33">
      <c r="A33" t="n">
        <v>30</v>
      </c>
      <c r="B33">
        <f>B32*(1-Premissas!$D$18/12)+Premissas!$D$12</f>
        <v/>
      </c>
      <c r="C33">
        <f>IF($B$2=1,C32*(1-Premissas!$D$26/12)+D33,0)</f>
        <v/>
      </c>
      <c r="D33">
        <f>IF(AND($B$2=1,A33&gt;=Premissas!$D$23),Premissas!$D$22,0)</f>
        <v/>
      </c>
      <c r="E33">
        <f>B33*Premissas!$D$28</f>
        <v/>
      </c>
      <c r="F33">
        <f>B33*Premissas!$D$13/12*MIN(1,A33/Premissas!$D$17)</f>
        <v/>
      </c>
      <c r="G33">
        <f>F33*Premissas!$D$14</f>
        <v/>
      </c>
      <c r="H33">
        <f>IF(IF(A33-1-Premissas!$D$16&gt;=0,OFFSET($J$4,A33-1-Premissas!$D$16,0),0)&gt;0,ROUND(IF(A33-1-Premissas!$D$16&gt;=0,OFFSET($J$4,A33-1-Premissas!$D$16,0),0)*10000/Premissas!$D$5*Premissas!$D$15,0),0)</f>
        <v/>
      </c>
      <c r="I33">
        <f>ROUND(G33*Premissas!$D$6/10000,0)</f>
        <v/>
      </c>
      <c r="J33">
        <f>ROUND(G33*Premissas!$D$5/10000,0)</f>
        <v/>
      </c>
      <c r="K33">
        <f>IF(IF(A33-1-Premissas!$D$16&gt;=0,OFFSET($A$4,A33-1-Premissas!$D$16,0)&gt;=Premissas!$D$19,FALSE),ROUND(IF(A33-1-Premissas!$D$16&gt;=0,OFFSET($J$4,A33-1-Premissas!$D$16,0),0)*Premissas!$D$15,0),0)</f>
        <v/>
      </c>
      <c r="L33">
        <f>ROUND(C33*Premissas!$D$24/12,0)</f>
        <v/>
      </c>
      <c r="M33">
        <f>ROUND(D33*Premissas!$D$25,0)</f>
        <v/>
      </c>
      <c r="N33">
        <f>ROUND(E33*Premissas!$D$29+B33*Premissas!$D$30,0)</f>
        <v/>
      </c>
      <c r="O33">
        <f>K33+L33+M33+N33</f>
        <v/>
      </c>
      <c r="P33">
        <f>K33+ROUND(AC33*Premissas!$D$24,0)+M33+N33</f>
        <v/>
      </c>
      <c r="Q33">
        <f>ROUND(IF(A33-1-Premissas!$D$21&gt;=0,OFFSET($P$4,A33-1-Premissas!$D$21,0),0)*(1-Premissas!$D$20/100),0)</f>
        <v/>
      </c>
      <c r="R33">
        <f>ROUND(F33*Premissas!$D$11+N33*Premissas!$D$31/100,0)+ROUND((E33+B33)*Premissas!$D$10,0)+ROUND(Q33*Premissas!$D$8/100,0)+ROUND(Premissas!$D$35+(B33+C33)*Premissas!$D$36,0)</f>
        <v/>
      </c>
      <c r="S33">
        <f>O33-R33</f>
        <v/>
      </c>
      <c r="T33">
        <f>ROUND(O33*Premissas!$D$9/100,0)</f>
        <v/>
      </c>
      <c r="U33">
        <f>ROUND(AB33*Premissas!$D$33,0)</f>
        <v/>
      </c>
      <c r="V33">
        <f>Premissas!$D$37+ROUND(Premissas!$D$12*Premissas!$D$38+D33*Premissas!$D$27,0)</f>
        <v/>
      </c>
      <c r="W33">
        <f>Premissas!$D$39</f>
        <v/>
      </c>
      <c r="X33">
        <f>S33-T33-ROUND(Premissas!$D$12*Premissas!$D$38+D33*Premissas!$D$27,0)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Premissas!$D$32+(B33+C33)/Premissas!$D$34</f>
        <v/>
      </c>
      <c r="AC33">
        <f>D33+AC21*(1-Premissas!$D$26/12)^12</f>
        <v/>
      </c>
    </row>
    <row r="34">
      <c r="A34" t="n">
        <v>31</v>
      </c>
      <c r="B34">
        <f>B33*(1-Premissas!$D$18/12)+Premissas!$D$12</f>
        <v/>
      </c>
      <c r="C34">
        <f>IF($B$2=1,C33*(1-Premissas!$D$26/12)+D34,0)</f>
        <v/>
      </c>
      <c r="D34">
        <f>IF(AND($B$2=1,A34&gt;=Premissas!$D$23),Premissas!$D$22,0)</f>
        <v/>
      </c>
      <c r="E34">
        <f>B34*Premissas!$D$28</f>
        <v/>
      </c>
      <c r="F34">
        <f>B34*Premissas!$D$13/12*MIN(1,A34/Premissas!$D$17)</f>
        <v/>
      </c>
      <c r="G34">
        <f>F34*Premissas!$D$14</f>
        <v/>
      </c>
      <c r="H34">
        <f>IF(IF(A34-1-Premissas!$D$16&gt;=0,OFFSET($J$4,A34-1-Premissas!$D$16,0),0)&gt;0,ROUND(IF(A34-1-Premissas!$D$16&gt;=0,OFFSET($J$4,A34-1-Premissas!$D$16,0),0)*10000/Premissas!$D$5*Premissas!$D$15,0),0)</f>
        <v/>
      </c>
      <c r="I34">
        <f>ROUND(G34*Premissas!$D$6/10000,0)</f>
        <v/>
      </c>
      <c r="J34">
        <f>ROUND(G34*Premissas!$D$5/10000,0)</f>
        <v/>
      </c>
      <c r="K34">
        <f>IF(IF(A34-1-Premissas!$D$16&gt;=0,OFFSET($A$4,A34-1-Premissas!$D$16,0)&gt;=Premissas!$D$19,FALSE),ROUND(IF(A34-1-Premissas!$D$16&gt;=0,OFFSET($J$4,A34-1-Premissas!$D$16,0),0)*Premissas!$D$15,0),0)</f>
        <v/>
      </c>
      <c r="L34">
        <f>ROUND(C34*Premissas!$D$24/12,0)</f>
        <v/>
      </c>
      <c r="M34">
        <f>ROUND(D34*Premissas!$D$25,0)</f>
        <v/>
      </c>
      <c r="N34">
        <f>ROUND(E34*Premissas!$D$29+B34*Premissas!$D$30,0)</f>
        <v/>
      </c>
      <c r="O34">
        <f>K34+L34+M34+N34</f>
        <v/>
      </c>
      <c r="P34">
        <f>K34+ROUND(AC34*Premissas!$D$24,0)+M34+N34</f>
        <v/>
      </c>
      <c r="Q34">
        <f>ROUND(IF(A34-1-Premissas!$D$21&gt;=0,OFFSET($P$4,A34-1-Premissas!$D$21,0),0)*(1-Premissas!$D$20/100),0)</f>
        <v/>
      </c>
      <c r="R34">
        <f>ROUND(F34*Premissas!$D$11+N34*Premissas!$D$31/100,0)+ROUND((E34+B34)*Premissas!$D$10,0)+ROUND(Q34*Premissas!$D$8/100,0)+ROUND(Premissas!$D$35+(B34+C34)*Premissas!$D$36,0)</f>
        <v/>
      </c>
      <c r="S34">
        <f>O34-R34</f>
        <v/>
      </c>
      <c r="T34">
        <f>ROUND(O34*Premissas!$D$9/100,0)</f>
        <v/>
      </c>
      <c r="U34">
        <f>ROUND(AB34*Premissas!$D$33,0)</f>
        <v/>
      </c>
      <c r="V34">
        <f>Premissas!$D$37+ROUND(Premissas!$D$12*Premissas!$D$38+D34*Premissas!$D$27,0)</f>
        <v/>
      </c>
      <c r="W34">
        <f>Premissas!$D$39</f>
        <v/>
      </c>
      <c r="X34">
        <f>S34-T34-ROUND(Premissas!$D$12*Premissas!$D$38+D34*Premissas!$D$27,0)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Premissas!$D$32+(B34+C34)/Premissas!$D$34</f>
        <v/>
      </c>
      <c r="AC34">
        <f>D34+AC22*(1-Premissas!$D$26/12)^12</f>
        <v/>
      </c>
    </row>
    <row r="35">
      <c r="A35" t="n">
        <v>32</v>
      </c>
      <c r="B35">
        <f>B34*(1-Premissas!$D$18/12)+Premissas!$D$12</f>
        <v/>
      </c>
      <c r="C35">
        <f>IF($B$2=1,C34*(1-Premissas!$D$26/12)+D35,0)</f>
        <v/>
      </c>
      <c r="D35">
        <f>IF(AND($B$2=1,A35&gt;=Premissas!$D$23),Premissas!$D$22,0)</f>
        <v/>
      </c>
      <c r="E35">
        <f>B35*Premissas!$D$28</f>
        <v/>
      </c>
      <c r="F35">
        <f>B35*Premissas!$D$13/12*MIN(1,A35/Premissas!$D$17)</f>
        <v/>
      </c>
      <c r="G35">
        <f>F35*Premissas!$D$14</f>
        <v/>
      </c>
      <c r="H35">
        <f>IF(IF(A35-1-Premissas!$D$16&gt;=0,OFFSET($J$4,A35-1-Premissas!$D$16,0),0)&gt;0,ROUND(IF(A35-1-Premissas!$D$16&gt;=0,OFFSET($J$4,A35-1-Premissas!$D$16,0),0)*10000/Premissas!$D$5*Premissas!$D$15,0),0)</f>
        <v/>
      </c>
      <c r="I35">
        <f>ROUND(G35*Premissas!$D$6/10000,0)</f>
        <v/>
      </c>
      <c r="J35">
        <f>ROUND(G35*Premissas!$D$5/10000,0)</f>
        <v/>
      </c>
      <c r="K35">
        <f>IF(IF(A35-1-Premissas!$D$16&gt;=0,OFFSET($A$4,A35-1-Premissas!$D$16,0)&gt;=Premissas!$D$19,FALSE),ROUND(IF(A35-1-Premissas!$D$16&gt;=0,OFFSET($J$4,A35-1-Premissas!$D$16,0),0)*Premissas!$D$15,0),0)</f>
        <v/>
      </c>
      <c r="L35">
        <f>ROUND(C35*Premissas!$D$24/12,0)</f>
        <v/>
      </c>
      <c r="M35">
        <f>ROUND(D35*Premissas!$D$25,0)</f>
        <v/>
      </c>
      <c r="N35">
        <f>ROUND(E35*Premissas!$D$29+B35*Premissas!$D$30,0)</f>
        <v/>
      </c>
      <c r="O35">
        <f>K35+L35+M35+N35</f>
        <v/>
      </c>
      <c r="P35">
        <f>K35+ROUND(AC35*Premissas!$D$24,0)+M35+N35</f>
        <v/>
      </c>
      <c r="Q35">
        <f>ROUND(IF(A35-1-Premissas!$D$21&gt;=0,OFFSET($P$4,A35-1-Premissas!$D$21,0),0)*(1-Premissas!$D$20/100),0)</f>
        <v/>
      </c>
      <c r="R35">
        <f>ROUND(F35*Premissas!$D$11+N35*Premissas!$D$31/100,0)+ROUND((E35+B35)*Premissas!$D$10,0)+ROUND(Q35*Premissas!$D$8/100,0)+ROUND(Premissas!$D$35+(B35+C35)*Premissas!$D$36,0)</f>
        <v/>
      </c>
      <c r="S35">
        <f>O35-R35</f>
        <v/>
      </c>
      <c r="T35">
        <f>ROUND(O35*Premissas!$D$9/100,0)</f>
        <v/>
      </c>
      <c r="U35">
        <f>ROUND(AB35*Premissas!$D$33,0)</f>
        <v/>
      </c>
      <c r="V35">
        <f>Premissas!$D$37+ROUND(Premissas!$D$12*Premissas!$D$38+D35*Premissas!$D$27,0)</f>
        <v/>
      </c>
      <c r="W35">
        <f>Premissas!$D$39</f>
        <v/>
      </c>
      <c r="X35">
        <f>S35-T35-ROUND(Premissas!$D$12*Premissas!$D$38+D35*Premissas!$D$27,0)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Premissas!$D$32+(B35+C35)/Premissas!$D$34</f>
        <v/>
      </c>
      <c r="AC35">
        <f>D35+AC23*(1-Premissas!$D$26/12)^12</f>
        <v/>
      </c>
    </row>
    <row r="36">
      <c r="A36" t="n">
        <v>33</v>
      </c>
      <c r="B36">
        <f>B35*(1-Premissas!$D$18/12)+Premissas!$D$12</f>
        <v/>
      </c>
      <c r="C36">
        <f>IF($B$2=1,C35*(1-Premissas!$D$26/12)+D36,0)</f>
        <v/>
      </c>
      <c r="D36">
        <f>IF(AND($B$2=1,A36&gt;=Premissas!$D$23),Premissas!$D$22,0)</f>
        <v/>
      </c>
      <c r="E36">
        <f>B36*Premissas!$D$28</f>
        <v/>
      </c>
      <c r="F36">
        <f>B36*Premissas!$D$13/12*MIN(1,A36/Premissas!$D$17)</f>
        <v/>
      </c>
      <c r="G36">
        <f>F36*Premissas!$D$14</f>
        <v/>
      </c>
      <c r="H36">
        <f>IF(IF(A36-1-Premissas!$D$16&gt;=0,OFFSET($J$4,A36-1-Premissas!$D$16,0),0)&gt;0,ROUND(IF(A36-1-Premissas!$D$16&gt;=0,OFFSET($J$4,A36-1-Premissas!$D$16,0),0)*10000/Premissas!$D$5*Premissas!$D$15,0),0)</f>
        <v/>
      </c>
      <c r="I36">
        <f>ROUND(G36*Premissas!$D$6/10000,0)</f>
        <v/>
      </c>
      <c r="J36">
        <f>ROUND(G36*Premissas!$D$5/10000,0)</f>
        <v/>
      </c>
      <c r="K36">
        <f>IF(IF(A36-1-Premissas!$D$16&gt;=0,OFFSET($A$4,A36-1-Premissas!$D$16,0)&gt;=Premissas!$D$19,FALSE),ROUND(IF(A36-1-Premissas!$D$16&gt;=0,OFFSET($J$4,A36-1-Premissas!$D$16,0),0)*Premissas!$D$15,0),0)</f>
        <v/>
      </c>
      <c r="L36">
        <f>ROUND(C36*Premissas!$D$24/12,0)</f>
        <v/>
      </c>
      <c r="M36">
        <f>ROUND(D36*Premissas!$D$25,0)</f>
        <v/>
      </c>
      <c r="N36">
        <f>ROUND(E36*Premissas!$D$29+B36*Premissas!$D$30,0)</f>
        <v/>
      </c>
      <c r="O36">
        <f>K36+L36+M36+N36</f>
        <v/>
      </c>
      <c r="P36">
        <f>K36+ROUND(AC36*Premissas!$D$24,0)+M36+N36</f>
        <v/>
      </c>
      <c r="Q36">
        <f>ROUND(IF(A36-1-Premissas!$D$21&gt;=0,OFFSET($P$4,A36-1-Premissas!$D$21,0),0)*(1-Premissas!$D$20/100),0)</f>
        <v/>
      </c>
      <c r="R36">
        <f>ROUND(F36*Premissas!$D$11+N36*Premissas!$D$31/100,0)+ROUND((E36+B36)*Premissas!$D$10,0)+ROUND(Q36*Premissas!$D$8/100,0)+ROUND(Premissas!$D$35+(B36+C36)*Premissas!$D$36,0)</f>
        <v/>
      </c>
      <c r="S36">
        <f>O36-R36</f>
        <v/>
      </c>
      <c r="T36">
        <f>ROUND(O36*Premissas!$D$9/100,0)</f>
        <v/>
      </c>
      <c r="U36">
        <f>ROUND(AB36*Premissas!$D$33,0)</f>
        <v/>
      </c>
      <c r="V36">
        <f>Premissas!$D$37+ROUND(Premissas!$D$12*Premissas!$D$38+D36*Premissas!$D$27,0)</f>
        <v/>
      </c>
      <c r="W36">
        <f>Premissas!$D$39</f>
        <v/>
      </c>
      <c r="X36">
        <f>S36-T36-ROUND(Premissas!$D$12*Premissas!$D$38+D36*Premissas!$D$27,0)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Premissas!$D$32+(B36+C36)/Premissas!$D$34</f>
        <v/>
      </c>
      <c r="AC36">
        <f>D36+AC24*(1-Premissas!$D$26/12)^12</f>
        <v/>
      </c>
    </row>
    <row r="37">
      <c r="A37" t="n">
        <v>34</v>
      </c>
      <c r="B37">
        <f>B36*(1-Premissas!$D$18/12)+Premissas!$D$12</f>
        <v/>
      </c>
      <c r="C37">
        <f>IF($B$2=1,C36*(1-Premissas!$D$26/12)+D37,0)</f>
        <v/>
      </c>
      <c r="D37">
        <f>IF(AND($B$2=1,A37&gt;=Premissas!$D$23),Premissas!$D$22,0)</f>
        <v/>
      </c>
      <c r="E37">
        <f>B37*Premissas!$D$28</f>
        <v/>
      </c>
      <c r="F37">
        <f>B37*Premissas!$D$13/12*MIN(1,A37/Premissas!$D$17)</f>
        <v/>
      </c>
      <c r="G37">
        <f>F37*Premissas!$D$14</f>
        <v/>
      </c>
      <c r="H37">
        <f>IF(IF(A37-1-Premissas!$D$16&gt;=0,OFFSET($J$4,A37-1-Premissas!$D$16,0),0)&gt;0,ROUND(IF(A37-1-Premissas!$D$16&gt;=0,OFFSET($J$4,A37-1-Premissas!$D$16,0),0)*10000/Premissas!$D$5*Premissas!$D$15,0),0)</f>
        <v/>
      </c>
      <c r="I37">
        <f>ROUND(G37*Premissas!$D$6/10000,0)</f>
        <v/>
      </c>
      <c r="J37">
        <f>ROUND(G37*Premissas!$D$5/10000,0)</f>
        <v/>
      </c>
      <c r="K37">
        <f>IF(IF(A37-1-Premissas!$D$16&gt;=0,OFFSET($A$4,A37-1-Premissas!$D$16,0)&gt;=Premissas!$D$19,FALSE),ROUND(IF(A37-1-Premissas!$D$16&gt;=0,OFFSET($J$4,A37-1-Premissas!$D$16,0),0)*Premissas!$D$15,0),0)</f>
        <v/>
      </c>
      <c r="L37">
        <f>ROUND(C37*Premissas!$D$24/12,0)</f>
        <v/>
      </c>
      <c r="M37">
        <f>ROUND(D37*Premissas!$D$25,0)</f>
        <v/>
      </c>
      <c r="N37">
        <f>ROUND(E37*Premissas!$D$29+B37*Premissas!$D$30,0)</f>
        <v/>
      </c>
      <c r="O37">
        <f>K37+L37+M37+N37</f>
        <v/>
      </c>
      <c r="P37">
        <f>K37+ROUND(AC37*Premissas!$D$24,0)+M37+N37</f>
        <v/>
      </c>
      <c r="Q37">
        <f>ROUND(IF(A37-1-Premissas!$D$21&gt;=0,OFFSET($P$4,A37-1-Premissas!$D$21,0),0)*(1-Premissas!$D$20/100),0)</f>
        <v/>
      </c>
      <c r="R37">
        <f>ROUND(F37*Premissas!$D$11+N37*Premissas!$D$31/100,0)+ROUND((E37+B37)*Premissas!$D$10,0)+ROUND(Q37*Premissas!$D$8/100,0)+ROUND(Premissas!$D$35+(B37+C37)*Premissas!$D$36,0)</f>
        <v/>
      </c>
      <c r="S37">
        <f>O37-R37</f>
        <v/>
      </c>
      <c r="T37">
        <f>ROUND(O37*Premissas!$D$9/100,0)</f>
        <v/>
      </c>
      <c r="U37">
        <f>ROUND(AB37*Premissas!$D$33,0)</f>
        <v/>
      </c>
      <c r="V37">
        <f>Premissas!$D$37+ROUND(Premissas!$D$12*Premissas!$D$38+D37*Premissas!$D$27,0)</f>
        <v/>
      </c>
      <c r="W37">
        <f>Premissas!$D$39</f>
        <v/>
      </c>
      <c r="X37">
        <f>S37-T37-ROUND(Premissas!$D$12*Premissas!$D$38+D37*Premissas!$D$27,0)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Premissas!$D$32+(B37+C37)/Premissas!$D$34</f>
        <v/>
      </c>
      <c r="AC37">
        <f>D37+AC25*(1-Premissas!$D$26/12)^12</f>
        <v/>
      </c>
    </row>
    <row r="38">
      <c r="A38" t="n">
        <v>35</v>
      </c>
      <c r="B38">
        <f>B37*(1-Premissas!$D$18/12)+Premissas!$D$12</f>
        <v/>
      </c>
      <c r="C38">
        <f>IF($B$2=1,C37*(1-Premissas!$D$26/12)+D38,0)</f>
        <v/>
      </c>
      <c r="D38">
        <f>IF(AND($B$2=1,A38&gt;=Premissas!$D$23),Premissas!$D$22,0)</f>
        <v/>
      </c>
      <c r="E38">
        <f>B38*Premissas!$D$28</f>
        <v/>
      </c>
      <c r="F38">
        <f>B38*Premissas!$D$13/12*MIN(1,A38/Premissas!$D$17)</f>
        <v/>
      </c>
      <c r="G38">
        <f>F38*Premissas!$D$14</f>
        <v/>
      </c>
      <c r="H38">
        <f>IF(IF(A38-1-Premissas!$D$16&gt;=0,OFFSET($J$4,A38-1-Premissas!$D$16,0),0)&gt;0,ROUND(IF(A38-1-Premissas!$D$16&gt;=0,OFFSET($J$4,A38-1-Premissas!$D$16,0),0)*10000/Premissas!$D$5*Premissas!$D$15,0),0)</f>
        <v/>
      </c>
      <c r="I38">
        <f>ROUND(G38*Premissas!$D$6/10000,0)</f>
        <v/>
      </c>
      <c r="J38">
        <f>ROUND(G38*Premissas!$D$5/10000,0)</f>
        <v/>
      </c>
      <c r="K38">
        <f>IF(IF(A38-1-Premissas!$D$16&gt;=0,OFFSET($A$4,A38-1-Premissas!$D$16,0)&gt;=Premissas!$D$19,FALSE),ROUND(IF(A38-1-Premissas!$D$16&gt;=0,OFFSET($J$4,A38-1-Premissas!$D$16,0),0)*Premissas!$D$15,0),0)</f>
        <v/>
      </c>
      <c r="L38">
        <f>ROUND(C38*Premissas!$D$24/12,0)</f>
        <v/>
      </c>
      <c r="M38">
        <f>ROUND(D38*Premissas!$D$25,0)</f>
        <v/>
      </c>
      <c r="N38">
        <f>ROUND(E38*Premissas!$D$29+B38*Premissas!$D$30,0)</f>
        <v/>
      </c>
      <c r="O38">
        <f>K38+L38+M38+N38</f>
        <v/>
      </c>
      <c r="P38">
        <f>K38+ROUND(AC38*Premissas!$D$24,0)+M38+N38</f>
        <v/>
      </c>
      <c r="Q38">
        <f>ROUND(IF(A38-1-Premissas!$D$21&gt;=0,OFFSET($P$4,A38-1-Premissas!$D$21,0),0)*(1-Premissas!$D$20/100),0)</f>
        <v/>
      </c>
      <c r="R38">
        <f>ROUND(F38*Premissas!$D$11+N38*Premissas!$D$31/100,0)+ROUND((E38+B38)*Premissas!$D$10,0)+ROUND(Q38*Premissas!$D$8/100,0)+ROUND(Premissas!$D$35+(B38+C38)*Premissas!$D$36,0)</f>
        <v/>
      </c>
      <c r="S38">
        <f>O38-R38</f>
        <v/>
      </c>
      <c r="T38">
        <f>ROUND(O38*Premissas!$D$9/100,0)</f>
        <v/>
      </c>
      <c r="U38">
        <f>ROUND(AB38*Premissas!$D$33,0)</f>
        <v/>
      </c>
      <c r="V38">
        <f>Premissas!$D$37+ROUND(Premissas!$D$12*Premissas!$D$38+D38*Premissas!$D$27,0)</f>
        <v/>
      </c>
      <c r="W38">
        <f>Premissas!$D$39</f>
        <v/>
      </c>
      <c r="X38">
        <f>S38-T38-ROUND(Premissas!$D$12*Premissas!$D$38+D38*Premissas!$D$27,0)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Premissas!$D$32+(B38+C38)/Premissas!$D$34</f>
        <v/>
      </c>
      <c r="AC38">
        <f>D38+AC26*(1-Premissas!$D$26/12)^12</f>
        <v/>
      </c>
    </row>
    <row r="39">
      <c r="A39" t="n">
        <v>36</v>
      </c>
      <c r="B39">
        <f>B38*(1-Premissas!$D$18/12)+Premissas!$D$12</f>
        <v/>
      </c>
      <c r="C39">
        <f>IF($B$2=1,C38*(1-Premissas!$D$26/12)+D39,0)</f>
        <v/>
      </c>
      <c r="D39">
        <f>IF(AND($B$2=1,A39&gt;=Premissas!$D$23),Premissas!$D$22,0)</f>
        <v/>
      </c>
      <c r="E39">
        <f>B39*Premissas!$D$28</f>
        <v/>
      </c>
      <c r="F39">
        <f>B39*Premissas!$D$13/12*MIN(1,A39/Premissas!$D$17)</f>
        <v/>
      </c>
      <c r="G39">
        <f>F39*Premissas!$D$14</f>
        <v/>
      </c>
      <c r="H39">
        <f>IF(IF(A39-1-Premissas!$D$16&gt;=0,OFFSET($J$4,A39-1-Premissas!$D$16,0),0)&gt;0,ROUND(IF(A39-1-Premissas!$D$16&gt;=0,OFFSET($J$4,A39-1-Premissas!$D$16,0),0)*10000/Premissas!$D$5*Premissas!$D$15,0),0)</f>
        <v/>
      </c>
      <c r="I39">
        <f>ROUND(G39*Premissas!$D$6/10000,0)</f>
        <v/>
      </c>
      <c r="J39">
        <f>ROUND(G39*Premissas!$D$5/10000,0)</f>
        <v/>
      </c>
      <c r="K39">
        <f>IF(IF(A39-1-Premissas!$D$16&gt;=0,OFFSET($A$4,A39-1-Premissas!$D$16,0)&gt;=Premissas!$D$19,FALSE),ROUND(IF(A39-1-Premissas!$D$16&gt;=0,OFFSET($J$4,A39-1-Premissas!$D$16,0),0)*Premissas!$D$15,0),0)</f>
        <v/>
      </c>
      <c r="L39">
        <f>ROUND(C39*Premissas!$D$24/12,0)</f>
        <v/>
      </c>
      <c r="M39">
        <f>ROUND(D39*Premissas!$D$25,0)</f>
        <v/>
      </c>
      <c r="N39">
        <f>ROUND(E39*Premissas!$D$29+B39*Premissas!$D$30,0)</f>
        <v/>
      </c>
      <c r="O39">
        <f>K39+L39+M39+N39</f>
        <v/>
      </c>
      <c r="P39">
        <f>K39+ROUND(AC39*Premissas!$D$24,0)+M39+N39</f>
        <v/>
      </c>
      <c r="Q39">
        <f>ROUND(IF(A39-1-Premissas!$D$21&gt;=0,OFFSET($P$4,A39-1-Premissas!$D$21,0),0)*(1-Premissas!$D$20/100),0)</f>
        <v/>
      </c>
      <c r="R39">
        <f>ROUND(F39*Premissas!$D$11+N39*Premissas!$D$31/100,0)+ROUND((E39+B39)*Premissas!$D$10,0)+ROUND(Q39*Premissas!$D$8/100,0)+ROUND(Premissas!$D$35+(B39+C39)*Premissas!$D$36,0)</f>
        <v/>
      </c>
      <c r="S39">
        <f>O39-R39</f>
        <v/>
      </c>
      <c r="T39">
        <f>ROUND(O39*Premissas!$D$9/100,0)</f>
        <v/>
      </c>
      <c r="U39">
        <f>ROUND(AB39*Premissas!$D$33,0)</f>
        <v/>
      </c>
      <c r="V39">
        <f>Premissas!$D$37+ROUND(Premissas!$D$12*Premissas!$D$38+D39*Premissas!$D$27,0)</f>
        <v/>
      </c>
      <c r="W39">
        <f>Premissas!$D$39</f>
        <v/>
      </c>
      <c r="X39">
        <f>S39-T39-ROUND(Premissas!$D$12*Premissas!$D$38+D39*Premissas!$D$27,0)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Premissas!$D$32+(B39+C39)/Premissas!$D$34</f>
        <v/>
      </c>
      <c r="AC39">
        <f>D39+AC27*(1-Premissas!$D$26/12)^12</f>
        <v/>
      </c>
    </row>
    <row r="40">
      <c r="A40" t="n">
        <v>37</v>
      </c>
      <c r="B40">
        <f>B39*(1-Premissas!$D$18/12)+Premissas!$D$12</f>
        <v/>
      </c>
      <c r="C40">
        <f>IF($B$2=1,C39*(1-Premissas!$D$26/12)+D40,0)</f>
        <v/>
      </c>
      <c r="D40">
        <f>IF(AND($B$2=1,A40&gt;=Premissas!$D$23),Premissas!$D$22,0)</f>
        <v/>
      </c>
      <c r="E40">
        <f>B40*Premissas!$D$28</f>
        <v/>
      </c>
      <c r="F40">
        <f>B40*Premissas!$D$13/12*MIN(1,A40/Premissas!$D$17)</f>
        <v/>
      </c>
      <c r="G40">
        <f>F40*Premissas!$D$14</f>
        <v/>
      </c>
      <c r="H40">
        <f>IF(IF(A40-1-Premissas!$D$16&gt;=0,OFFSET($J$4,A40-1-Premissas!$D$16,0),0)&gt;0,ROUND(IF(A40-1-Premissas!$D$16&gt;=0,OFFSET($J$4,A40-1-Premissas!$D$16,0),0)*10000/Premissas!$D$5*Premissas!$D$15,0),0)</f>
        <v/>
      </c>
      <c r="I40">
        <f>ROUND(G40*Premissas!$D$6/10000,0)</f>
        <v/>
      </c>
      <c r="J40">
        <f>ROUND(G40*Premissas!$D$5/10000,0)</f>
        <v/>
      </c>
      <c r="K40">
        <f>IF(IF(A40-1-Premissas!$D$16&gt;=0,OFFSET($A$4,A40-1-Premissas!$D$16,0)&gt;=Premissas!$D$19,FALSE),ROUND(IF(A40-1-Premissas!$D$16&gt;=0,OFFSET($J$4,A40-1-Premissas!$D$16,0),0)*Premissas!$D$15,0),0)</f>
        <v/>
      </c>
      <c r="L40">
        <f>ROUND(C40*Premissas!$D$24/12,0)</f>
        <v/>
      </c>
      <c r="M40">
        <f>ROUND(D40*Premissas!$D$25,0)</f>
        <v/>
      </c>
      <c r="N40">
        <f>ROUND(E40*Premissas!$D$29+B40*Premissas!$D$30,0)</f>
        <v/>
      </c>
      <c r="O40">
        <f>K40+L40+M40+N40</f>
        <v/>
      </c>
      <c r="P40">
        <f>K40+ROUND(AC40*Premissas!$D$24,0)+M40+N40</f>
        <v/>
      </c>
      <c r="Q40">
        <f>ROUND(IF(A40-1-Premissas!$D$21&gt;=0,OFFSET($P$4,A40-1-Premissas!$D$21,0),0)*(1-Premissas!$D$20/100),0)</f>
        <v/>
      </c>
      <c r="R40">
        <f>ROUND(F40*Premissas!$D$11+N40*Premissas!$D$31/100,0)+ROUND((E40+B40)*Premissas!$D$10,0)+ROUND(Q40*Premissas!$D$8/100,0)+ROUND(Premissas!$D$35+(B40+C40)*Premissas!$D$36,0)</f>
        <v/>
      </c>
      <c r="S40">
        <f>O40-R40</f>
        <v/>
      </c>
      <c r="T40">
        <f>ROUND(O40*Premissas!$D$9/100,0)</f>
        <v/>
      </c>
      <c r="U40">
        <f>ROUND(AB40*Premissas!$D$33,0)</f>
        <v/>
      </c>
      <c r="V40">
        <f>Premissas!$D$37+ROUND(Premissas!$D$12*Premissas!$D$38+D40*Premissas!$D$27,0)</f>
        <v/>
      </c>
      <c r="W40">
        <f>Premissas!$D$39</f>
        <v/>
      </c>
      <c r="X40">
        <f>S40-T40-ROUND(Premissas!$D$12*Premissas!$D$38+D40*Premissas!$D$27,0)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Premissas!$D$32+(B40+C40)/Premissas!$D$34</f>
        <v/>
      </c>
      <c r="AC40">
        <f>D40+AC28*(1-Premissas!$D$26/12)^12</f>
        <v/>
      </c>
    </row>
    <row r="41">
      <c r="A41" t="n">
        <v>38</v>
      </c>
      <c r="B41">
        <f>B40*(1-Premissas!$D$18/12)+Premissas!$D$12</f>
        <v/>
      </c>
      <c r="C41">
        <f>IF($B$2=1,C40*(1-Premissas!$D$26/12)+D41,0)</f>
        <v/>
      </c>
      <c r="D41">
        <f>IF(AND($B$2=1,A41&gt;=Premissas!$D$23),Premissas!$D$22,0)</f>
        <v/>
      </c>
      <c r="E41">
        <f>B41*Premissas!$D$28</f>
        <v/>
      </c>
      <c r="F41">
        <f>B41*Premissas!$D$13/12*MIN(1,A41/Premissas!$D$17)</f>
        <v/>
      </c>
      <c r="G41">
        <f>F41*Premissas!$D$14</f>
        <v/>
      </c>
      <c r="H41">
        <f>IF(IF(A41-1-Premissas!$D$16&gt;=0,OFFSET($J$4,A41-1-Premissas!$D$16,0),0)&gt;0,ROUND(IF(A41-1-Premissas!$D$16&gt;=0,OFFSET($J$4,A41-1-Premissas!$D$16,0),0)*10000/Premissas!$D$5*Premissas!$D$15,0),0)</f>
        <v/>
      </c>
      <c r="I41">
        <f>ROUND(G41*Premissas!$D$6/10000,0)</f>
        <v/>
      </c>
      <c r="J41">
        <f>ROUND(G41*Premissas!$D$5/10000,0)</f>
        <v/>
      </c>
      <c r="K41">
        <f>IF(IF(A41-1-Premissas!$D$16&gt;=0,OFFSET($A$4,A41-1-Premissas!$D$16,0)&gt;=Premissas!$D$19,FALSE),ROUND(IF(A41-1-Premissas!$D$16&gt;=0,OFFSET($J$4,A41-1-Premissas!$D$16,0),0)*Premissas!$D$15,0),0)</f>
        <v/>
      </c>
      <c r="L41">
        <f>ROUND(C41*Premissas!$D$24/12,0)</f>
        <v/>
      </c>
      <c r="M41">
        <f>ROUND(D41*Premissas!$D$25,0)</f>
        <v/>
      </c>
      <c r="N41">
        <f>ROUND(E41*Premissas!$D$29+B41*Premissas!$D$30,0)</f>
        <v/>
      </c>
      <c r="O41">
        <f>K41+L41+M41+N41</f>
        <v/>
      </c>
      <c r="P41">
        <f>K41+ROUND(AC41*Premissas!$D$24,0)+M41+N41</f>
        <v/>
      </c>
      <c r="Q41">
        <f>ROUND(IF(A41-1-Premissas!$D$21&gt;=0,OFFSET($P$4,A41-1-Premissas!$D$21,0),0)*(1-Premissas!$D$20/100),0)</f>
        <v/>
      </c>
      <c r="R41">
        <f>ROUND(F41*Premissas!$D$11+N41*Premissas!$D$31/100,0)+ROUND((E41+B41)*Premissas!$D$10,0)+ROUND(Q41*Premissas!$D$8/100,0)+ROUND(Premissas!$D$35+(B41+C41)*Premissas!$D$36,0)</f>
        <v/>
      </c>
      <c r="S41">
        <f>O41-R41</f>
        <v/>
      </c>
      <c r="T41">
        <f>ROUND(O41*Premissas!$D$9/100,0)</f>
        <v/>
      </c>
      <c r="U41">
        <f>ROUND(AB41*Premissas!$D$33,0)</f>
        <v/>
      </c>
      <c r="V41">
        <f>Premissas!$D$37+ROUND(Premissas!$D$12*Premissas!$D$38+D41*Premissas!$D$27,0)</f>
        <v/>
      </c>
      <c r="W41">
        <f>Premissas!$D$39</f>
        <v/>
      </c>
      <c r="X41">
        <f>S41-T41-ROUND(Premissas!$D$12*Premissas!$D$38+D41*Premissas!$D$27,0)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Premissas!$D$32+(B41+C41)/Premissas!$D$34</f>
        <v/>
      </c>
      <c r="AC41">
        <f>D41+AC29*(1-Premissas!$D$26/12)^12</f>
        <v/>
      </c>
    </row>
    <row r="42">
      <c r="A42" t="n">
        <v>39</v>
      </c>
      <c r="B42">
        <f>B41*(1-Premissas!$D$18/12)+Premissas!$D$12</f>
        <v/>
      </c>
      <c r="C42">
        <f>IF($B$2=1,C41*(1-Premissas!$D$26/12)+D42,0)</f>
        <v/>
      </c>
      <c r="D42">
        <f>IF(AND($B$2=1,A42&gt;=Premissas!$D$23),Premissas!$D$22,0)</f>
        <v/>
      </c>
      <c r="E42">
        <f>B42*Premissas!$D$28</f>
        <v/>
      </c>
      <c r="F42">
        <f>B42*Premissas!$D$13/12*MIN(1,A42/Premissas!$D$17)</f>
        <v/>
      </c>
      <c r="G42">
        <f>F42*Premissas!$D$14</f>
        <v/>
      </c>
      <c r="H42">
        <f>IF(IF(A42-1-Premissas!$D$16&gt;=0,OFFSET($J$4,A42-1-Premissas!$D$16,0),0)&gt;0,ROUND(IF(A42-1-Premissas!$D$16&gt;=0,OFFSET($J$4,A42-1-Premissas!$D$16,0),0)*10000/Premissas!$D$5*Premissas!$D$15,0),0)</f>
        <v/>
      </c>
      <c r="I42">
        <f>ROUND(G42*Premissas!$D$6/10000,0)</f>
        <v/>
      </c>
      <c r="J42">
        <f>ROUND(G42*Premissas!$D$5/10000,0)</f>
        <v/>
      </c>
      <c r="K42">
        <f>IF(IF(A42-1-Premissas!$D$16&gt;=0,OFFSET($A$4,A42-1-Premissas!$D$16,0)&gt;=Premissas!$D$19,FALSE),ROUND(IF(A42-1-Premissas!$D$16&gt;=0,OFFSET($J$4,A42-1-Premissas!$D$16,0),0)*Premissas!$D$15,0),0)</f>
        <v/>
      </c>
      <c r="L42">
        <f>ROUND(C42*Premissas!$D$24/12,0)</f>
        <v/>
      </c>
      <c r="M42">
        <f>ROUND(D42*Premissas!$D$25,0)</f>
        <v/>
      </c>
      <c r="N42">
        <f>ROUND(E42*Premissas!$D$29+B42*Premissas!$D$30,0)</f>
        <v/>
      </c>
      <c r="O42">
        <f>K42+L42+M42+N42</f>
        <v/>
      </c>
      <c r="P42">
        <f>K42+ROUND(AC42*Premissas!$D$24,0)+M42+N42</f>
        <v/>
      </c>
      <c r="Q42">
        <f>ROUND(IF(A42-1-Premissas!$D$21&gt;=0,OFFSET($P$4,A42-1-Premissas!$D$21,0),0)*(1-Premissas!$D$20/100),0)</f>
        <v/>
      </c>
      <c r="R42">
        <f>ROUND(F42*Premissas!$D$11+N42*Premissas!$D$31/100,0)+ROUND((E42+B42)*Premissas!$D$10,0)+ROUND(Q42*Premissas!$D$8/100,0)+ROUND(Premissas!$D$35+(B42+C42)*Premissas!$D$36,0)</f>
        <v/>
      </c>
      <c r="S42">
        <f>O42-R42</f>
        <v/>
      </c>
      <c r="T42">
        <f>ROUND(O42*Premissas!$D$9/100,0)</f>
        <v/>
      </c>
      <c r="U42">
        <f>ROUND(AB42*Premissas!$D$33,0)</f>
        <v/>
      </c>
      <c r="V42">
        <f>Premissas!$D$37+ROUND(Premissas!$D$12*Premissas!$D$38+D42*Premissas!$D$27,0)</f>
        <v/>
      </c>
      <c r="W42">
        <f>Premissas!$D$39</f>
        <v/>
      </c>
      <c r="X42">
        <f>S42-T42-ROUND(Premissas!$D$12*Premissas!$D$38+D42*Premissas!$D$27,0)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Premissas!$D$32+(B42+C42)/Premissas!$D$34</f>
        <v/>
      </c>
      <c r="AC42">
        <f>D42+AC30*(1-Premissas!$D$26/12)^12</f>
        <v/>
      </c>
    </row>
    <row r="43">
      <c r="A43" t="n">
        <v>40</v>
      </c>
      <c r="B43">
        <f>B42*(1-Premissas!$D$18/12)+Premissas!$D$12</f>
        <v/>
      </c>
      <c r="C43">
        <f>IF($B$2=1,C42*(1-Premissas!$D$26/12)+D43,0)</f>
        <v/>
      </c>
      <c r="D43">
        <f>IF(AND($B$2=1,A43&gt;=Premissas!$D$23),Premissas!$D$22,0)</f>
        <v/>
      </c>
      <c r="E43">
        <f>B43*Premissas!$D$28</f>
        <v/>
      </c>
      <c r="F43">
        <f>B43*Premissas!$D$13/12*MIN(1,A43/Premissas!$D$17)</f>
        <v/>
      </c>
      <c r="G43">
        <f>F43*Premissas!$D$14</f>
        <v/>
      </c>
      <c r="H43">
        <f>IF(IF(A43-1-Premissas!$D$16&gt;=0,OFFSET($J$4,A43-1-Premissas!$D$16,0),0)&gt;0,ROUND(IF(A43-1-Premissas!$D$16&gt;=0,OFFSET($J$4,A43-1-Premissas!$D$16,0),0)*10000/Premissas!$D$5*Premissas!$D$15,0),0)</f>
        <v/>
      </c>
      <c r="I43">
        <f>ROUND(G43*Premissas!$D$6/10000,0)</f>
        <v/>
      </c>
      <c r="J43">
        <f>ROUND(G43*Premissas!$D$5/10000,0)</f>
        <v/>
      </c>
      <c r="K43">
        <f>IF(IF(A43-1-Premissas!$D$16&gt;=0,OFFSET($A$4,A43-1-Premissas!$D$16,0)&gt;=Premissas!$D$19,FALSE),ROUND(IF(A43-1-Premissas!$D$16&gt;=0,OFFSET($J$4,A43-1-Premissas!$D$16,0),0)*Premissas!$D$15,0),0)</f>
        <v/>
      </c>
      <c r="L43">
        <f>ROUND(C43*Premissas!$D$24/12,0)</f>
        <v/>
      </c>
      <c r="M43">
        <f>ROUND(D43*Premissas!$D$25,0)</f>
        <v/>
      </c>
      <c r="N43">
        <f>ROUND(E43*Premissas!$D$29+B43*Premissas!$D$30,0)</f>
        <v/>
      </c>
      <c r="O43">
        <f>K43+L43+M43+N43</f>
        <v/>
      </c>
      <c r="P43">
        <f>K43+ROUND(AC43*Premissas!$D$24,0)+M43+N43</f>
        <v/>
      </c>
      <c r="Q43">
        <f>ROUND(IF(A43-1-Premissas!$D$21&gt;=0,OFFSET($P$4,A43-1-Premissas!$D$21,0),0)*(1-Premissas!$D$20/100),0)</f>
        <v/>
      </c>
      <c r="R43">
        <f>ROUND(F43*Premissas!$D$11+N43*Premissas!$D$31/100,0)+ROUND((E43+B43)*Premissas!$D$10,0)+ROUND(Q43*Premissas!$D$8/100,0)+ROUND(Premissas!$D$35+(B43+C43)*Premissas!$D$36,0)</f>
        <v/>
      </c>
      <c r="S43">
        <f>O43-R43</f>
        <v/>
      </c>
      <c r="T43">
        <f>ROUND(O43*Premissas!$D$9/100,0)</f>
        <v/>
      </c>
      <c r="U43">
        <f>ROUND(AB43*Premissas!$D$33,0)</f>
        <v/>
      </c>
      <c r="V43">
        <f>Premissas!$D$37+ROUND(Premissas!$D$12*Premissas!$D$38+D43*Premissas!$D$27,0)</f>
        <v/>
      </c>
      <c r="W43">
        <f>Premissas!$D$39</f>
        <v/>
      </c>
      <c r="X43">
        <f>S43-T43-ROUND(Premissas!$D$12*Premissas!$D$38+D43*Premissas!$D$27,0)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Premissas!$D$32+(B43+C43)/Premissas!$D$34</f>
        <v/>
      </c>
      <c r="AC43">
        <f>D43+AC31*(1-Premissas!$D$26/12)^12</f>
        <v/>
      </c>
    </row>
    <row r="44">
      <c r="A44" t="n">
        <v>41</v>
      </c>
      <c r="B44">
        <f>B43*(1-Premissas!$D$18/12)+Premissas!$D$12</f>
        <v/>
      </c>
      <c r="C44">
        <f>IF($B$2=1,C43*(1-Premissas!$D$26/12)+D44,0)</f>
        <v/>
      </c>
      <c r="D44">
        <f>IF(AND($B$2=1,A44&gt;=Premissas!$D$23),Premissas!$D$22,0)</f>
        <v/>
      </c>
      <c r="E44">
        <f>B44*Premissas!$D$28</f>
        <v/>
      </c>
      <c r="F44">
        <f>B44*Premissas!$D$13/12*MIN(1,A44/Premissas!$D$17)</f>
        <v/>
      </c>
      <c r="G44">
        <f>F44*Premissas!$D$14</f>
        <v/>
      </c>
      <c r="H44">
        <f>IF(IF(A44-1-Premissas!$D$16&gt;=0,OFFSET($J$4,A44-1-Premissas!$D$16,0),0)&gt;0,ROUND(IF(A44-1-Premissas!$D$16&gt;=0,OFFSET($J$4,A44-1-Premissas!$D$16,0),0)*10000/Premissas!$D$5*Premissas!$D$15,0),0)</f>
        <v/>
      </c>
      <c r="I44">
        <f>ROUND(G44*Premissas!$D$6/10000,0)</f>
        <v/>
      </c>
      <c r="J44">
        <f>ROUND(G44*Premissas!$D$5/10000,0)</f>
        <v/>
      </c>
      <c r="K44">
        <f>IF(IF(A44-1-Premissas!$D$16&gt;=0,OFFSET($A$4,A44-1-Premissas!$D$16,0)&gt;=Premissas!$D$19,FALSE),ROUND(IF(A44-1-Premissas!$D$16&gt;=0,OFFSET($J$4,A44-1-Premissas!$D$16,0),0)*Premissas!$D$15,0),0)</f>
        <v/>
      </c>
      <c r="L44">
        <f>ROUND(C44*Premissas!$D$24/12,0)</f>
        <v/>
      </c>
      <c r="M44">
        <f>ROUND(D44*Premissas!$D$25,0)</f>
        <v/>
      </c>
      <c r="N44">
        <f>ROUND(E44*Premissas!$D$29+B44*Premissas!$D$30,0)</f>
        <v/>
      </c>
      <c r="O44">
        <f>K44+L44+M44+N44</f>
        <v/>
      </c>
      <c r="P44">
        <f>K44+ROUND(AC44*Premissas!$D$24,0)+M44+N44</f>
        <v/>
      </c>
      <c r="Q44">
        <f>ROUND(IF(A44-1-Premissas!$D$21&gt;=0,OFFSET($P$4,A44-1-Premissas!$D$21,0),0)*(1-Premissas!$D$20/100),0)</f>
        <v/>
      </c>
      <c r="R44">
        <f>ROUND(F44*Premissas!$D$11+N44*Premissas!$D$31/100,0)+ROUND((E44+B44)*Premissas!$D$10,0)+ROUND(Q44*Premissas!$D$8/100,0)+ROUND(Premissas!$D$35+(B44+C44)*Premissas!$D$36,0)</f>
        <v/>
      </c>
      <c r="S44">
        <f>O44-R44</f>
        <v/>
      </c>
      <c r="T44">
        <f>ROUND(O44*Premissas!$D$9/100,0)</f>
        <v/>
      </c>
      <c r="U44">
        <f>ROUND(AB44*Premissas!$D$33,0)</f>
        <v/>
      </c>
      <c r="V44">
        <f>Premissas!$D$37+ROUND(Premissas!$D$12*Premissas!$D$38+D44*Premissas!$D$27,0)</f>
        <v/>
      </c>
      <c r="W44">
        <f>Premissas!$D$39</f>
        <v/>
      </c>
      <c r="X44">
        <f>S44-T44-ROUND(Premissas!$D$12*Premissas!$D$38+D44*Premissas!$D$27,0)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Premissas!$D$32+(B44+C44)/Premissas!$D$34</f>
        <v/>
      </c>
      <c r="AC44">
        <f>D44+AC32*(1-Premissas!$D$26/12)^12</f>
        <v/>
      </c>
    </row>
    <row r="45">
      <c r="A45" t="n">
        <v>42</v>
      </c>
      <c r="B45">
        <f>B44*(1-Premissas!$D$18/12)+Premissas!$D$12</f>
        <v/>
      </c>
      <c r="C45">
        <f>IF($B$2=1,C44*(1-Premissas!$D$26/12)+D45,0)</f>
        <v/>
      </c>
      <c r="D45">
        <f>IF(AND($B$2=1,A45&gt;=Premissas!$D$23),Premissas!$D$22,0)</f>
        <v/>
      </c>
      <c r="E45">
        <f>B45*Premissas!$D$28</f>
        <v/>
      </c>
      <c r="F45">
        <f>B45*Premissas!$D$13/12*MIN(1,A45/Premissas!$D$17)</f>
        <v/>
      </c>
      <c r="G45">
        <f>F45*Premissas!$D$14</f>
        <v/>
      </c>
      <c r="H45">
        <f>IF(IF(A45-1-Premissas!$D$16&gt;=0,OFFSET($J$4,A45-1-Premissas!$D$16,0),0)&gt;0,ROUND(IF(A45-1-Premissas!$D$16&gt;=0,OFFSET($J$4,A45-1-Premissas!$D$16,0),0)*10000/Premissas!$D$5*Premissas!$D$15,0),0)</f>
        <v/>
      </c>
      <c r="I45">
        <f>ROUND(G45*Premissas!$D$6/10000,0)</f>
        <v/>
      </c>
      <c r="J45">
        <f>ROUND(G45*Premissas!$D$5/10000,0)</f>
        <v/>
      </c>
      <c r="K45">
        <f>IF(IF(A45-1-Premissas!$D$16&gt;=0,OFFSET($A$4,A45-1-Premissas!$D$16,0)&gt;=Premissas!$D$19,FALSE),ROUND(IF(A45-1-Premissas!$D$16&gt;=0,OFFSET($J$4,A45-1-Premissas!$D$16,0),0)*Premissas!$D$15,0),0)</f>
        <v/>
      </c>
      <c r="L45">
        <f>ROUND(C45*Premissas!$D$24/12,0)</f>
        <v/>
      </c>
      <c r="M45">
        <f>ROUND(D45*Premissas!$D$25,0)</f>
        <v/>
      </c>
      <c r="N45">
        <f>ROUND(E45*Premissas!$D$29+B45*Premissas!$D$30,0)</f>
        <v/>
      </c>
      <c r="O45">
        <f>K45+L45+M45+N45</f>
        <v/>
      </c>
      <c r="P45">
        <f>K45+ROUND(AC45*Premissas!$D$24,0)+M45+N45</f>
        <v/>
      </c>
      <c r="Q45">
        <f>ROUND(IF(A45-1-Premissas!$D$21&gt;=0,OFFSET($P$4,A45-1-Premissas!$D$21,0),0)*(1-Premissas!$D$20/100),0)</f>
        <v/>
      </c>
      <c r="R45">
        <f>ROUND(F45*Premissas!$D$11+N45*Premissas!$D$31/100,0)+ROUND((E45+B45)*Premissas!$D$10,0)+ROUND(Q45*Premissas!$D$8/100,0)+ROUND(Premissas!$D$35+(B45+C45)*Premissas!$D$36,0)</f>
        <v/>
      </c>
      <c r="S45">
        <f>O45-R45</f>
        <v/>
      </c>
      <c r="T45">
        <f>ROUND(O45*Premissas!$D$9/100,0)</f>
        <v/>
      </c>
      <c r="U45">
        <f>ROUND(AB45*Premissas!$D$33,0)</f>
        <v/>
      </c>
      <c r="V45">
        <f>Premissas!$D$37+ROUND(Premissas!$D$12*Premissas!$D$38+D45*Premissas!$D$27,0)</f>
        <v/>
      </c>
      <c r="W45">
        <f>Premissas!$D$39</f>
        <v/>
      </c>
      <c r="X45">
        <f>S45-T45-ROUND(Premissas!$D$12*Premissas!$D$38+D45*Premissas!$D$27,0)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Premissas!$D$32+(B45+C45)/Premissas!$D$34</f>
        <v/>
      </c>
      <c r="AC45">
        <f>D45+AC33*(1-Premissas!$D$26/12)^12</f>
        <v/>
      </c>
    </row>
    <row r="46">
      <c r="A46" t="n">
        <v>43</v>
      </c>
      <c r="B46">
        <f>B45*(1-Premissas!$D$18/12)+Premissas!$D$12</f>
        <v/>
      </c>
      <c r="C46">
        <f>IF($B$2=1,C45*(1-Premissas!$D$26/12)+D46,0)</f>
        <v/>
      </c>
      <c r="D46">
        <f>IF(AND($B$2=1,A46&gt;=Premissas!$D$23),Premissas!$D$22,0)</f>
        <v/>
      </c>
      <c r="E46">
        <f>B46*Premissas!$D$28</f>
        <v/>
      </c>
      <c r="F46">
        <f>B46*Premissas!$D$13/12*MIN(1,A46/Premissas!$D$17)</f>
        <v/>
      </c>
      <c r="G46">
        <f>F46*Premissas!$D$14</f>
        <v/>
      </c>
      <c r="H46">
        <f>IF(IF(A46-1-Premissas!$D$16&gt;=0,OFFSET($J$4,A46-1-Premissas!$D$16,0),0)&gt;0,ROUND(IF(A46-1-Premissas!$D$16&gt;=0,OFFSET($J$4,A46-1-Premissas!$D$16,0),0)*10000/Premissas!$D$5*Premissas!$D$15,0),0)</f>
        <v/>
      </c>
      <c r="I46">
        <f>ROUND(G46*Premissas!$D$6/10000,0)</f>
        <v/>
      </c>
      <c r="J46">
        <f>ROUND(G46*Premissas!$D$5/10000,0)</f>
        <v/>
      </c>
      <c r="K46">
        <f>IF(IF(A46-1-Premissas!$D$16&gt;=0,OFFSET($A$4,A46-1-Premissas!$D$16,0)&gt;=Premissas!$D$19,FALSE),ROUND(IF(A46-1-Premissas!$D$16&gt;=0,OFFSET($J$4,A46-1-Premissas!$D$16,0),0)*Premissas!$D$15,0),0)</f>
        <v/>
      </c>
      <c r="L46">
        <f>ROUND(C46*Premissas!$D$24/12,0)</f>
        <v/>
      </c>
      <c r="M46">
        <f>ROUND(D46*Premissas!$D$25,0)</f>
        <v/>
      </c>
      <c r="N46">
        <f>ROUND(E46*Premissas!$D$29+B46*Premissas!$D$30,0)</f>
        <v/>
      </c>
      <c r="O46">
        <f>K46+L46+M46+N46</f>
        <v/>
      </c>
      <c r="P46">
        <f>K46+ROUND(AC46*Premissas!$D$24,0)+M46+N46</f>
        <v/>
      </c>
      <c r="Q46">
        <f>ROUND(IF(A46-1-Premissas!$D$21&gt;=0,OFFSET($P$4,A46-1-Premissas!$D$21,0),0)*(1-Premissas!$D$20/100),0)</f>
        <v/>
      </c>
      <c r="R46">
        <f>ROUND(F46*Premissas!$D$11+N46*Premissas!$D$31/100,0)+ROUND((E46+B46)*Premissas!$D$10,0)+ROUND(Q46*Premissas!$D$8/100,0)+ROUND(Premissas!$D$35+(B46+C46)*Premissas!$D$36,0)</f>
        <v/>
      </c>
      <c r="S46">
        <f>O46-R46</f>
        <v/>
      </c>
      <c r="T46">
        <f>ROUND(O46*Premissas!$D$9/100,0)</f>
        <v/>
      </c>
      <c r="U46">
        <f>ROUND(AB46*Premissas!$D$33,0)</f>
        <v/>
      </c>
      <c r="V46">
        <f>Premissas!$D$37+ROUND(Premissas!$D$12*Premissas!$D$38+D46*Premissas!$D$27,0)</f>
        <v/>
      </c>
      <c r="W46">
        <f>Premissas!$D$39</f>
        <v/>
      </c>
      <c r="X46">
        <f>S46-T46-ROUND(Premissas!$D$12*Premissas!$D$38+D46*Premissas!$D$27,0)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Premissas!$D$32+(B46+C46)/Premissas!$D$34</f>
        <v/>
      </c>
      <c r="AC46">
        <f>D46+AC34*(1-Premissas!$D$26/12)^12</f>
        <v/>
      </c>
    </row>
    <row r="47">
      <c r="A47" t="n">
        <v>44</v>
      </c>
      <c r="B47">
        <f>B46*(1-Premissas!$D$18/12)+Premissas!$D$12</f>
        <v/>
      </c>
      <c r="C47">
        <f>IF($B$2=1,C46*(1-Premissas!$D$26/12)+D47,0)</f>
        <v/>
      </c>
      <c r="D47">
        <f>IF(AND($B$2=1,A47&gt;=Premissas!$D$23),Premissas!$D$22,0)</f>
        <v/>
      </c>
      <c r="E47">
        <f>B47*Premissas!$D$28</f>
        <v/>
      </c>
      <c r="F47">
        <f>B47*Premissas!$D$13/12*MIN(1,A47/Premissas!$D$17)</f>
        <v/>
      </c>
      <c r="G47">
        <f>F47*Premissas!$D$14</f>
        <v/>
      </c>
      <c r="H47">
        <f>IF(IF(A47-1-Premissas!$D$16&gt;=0,OFFSET($J$4,A47-1-Premissas!$D$16,0),0)&gt;0,ROUND(IF(A47-1-Premissas!$D$16&gt;=0,OFFSET($J$4,A47-1-Premissas!$D$16,0),0)*10000/Premissas!$D$5*Premissas!$D$15,0),0)</f>
        <v/>
      </c>
      <c r="I47">
        <f>ROUND(G47*Premissas!$D$6/10000,0)</f>
        <v/>
      </c>
      <c r="J47">
        <f>ROUND(G47*Premissas!$D$5/10000,0)</f>
        <v/>
      </c>
      <c r="K47">
        <f>IF(IF(A47-1-Premissas!$D$16&gt;=0,OFFSET($A$4,A47-1-Premissas!$D$16,0)&gt;=Premissas!$D$19,FALSE),ROUND(IF(A47-1-Premissas!$D$16&gt;=0,OFFSET($J$4,A47-1-Premissas!$D$16,0),0)*Premissas!$D$15,0),0)</f>
        <v/>
      </c>
      <c r="L47">
        <f>ROUND(C47*Premissas!$D$24/12,0)</f>
        <v/>
      </c>
      <c r="M47">
        <f>ROUND(D47*Premissas!$D$25,0)</f>
        <v/>
      </c>
      <c r="N47">
        <f>ROUND(E47*Premissas!$D$29+B47*Premissas!$D$30,0)</f>
        <v/>
      </c>
      <c r="O47">
        <f>K47+L47+M47+N47</f>
        <v/>
      </c>
      <c r="P47">
        <f>K47+ROUND(AC47*Premissas!$D$24,0)+M47+N47</f>
        <v/>
      </c>
      <c r="Q47">
        <f>ROUND(IF(A47-1-Premissas!$D$21&gt;=0,OFFSET($P$4,A47-1-Premissas!$D$21,0),0)*(1-Premissas!$D$20/100),0)</f>
        <v/>
      </c>
      <c r="R47">
        <f>ROUND(F47*Premissas!$D$11+N47*Premissas!$D$31/100,0)+ROUND((E47+B47)*Premissas!$D$10,0)+ROUND(Q47*Premissas!$D$8/100,0)+ROUND(Premissas!$D$35+(B47+C47)*Premissas!$D$36,0)</f>
        <v/>
      </c>
      <c r="S47">
        <f>O47-R47</f>
        <v/>
      </c>
      <c r="T47">
        <f>ROUND(O47*Premissas!$D$9/100,0)</f>
        <v/>
      </c>
      <c r="U47">
        <f>ROUND(AB47*Premissas!$D$33,0)</f>
        <v/>
      </c>
      <c r="V47">
        <f>Premissas!$D$37+ROUND(Premissas!$D$12*Premissas!$D$38+D47*Premissas!$D$27,0)</f>
        <v/>
      </c>
      <c r="W47">
        <f>Premissas!$D$39</f>
        <v/>
      </c>
      <c r="X47">
        <f>S47-T47-ROUND(Premissas!$D$12*Premissas!$D$38+D47*Premissas!$D$27,0)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Premissas!$D$32+(B47+C47)/Premissas!$D$34</f>
        <v/>
      </c>
      <c r="AC47">
        <f>D47+AC35*(1-Premissas!$D$26/12)^12</f>
        <v/>
      </c>
    </row>
    <row r="48">
      <c r="A48" t="n">
        <v>45</v>
      </c>
      <c r="B48">
        <f>B47*(1-Premissas!$D$18/12)+Premissas!$D$12</f>
        <v/>
      </c>
      <c r="C48">
        <f>IF($B$2=1,C47*(1-Premissas!$D$26/12)+D48,0)</f>
        <v/>
      </c>
      <c r="D48">
        <f>IF(AND($B$2=1,A48&gt;=Premissas!$D$23),Premissas!$D$22,0)</f>
        <v/>
      </c>
      <c r="E48">
        <f>B48*Premissas!$D$28</f>
        <v/>
      </c>
      <c r="F48">
        <f>B48*Premissas!$D$13/12*MIN(1,A48/Premissas!$D$17)</f>
        <v/>
      </c>
      <c r="G48">
        <f>F48*Premissas!$D$14</f>
        <v/>
      </c>
      <c r="H48">
        <f>IF(IF(A48-1-Premissas!$D$16&gt;=0,OFFSET($J$4,A48-1-Premissas!$D$16,0),0)&gt;0,ROUND(IF(A48-1-Premissas!$D$16&gt;=0,OFFSET($J$4,A48-1-Premissas!$D$16,0),0)*10000/Premissas!$D$5*Premissas!$D$15,0),0)</f>
        <v/>
      </c>
      <c r="I48">
        <f>ROUND(G48*Premissas!$D$6/10000,0)</f>
        <v/>
      </c>
      <c r="J48">
        <f>ROUND(G48*Premissas!$D$5/10000,0)</f>
        <v/>
      </c>
      <c r="K48">
        <f>IF(IF(A48-1-Premissas!$D$16&gt;=0,OFFSET($A$4,A48-1-Premissas!$D$16,0)&gt;=Premissas!$D$19,FALSE),ROUND(IF(A48-1-Premissas!$D$16&gt;=0,OFFSET($J$4,A48-1-Premissas!$D$16,0),0)*Premissas!$D$15,0),0)</f>
        <v/>
      </c>
      <c r="L48">
        <f>ROUND(C48*Premissas!$D$24/12,0)</f>
        <v/>
      </c>
      <c r="M48">
        <f>ROUND(D48*Premissas!$D$25,0)</f>
        <v/>
      </c>
      <c r="N48">
        <f>ROUND(E48*Premissas!$D$29+B48*Premissas!$D$30,0)</f>
        <v/>
      </c>
      <c r="O48">
        <f>K48+L48+M48+N48</f>
        <v/>
      </c>
      <c r="P48">
        <f>K48+ROUND(AC48*Premissas!$D$24,0)+M48+N48</f>
        <v/>
      </c>
      <c r="Q48">
        <f>ROUND(IF(A48-1-Premissas!$D$21&gt;=0,OFFSET($P$4,A48-1-Premissas!$D$21,0),0)*(1-Premissas!$D$20/100),0)</f>
        <v/>
      </c>
      <c r="R48">
        <f>ROUND(F48*Premissas!$D$11+N48*Premissas!$D$31/100,0)+ROUND((E48+B48)*Premissas!$D$10,0)+ROUND(Q48*Premissas!$D$8/100,0)+ROUND(Premissas!$D$35+(B48+C48)*Premissas!$D$36,0)</f>
        <v/>
      </c>
      <c r="S48">
        <f>O48-R48</f>
        <v/>
      </c>
      <c r="T48">
        <f>ROUND(O48*Premissas!$D$9/100,0)</f>
        <v/>
      </c>
      <c r="U48">
        <f>ROUND(AB48*Premissas!$D$33,0)</f>
        <v/>
      </c>
      <c r="V48">
        <f>Premissas!$D$37+ROUND(Premissas!$D$12*Premissas!$D$38+D48*Premissas!$D$27,0)</f>
        <v/>
      </c>
      <c r="W48">
        <f>Premissas!$D$39</f>
        <v/>
      </c>
      <c r="X48">
        <f>S48-T48-ROUND(Premissas!$D$12*Premissas!$D$38+D48*Premissas!$D$27,0)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Premissas!$D$32+(B48+C48)/Premissas!$D$34</f>
        <v/>
      </c>
      <c r="AC48">
        <f>D48+AC36*(1-Premissas!$D$26/12)^12</f>
        <v/>
      </c>
    </row>
    <row r="49">
      <c r="A49" t="n">
        <v>46</v>
      </c>
      <c r="B49">
        <f>B48*(1-Premissas!$D$18/12)+Premissas!$D$12</f>
        <v/>
      </c>
      <c r="C49">
        <f>IF($B$2=1,C48*(1-Premissas!$D$26/12)+D49,0)</f>
        <v/>
      </c>
      <c r="D49">
        <f>IF(AND($B$2=1,A49&gt;=Premissas!$D$23),Premissas!$D$22,0)</f>
        <v/>
      </c>
      <c r="E49">
        <f>B49*Premissas!$D$28</f>
        <v/>
      </c>
      <c r="F49">
        <f>B49*Premissas!$D$13/12*MIN(1,A49/Premissas!$D$17)</f>
        <v/>
      </c>
      <c r="G49">
        <f>F49*Premissas!$D$14</f>
        <v/>
      </c>
      <c r="H49">
        <f>IF(IF(A49-1-Premissas!$D$16&gt;=0,OFFSET($J$4,A49-1-Premissas!$D$16,0),0)&gt;0,ROUND(IF(A49-1-Premissas!$D$16&gt;=0,OFFSET($J$4,A49-1-Premissas!$D$16,0),0)*10000/Premissas!$D$5*Premissas!$D$15,0),0)</f>
        <v/>
      </c>
      <c r="I49">
        <f>ROUND(G49*Premissas!$D$6/10000,0)</f>
        <v/>
      </c>
      <c r="J49">
        <f>ROUND(G49*Premissas!$D$5/10000,0)</f>
        <v/>
      </c>
      <c r="K49">
        <f>IF(IF(A49-1-Premissas!$D$16&gt;=0,OFFSET($A$4,A49-1-Premissas!$D$16,0)&gt;=Premissas!$D$19,FALSE),ROUND(IF(A49-1-Premissas!$D$16&gt;=0,OFFSET($J$4,A49-1-Premissas!$D$16,0),0)*Premissas!$D$15,0),0)</f>
        <v/>
      </c>
      <c r="L49">
        <f>ROUND(C49*Premissas!$D$24/12,0)</f>
        <v/>
      </c>
      <c r="M49">
        <f>ROUND(D49*Premissas!$D$25,0)</f>
        <v/>
      </c>
      <c r="N49">
        <f>ROUND(E49*Premissas!$D$29+B49*Premissas!$D$30,0)</f>
        <v/>
      </c>
      <c r="O49">
        <f>K49+L49+M49+N49</f>
        <v/>
      </c>
      <c r="P49">
        <f>K49+ROUND(AC49*Premissas!$D$24,0)+M49+N49</f>
        <v/>
      </c>
      <c r="Q49">
        <f>ROUND(IF(A49-1-Premissas!$D$21&gt;=0,OFFSET($P$4,A49-1-Premissas!$D$21,0),0)*(1-Premissas!$D$20/100),0)</f>
        <v/>
      </c>
      <c r="R49">
        <f>ROUND(F49*Premissas!$D$11+N49*Premissas!$D$31/100,0)+ROUND((E49+B49)*Premissas!$D$10,0)+ROUND(Q49*Premissas!$D$8/100,0)+ROUND(Premissas!$D$35+(B49+C49)*Premissas!$D$36,0)</f>
        <v/>
      </c>
      <c r="S49">
        <f>O49-R49</f>
        <v/>
      </c>
      <c r="T49">
        <f>ROUND(O49*Premissas!$D$9/100,0)</f>
        <v/>
      </c>
      <c r="U49">
        <f>ROUND(AB49*Premissas!$D$33,0)</f>
        <v/>
      </c>
      <c r="V49">
        <f>Premissas!$D$37+ROUND(Premissas!$D$12*Premissas!$D$38+D49*Premissas!$D$27,0)</f>
        <v/>
      </c>
      <c r="W49">
        <f>Premissas!$D$39</f>
        <v/>
      </c>
      <c r="X49">
        <f>S49-T49-ROUND(Premissas!$D$12*Premissas!$D$38+D49*Premissas!$D$27,0)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Premissas!$D$32+(B49+C49)/Premissas!$D$34</f>
        <v/>
      </c>
      <c r="AC49">
        <f>D49+AC37*(1-Premissas!$D$26/12)^12</f>
        <v/>
      </c>
    </row>
    <row r="50">
      <c r="A50" t="n">
        <v>47</v>
      </c>
      <c r="B50">
        <f>B49*(1-Premissas!$D$18/12)+Premissas!$D$12</f>
        <v/>
      </c>
      <c r="C50">
        <f>IF($B$2=1,C49*(1-Premissas!$D$26/12)+D50,0)</f>
        <v/>
      </c>
      <c r="D50">
        <f>IF(AND($B$2=1,A50&gt;=Premissas!$D$23),Premissas!$D$22,0)</f>
        <v/>
      </c>
      <c r="E50">
        <f>B50*Premissas!$D$28</f>
        <v/>
      </c>
      <c r="F50">
        <f>B50*Premissas!$D$13/12*MIN(1,A50/Premissas!$D$17)</f>
        <v/>
      </c>
      <c r="G50">
        <f>F50*Premissas!$D$14</f>
        <v/>
      </c>
      <c r="H50">
        <f>IF(IF(A50-1-Premissas!$D$16&gt;=0,OFFSET($J$4,A50-1-Premissas!$D$16,0),0)&gt;0,ROUND(IF(A50-1-Premissas!$D$16&gt;=0,OFFSET($J$4,A50-1-Premissas!$D$16,0),0)*10000/Premissas!$D$5*Premissas!$D$15,0),0)</f>
        <v/>
      </c>
      <c r="I50">
        <f>ROUND(G50*Premissas!$D$6/10000,0)</f>
        <v/>
      </c>
      <c r="J50">
        <f>ROUND(G50*Premissas!$D$5/10000,0)</f>
        <v/>
      </c>
      <c r="K50">
        <f>IF(IF(A50-1-Premissas!$D$16&gt;=0,OFFSET($A$4,A50-1-Premissas!$D$16,0)&gt;=Premissas!$D$19,FALSE),ROUND(IF(A50-1-Premissas!$D$16&gt;=0,OFFSET($J$4,A50-1-Premissas!$D$16,0),0)*Premissas!$D$15,0),0)</f>
        <v/>
      </c>
      <c r="L50">
        <f>ROUND(C50*Premissas!$D$24/12,0)</f>
        <v/>
      </c>
      <c r="M50">
        <f>ROUND(D50*Premissas!$D$25,0)</f>
        <v/>
      </c>
      <c r="N50">
        <f>ROUND(E50*Premissas!$D$29+B50*Premissas!$D$30,0)</f>
        <v/>
      </c>
      <c r="O50">
        <f>K50+L50+M50+N50</f>
        <v/>
      </c>
      <c r="P50">
        <f>K50+ROUND(AC50*Premissas!$D$24,0)+M50+N50</f>
        <v/>
      </c>
      <c r="Q50">
        <f>ROUND(IF(A50-1-Premissas!$D$21&gt;=0,OFFSET($P$4,A50-1-Premissas!$D$21,0),0)*(1-Premissas!$D$20/100),0)</f>
        <v/>
      </c>
      <c r="R50">
        <f>ROUND(F50*Premissas!$D$11+N50*Premissas!$D$31/100,0)+ROUND((E50+B50)*Premissas!$D$10,0)+ROUND(Q50*Premissas!$D$8/100,0)+ROUND(Premissas!$D$35+(B50+C50)*Premissas!$D$36,0)</f>
        <v/>
      </c>
      <c r="S50">
        <f>O50-R50</f>
        <v/>
      </c>
      <c r="T50">
        <f>ROUND(O50*Premissas!$D$9/100,0)</f>
        <v/>
      </c>
      <c r="U50">
        <f>ROUND(AB50*Premissas!$D$33,0)</f>
        <v/>
      </c>
      <c r="V50">
        <f>Premissas!$D$37+ROUND(Premissas!$D$12*Premissas!$D$38+D50*Premissas!$D$27,0)</f>
        <v/>
      </c>
      <c r="W50">
        <f>Premissas!$D$39</f>
        <v/>
      </c>
      <c r="X50">
        <f>S50-T50-ROUND(Premissas!$D$12*Premissas!$D$38+D50*Premissas!$D$27,0)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Premissas!$D$32+(B50+C50)/Premissas!$D$34</f>
        <v/>
      </c>
      <c r="AC50">
        <f>D50+AC38*(1-Premissas!$D$26/12)^12</f>
        <v/>
      </c>
    </row>
    <row r="51">
      <c r="A51" t="n">
        <v>48</v>
      </c>
      <c r="B51">
        <f>B50*(1-Premissas!$D$18/12)+Premissas!$D$12</f>
        <v/>
      </c>
      <c r="C51">
        <f>IF($B$2=1,C50*(1-Premissas!$D$26/12)+D51,0)</f>
        <v/>
      </c>
      <c r="D51">
        <f>IF(AND($B$2=1,A51&gt;=Premissas!$D$23),Premissas!$D$22,0)</f>
        <v/>
      </c>
      <c r="E51">
        <f>B51*Premissas!$D$28</f>
        <v/>
      </c>
      <c r="F51">
        <f>B51*Premissas!$D$13/12*MIN(1,A51/Premissas!$D$17)</f>
        <v/>
      </c>
      <c r="G51">
        <f>F51*Premissas!$D$14</f>
        <v/>
      </c>
      <c r="H51">
        <f>IF(IF(A51-1-Premissas!$D$16&gt;=0,OFFSET($J$4,A51-1-Premissas!$D$16,0),0)&gt;0,ROUND(IF(A51-1-Premissas!$D$16&gt;=0,OFFSET($J$4,A51-1-Premissas!$D$16,0),0)*10000/Premissas!$D$5*Premissas!$D$15,0),0)</f>
        <v/>
      </c>
      <c r="I51">
        <f>ROUND(G51*Premissas!$D$6/10000,0)</f>
        <v/>
      </c>
      <c r="J51">
        <f>ROUND(G51*Premissas!$D$5/10000,0)</f>
        <v/>
      </c>
      <c r="K51">
        <f>IF(IF(A51-1-Premissas!$D$16&gt;=0,OFFSET($A$4,A51-1-Premissas!$D$16,0)&gt;=Premissas!$D$19,FALSE),ROUND(IF(A51-1-Premissas!$D$16&gt;=0,OFFSET($J$4,A51-1-Premissas!$D$16,0),0)*Premissas!$D$15,0),0)</f>
        <v/>
      </c>
      <c r="L51">
        <f>ROUND(C51*Premissas!$D$24/12,0)</f>
        <v/>
      </c>
      <c r="M51">
        <f>ROUND(D51*Premissas!$D$25,0)</f>
        <v/>
      </c>
      <c r="N51">
        <f>ROUND(E51*Premissas!$D$29+B51*Premissas!$D$30,0)</f>
        <v/>
      </c>
      <c r="O51">
        <f>K51+L51+M51+N51</f>
        <v/>
      </c>
      <c r="P51">
        <f>K51+ROUND(AC51*Premissas!$D$24,0)+M51+N51</f>
        <v/>
      </c>
      <c r="Q51">
        <f>ROUND(IF(A51-1-Premissas!$D$21&gt;=0,OFFSET($P$4,A51-1-Premissas!$D$21,0),0)*(1-Premissas!$D$20/100),0)</f>
        <v/>
      </c>
      <c r="R51">
        <f>ROUND(F51*Premissas!$D$11+N51*Premissas!$D$31/100,0)+ROUND((E51+B51)*Premissas!$D$10,0)+ROUND(Q51*Premissas!$D$8/100,0)+ROUND(Premissas!$D$35+(B51+C51)*Premissas!$D$36,0)</f>
        <v/>
      </c>
      <c r="S51">
        <f>O51-R51</f>
        <v/>
      </c>
      <c r="T51">
        <f>ROUND(O51*Premissas!$D$9/100,0)</f>
        <v/>
      </c>
      <c r="U51">
        <f>ROUND(AB51*Premissas!$D$33,0)</f>
        <v/>
      </c>
      <c r="V51">
        <f>Premissas!$D$37+ROUND(Premissas!$D$12*Premissas!$D$38+D51*Premissas!$D$27,0)</f>
        <v/>
      </c>
      <c r="W51">
        <f>Premissas!$D$39</f>
        <v/>
      </c>
      <c r="X51">
        <f>S51-T51-ROUND(Premissas!$D$12*Premissas!$D$38+D51*Premissas!$D$27,0)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Premissas!$D$32+(B51+C51)/Premissas!$D$34</f>
        <v/>
      </c>
      <c r="AC51">
        <f>D51+AC39*(1-Premissas!$D$26/12)^12</f>
        <v/>
      </c>
    </row>
    <row r="52">
      <c r="A52" t="n">
        <v>49</v>
      </c>
      <c r="B52">
        <f>B51*(1-Premissas!$D$18/12)+Premissas!$D$12</f>
        <v/>
      </c>
      <c r="C52">
        <f>IF($B$2=1,C51*(1-Premissas!$D$26/12)+D52,0)</f>
        <v/>
      </c>
      <c r="D52">
        <f>IF(AND($B$2=1,A52&gt;=Premissas!$D$23),Premissas!$D$22,0)</f>
        <v/>
      </c>
      <c r="E52">
        <f>B52*Premissas!$D$28</f>
        <v/>
      </c>
      <c r="F52">
        <f>B52*Premissas!$D$13/12*MIN(1,A52/Premissas!$D$17)</f>
        <v/>
      </c>
      <c r="G52">
        <f>F52*Premissas!$D$14</f>
        <v/>
      </c>
      <c r="H52">
        <f>IF(IF(A52-1-Premissas!$D$16&gt;=0,OFFSET($J$4,A52-1-Premissas!$D$16,0),0)&gt;0,ROUND(IF(A52-1-Premissas!$D$16&gt;=0,OFFSET($J$4,A52-1-Premissas!$D$16,0),0)*10000/Premissas!$D$5*Premissas!$D$15,0),0)</f>
        <v/>
      </c>
      <c r="I52">
        <f>ROUND(G52*Premissas!$D$6/10000,0)</f>
        <v/>
      </c>
      <c r="J52">
        <f>ROUND(G52*Premissas!$D$5/10000,0)</f>
        <v/>
      </c>
      <c r="K52">
        <f>IF(IF(A52-1-Premissas!$D$16&gt;=0,OFFSET($A$4,A52-1-Premissas!$D$16,0)&gt;=Premissas!$D$19,FALSE),ROUND(IF(A52-1-Premissas!$D$16&gt;=0,OFFSET($J$4,A52-1-Premissas!$D$16,0),0)*Premissas!$D$15,0),0)</f>
        <v/>
      </c>
      <c r="L52">
        <f>ROUND(C52*Premissas!$D$24/12,0)</f>
        <v/>
      </c>
      <c r="M52">
        <f>ROUND(D52*Premissas!$D$25,0)</f>
        <v/>
      </c>
      <c r="N52">
        <f>ROUND(E52*Premissas!$D$29+B52*Premissas!$D$30,0)</f>
        <v/>
      </c>
      <c r="O52">
        <f>K52+L52+M52+N52</f>
        <v/>
      </c>
      <c r="P52">
        <f>K52+ROUND(AC52*Premissas!$D$24,0)+M52+N52</f>
        <v/>
      </c>
      <c r="Q52">
        <f>ROUND(IF(A52-1-Premissas!$D$21&gt;=0,OFFSET($P$4,A52-1-Premissas!$D$21,0),0)*(1-Premissas!$D$20/100),0)</f>
        <v/>
      </c>
      <c r="R52">
        <f>ROUND(F52*Premissas!$D$11+N52*Premissas!$D$31/100,0)+ROUND((E52+B52)*Premissas!$D$10,0)+ROUND(Q52*Premissas!$D$8/100,0)+ROUND(Premissas!$D$35+(B52+C52)*Premissas!$D$36,0)</f>
        <v/>
      </c>
      <c r="S52">
        <f>O52-R52</f>
        <v/>
      </c>
      <c r="T52">
        <f>ROUND(O52*Premissas!$D$9/100,0)</f>
        <v/>
      </c>
      <c r="U52">
        <f>ROUND(AB52*Premissas!$D$33,0)</f>
        <v/>
      </c>
      <c r="V52">
        <f>Premissas!$D$37+ROUND(Premissas!$D$12*Premissas!$D$38+D52*Premissas!$D$27,0)</f>
        <v/>
      </c>
      <c r="W52">
        <f>Premissas!$D$39</f>
        <v/>
      </c>
      <c r="X52">
        <f>S52-T52-ROUND(Premissas!$D$12*Premissas!$D$38+D52*Premissas!$D$27,0)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Premissas!$D$32+(B52+C52)/Premissas!$D$34</f>
        <v/>
      </c>
      <c r="AC52">
        <f>D52+AC40*(1-Premissas!$D$26/12)^12</f>
        <v/>
      </c>
    </row>
    <row r="53">
      <c r="A53" t="n">
        <v>50</v>
      </c>
      <c r="B53">
        <f>B52*(1-Premissas!$D$18/12)+Premissas!$D$12</f>
        <v/>
      </c>
      <c r="C53">
        <f>IF($B$2=1,C52*(1-Premissas!$D$26/12)+D53,0)</f>
        <v/>
      </c>
      <c r="D53">
        <f>IF(AND($B$2=1,A53&gt;=Premissas!$D$23),Premissas!$D$22,0)</f>
        <v/>
      </c>
      <c r="E53">
        <f>B53*Premissas!$D$28</f>
        <v/>
      </c>
      <c r="F53">
        <f>B53*Premissas!$D$13/12*MIN(1,A53/Premissas!$D$17)</f>
        <v/>
      </c>
      <c r="G53">
        <f>F53*Premissas!$D$14</f>
        <v/>
      </c>
      <c r="H53">
        <f>IF(IF(A53-1-Premissas!$D$16&gt;=0,OFFSET($J$4,A53-1-Premissas!$D$16,0),0)&gt;0,ROUND(IF(A53-1-Premissas!$D$16&gt;=0,OFFSET($J$4,A53-1-Premissas!$D$16,0),0)*10000/Premissas!$D$5*Premissas!$D$15,0),0)</f>
        <v/>
      </c>
      <c r="I53">
        <f>ROUND(G53*Premissas!$D$6/10000,0)</f>
        <v/>
      </c>
      <c r="J53">
        <f>ROUND(G53*Premissas!$D$5/10000,0)</f>
        <v/>
      </c>
      <c r="K53">
        <f>IF(IF(A53-1-Premissas!$D$16&gt;=0,OFFSET($A$4,A53-1-Premissas!$D$16,0)&gt;=Premissas!$D$19,FALSE),ROUND(IF(A53-1-Premissas!$D$16&gt;=0,OFFSET($J$4,A53-1-Premissas!$D$16,0),0)*Premissas!$D$15,0),0)</f>
        <v/>
      </c>
      <c r="L53">
        <f>ROUND(C53*Premissas!$D$24/12,0)</f>
        <v/>
      </c>
      <c r="M53">
        <f>ROUND(D53*Premissas!$D$25,0)</f>
        <v/>
      </c>
      <c r="N53">
        <f>ROUND(E53*Premissas!$D$29+B53*Premissas!$D$30,0)</f>
        <v/>
      </c>
      <c r="O53">
        <f>K53+L53+M53+N53</f>
        <v/>
      </c>
      <c r="P53">
        <f>K53+ROUND(AC53*Premissas!$D$24,0)+M53+N53</f>
        <v/>
      </c>
      <c r="Q53">
        <f>ROUND(IF(A53-1-Premissas!$D$21&gt;=0,OFFSET($P$4,A53-1-Premissas!$D$21,0),0)*(1-Premissas!$D$20/100),0)</f>
        <v/>
      </c>
      <c r="R53">
        <f>ROUND(F53*Premissas!$D$11+N53*Premissas!$D$31/100,0)+ROUND((E53+B53)*Premissas!$D$10,0)+ROUND(Q53*Premissas!$D$8/100,0)+ROUND(Premissas!$D$35+(B53+C53)*Premissas!$D$36,0)</f>
        <v/>
      </c>
      <c r="S53">
        <f>O53-R53</f>
        <v/>
      </c>
      <c r="T53">
        <f>ROUND(O53*Premissas!$D$9/100,0)</f>
        <v/>
      </c>
      <c r="U53">
        <f>ROUND(AB53*Premissas!$D$33,0)</f>
        <v/>
      </c>
      <c r="V53">
        <f>Premissas!$D$37+ROUND(Premissas!$D$12*Premissas!$D$38+D53*Premissas!$D$27,0)</f>
        <v/>
      </c>
      <c r="W53">
        <f>Premissas!$D$39</f>
        <v/>
      </c>
      <c r="X53">
        <f>S53-T53-ROUND(Premissas!$D$12*Premissas!$D$38+D53*Premissas!$D$27,0)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Premissas!$D$32+(B53+C53)/Premissas!$D$34</f>
        <v/>
      </c>
      <c r="AC53">
        <f>D53+AC41*(1-Premissas!$D$26/12)^12</f>
        <v/>
      </c>
    </row>
    <row r="54">
      <c r="A54" t="n">
        <v>51</v>
      </c>
      <c r="B54">
        <f>B53*(1-Premissas!$D$18/12)+Premissas!$D$12</f>
        <v/>
      </c>
      <c r="C54">
        <f>IF($B$2=1,C53*(1-Premissas!$D$26/12)+D54,0)</f>
        <v/>
      </c>
      <c r="D54">
        <f>IF(AND($B$2=1,A54&gt;=Premissas!$D$23),Premissas!$D$22,0)</f>
        <v/>
      </c>
      <c r="E54">
        <f>B54*Premissas!$D$28</f>
        <v/>
      </c>
      <c r="F54">
        <f>B54*Premissas!$D$13/12*MIN(1,A54/Premissas!$D$17)</f>
        <v/>
      </c>
      <c r="G54">
        <f>F54*Premissas!$D$14</f>
        <v/>
      </c>
      <c r="H54">
        <f>IF(IF(A54-1-Premissas!$D$16&gt;=0,OFFSET($J$4,A54-1-Premissas!$D$16,0),0)&gt;0,ROUND(IF(A54-1-Premissas!$D$16&gt;=0,OFFSET($J$4,A54-1-Premissas!$D$16,0),0)*10000/Premissas!$D$5*Premissas!$D$15,0),0)</f>
        <v/>
      </c>
      <c r="I54">
        <f>ROUND(G54*Premissas!$D$6/10000,0)</f>
        <v/>
      </c>
      <c r="J54">
        <f>ROUND(G54*Premissas!$D$5/10000,0)</f>
        <v/>
      </c>
      <c r="K54">
        <f>IF(IF(A54-1-Premissas!$D$16&gt;=0,OFFSET($A$4,A54-1-Premissas!$D$16,0)&gt;=Premissas!$D$19,FALSE),ROUND(IF(A54-1-Premissas!$D$16&gt;=0,OFFSET($J$4,A54-1-Premissas!$D$16,0),0)*Premissas!$D$15,0),0)</f>
        <v/>
      </c>
      <c r="L54">
        <f>ROUND(C54*Premissas!$D$24/12,0)</f>
        <v/>
      </c>
      <c r="M54">
        <f>ROUND(D54*Premissas!$D$25,0)</f>
        <v/>
      </c>
      <c r="N54">
        <f>ROUND(E54*Premissas!$D$29+B54*Premissas!$D$30,0)</f>
        <v/>
      </c>
      <c r="O54">
        <f>K54+L54+M54+N54</f>
        <v/>
      </c>
      <c r="P54">
        <f>K54+ROUND(AC54*Premissas!$D$24,0)+M54+N54</f>
        <v/>
      </c>
      <c r="Q54">
        <f>ROUND(IF(A54-1-Premissas!$D$21&gt;=0,OFFSET($P$4,A54-1-Premissas!$D$21,0),0)*(1-Premissas!$D$20/100),0)</f>
        <v/>
      </c>
      <c r="R54">
        <f>ROUND(F54*Premissas!$D$11+N54*Premissas!$D$31/100,0)+ROUND((E54+B54)*Premissas!$D$10,0)+ROUND(Q54*Premissas!$D$8/100,0)+ROUND(Premissas!$D$35+(B54+C54)*Premissas!$D$36,0)</f>
        <v/>
      </c>
      <c r="S54">
        <f>O54-R54</f>
        <v/>
      </c>
      <c r="T54">
        <f>ROUND(O54*Premissas!$D$9/100,0)</f>
        <v/>
      </c>
      <c r="U54">
        <f>ROUND(AB54*Premissas!$D$33,0)</f>
        <v/>
      </c>
      <c r="V54">
        <f>Premissas!$D$37+ROUND(Premissas!$D$12*Premissas!$D$38+D54*Premissas!$D$27,0)</f>
        <v/>
      </c>
      <c r="W54">
        <f>Premissas!$D$39</f>
        <v/>
      </c>
      <c r="X54">
        <f>S54-T54-ROUND(Premissas!$D$12*Premissas!$D$38+D54*Premissas!$D$27,0)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Premissas!$D$32+(B54+C54)/Premissas!$D$34</f>
        <v/>
      </c>
      <c r="AC54">
        <f>D54+AC42*(1-Premissas!$D$26/12)^12</f>
        <v/>
      </c>
    </row>
    <row r="55">
      <c r="A55" t="n">
        <v>52</v>
      </c>
      <c r="B55">
        <f>B54*(1-Premissas!$D$18/12)+Premissas!$D$12</f>
        <v/>
      </c>
      <c r="C55">
        <f>IF($B$2=1,C54*(1-Premissas!$D$26/12)+D55,0)</f>
        <v/>
      </c>
      <c r="D55">
        <f>IF(AND($B$2=1,A55&gt;=Premissas!$D$23),Premissas!$D$22,0)</f>
        <v/>
      </c>
      <c r="E55">
        <f>B55*Premissas!$D$28</f>
        <v/>
      </c>
      <c r="F55">
        <f>B55*Premissas!$D$13/12*MIN(1,A55/Premissas!$D$17)</f>
        <v/>
      </c>
      <c r="G55">
        <f>F55*Premissas!$D$14</f>
        <v/>
      </c>
      <c r="H55">
        <f>IF(IF(A55-1-Premissas!$D$16&gt;=0,OFFSET($J$4,A55-1-Premissas!$D$16,0),0)&gt;0,ROUND(IF(A55-1-Premissas!$D$16&gt;=0,OFFSET($J$4,A55-1-Premissas!$D$16,0),0)*10000/Premissas!$D$5*Premissas!$D$15,0),0)</f>
        <v/>
      </c>
      <c r="I55">
        <f>ROUND(G55*Premissas!$D$6/10000,0)</f>
        <v/>
      </c>
      <c r="J55">
        <f>ROUND(G55*Premissas!$D$5/10000,0)</f>
        <v/>
      </c>
      <c r="K55">
        <f>IF(IF(A55-1-Premissas!$D$16&gt;=0,OFFSET($A$4,A55-1-Premissas!$D$16,0)&gt;=Premissas!$D$19,FALSE),ROUND(IF(A55-1-Premissas!$D$16&gt;=0,OFFSET($J$4,A55-1-Premissas!$D$16,0),0)*Premissas!$D$15,0),0)</f>
        <v/>
      </c>
      <c r="L55">
        <f>ROUND(C55*Premissas!$D$24/12,0)</f>
        <v/>
      </c>
      <c r="M55">
        <f>ROUND(D55*Premissas!$D$25,0)</f>
        <v/>
      </c>
      <c r="N55">
        <f>ROUND(E55*Premissas!$D$29+B55*Premissas!$D$30,0)</f>
        <v/>
      </c>
      <c r="O55">
        <f>K55+L55+M55+N55</f>
        <v/>
      </c>
      <c r="P55">
        <f>K55+ROUND(AC55*Premissas!$D$24,0)+M55+N55</f>
        <v/>
      </c>
      <c r="Q55">
        <f>ROUND(IF(A55-1-Premissas!$D$21&gt;=0,OFFSET($P$4,A55-1-Premissas!$D$21,0),0)*(1-Premissas!$D$20/100),0)</f>
        <v/>
      </c>
      <c r="R55">
        <f>ROUND(F55*Premissas!$D$11+N55*Premissas!$D$31/100,0)+ROUND((E55+B55)*Premissas!$D$10,0)+ROUND(Q55*Premissas!$D$8/100,0)+ROUND(Premissas!$D$35+(B55+C55)*Premissas!$D$36,0)</f>
        <v/>
      </c>
      <c r="S55">
        <f>O55-R55</f>
        <v/>
      </c>
      <c r="T55">
        <f>ROUND(O55*Premissas!$D$9/100,0)</f>
        <v/>
      </c>
      <c r="U55">
        <f>ROUND(AB55*Premissas!$D$33,0)</f>
        <v/>
      </c>
      <c r="V55">
        <f>Premissas!$D$37+ROUND(Premissas!$D$12*Premissas!$D$38+D55*Premissas!$D$27,0)</f>
        <v/>
      </c>
      <c r="W55">
        <f>Premissas!$D$39</f>
        <v/>
      </c>
      <c r="X55">
        <f>S55-T55-ROUND(Premissas!$D$12*Premissas!$D$38+D55*Premissas!$D$27,0)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Premissas!$D$32+(B55+C55)/Premissas!$D$34</f>
        <v/>
      </c>
      <c r="AC55">
        <f>D55+AC43*(1-Premissas!$D$26/12)^12</f>
        <v/>
      </c>
    </row>
    <row r="56">
      <c r="A56" t="n">
        <v>53</v>
      </c>
      <c r="B56">
        <f>B55*(1-Premissas!$D$18/12)+Premissas!$D$12</f>
        <v/>
      </c>
      <c r="C56">
        <f>IF($B$2=1,C55*(1-Premissas!$D$26/12)+D56,0)</f>
        <v/>
      </c>
      <c r="D56">
        <f>IF(AND($B$2=1,A56&gt;=Premissas!$D$23),Premissas!$D$22,0)</f>
        <v/>
      </c>
      <c r="E56">
        <f>B56*Premissas!$D$28</f>
        <v/>
      </c>
      <c r="F56">
        <f>B56*Premissas!$D$13/12*MIN(1,A56/Premissas!$D$17)</f>
        <v/>
      </c>
      <c r="G56">
        <f>F56*Premissas!$D$14</f>
        <v/>
      </c>
      <c r="H56">
        <f>IF(IF(A56-1-Premissas!$D$16&gt;=0,OFFSET($J$4,A56-1-Premissas!$D$16,0),0)&gt;0,ROUND(IF(A56-1-Premissas!$D$16&gt;=0,OFFSET($J$4,A56-1-Premissas!$D$16,0),0)*10000/Premissas!$D$5*Premissas!$D$15,0),0)</f>
        <v/>
      </c>
      <c r="I56">
        <f>ROUND(G56*Premissas!$D$6/10000,0)</f>
        <v/>
      </c>
      <c r="J56">
        <f>ROUND(G56*Premissas!$D$5/10000,0)</f>
        <v/>
      </c>
      <c r="K56">
        <f>IF(IF(A56-1-Premissas!$D$16&gt;=0,OFFSET($A$4,A56-1-Premissas!$D$16,0)&gt;=Premissas!$D$19,FALSE),ROUND(IF(A56-1-Premissas!$D$16&gt;=0,OFFSET($J$4,A56-1-Premissas!$D$16,0),0)*Premissas!$D$15,0),0)</f>
        <v/>
      </c>
      <c r="L56">
        <f>ROUND(C56*Premissas!$D$24/12,0)</f>
        <v/>
      </c>
      <c r="M56">
        <f>ROUND(D56*Premissas!$D$25,0)</f>
        <v/>
      </c>
      <c r="N56">
        <f>ROUND(E56*Premissas!$D$29+B56*Premissas!$D$30,0)</f>
        <v/>
      </c>
      <c r="O56">
        <f>K56+L56+M56+N56</f>
        <v/>
      </c>
      <c r="P56">
        <f>K56+ROUND(AC56*Premissas!$D$24,0)+M56+N56</f>
        <v/>
      </c>
      <c r="Q56">
        <f>ROUND(IF(A56-1-Premissas!$D$21&gt;=0,OFFSET($P$4,A56-1-Premissas!$D$21,0),0)*(1-Premissas!$D$20/100),0)</f>
        <v/>
      </c>
      <c r="R56">
        <f>ROUND(F56*Premissas!$D$11+N56*Premissas!$D$31/100,0)+ROUND((E56+B56)*Premissas!$D$10,0)+ROUND(Q56*Premissas!$D$8/100,0)+ROUND(Premissas!$D$35+(B56+C56)*Premissas!$D$36,0)</f>
        <v/>
      </c>
      <c r="S56">
        <f>O56-R56</f>
        <v/>
      </c>
      <c r="T56">
        <f>ROUND(O56*Premissas!$D$9/100,0)</f>
        <v/>
      </c>
      <c r="U56">
        <f>ROUND(AB56*Premissas!$D$33,0)</f>
        <v/>
      </c>
      <c r="V56">
        <f>Premissas!$D$37+ROUND(Premissas!$D$12*Premissas!$D$38+D56*Premissas!$D$27,0)</f>
        <v/>
      </c>
      <c r="W56">
        <f>Premissas!$D$39</f>
        <v/>
      </c>
      <c r="X56">
        <f>S56-T56-ROUND(Premissas!$D$12*Premissas!$D$38+D56*Premissas!$D$27,0)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Premissas!$D$32+(B56+C56)/Premissas!$D$34</f>
        <v/>
      </c>
      <c r="AC56">
        <f>D56+AC44*(1-Premissas!$D$26/12)^12</f>
        <v/>
      </c>
    </row>
    <row r="57">
      <c r="A57" t="n">
        <v>54</v>
      </c>
      <c r="B57">
        <f>B56*(1-Premissas!$D$18/12)+Premissas!$D$12</f>
        <v/>
      </c>
      <c r="C57">
        <f>IF($B$2=1,C56*(1-Premissas!$D$26/12)+D57,0)</f>
        <v/>
      </c>
      <c r="D57">
        <f>IF(AND($B$2=1,A57&gt;=Premissas!$D$23),Premissas!$D$22,0)</f>
        <v/>
      </c>
      <c r="E57">
        <f>B57*Premissas!$D$28</f>
        <v/>
      </c>
      <c r="F57">
        <f>B57*Premissas!$D$13/12*MIN(1,A57/Premissas!$D$17)</f>
        <v/>
      </c>
      <c r="G57">
        <f>F57*Premissas!$D$14</f>
        <v/>
      </c>
      <c r="H57">
        <f>IF(IF(A57-1-Premissas!$D$16&gt;=0,OFFSET($J$4,A57-1-Premissas!$D$16,0),0)&gt;0,ROUND(IF(A57-1-Premissas!$D$16&gt;=0,OFFSET($J$4,A57-1-Premissas!$D$16,0),0)*10000/Premissas!$D$5*Premissas!$D$15,0),0)</f>
        <v/>
      </c>
      <c r="I57">
        <f>ROUND(G57*Premissas!$D$6/10000,0)</f>
        <v/>
      </c>
      <c r="J57">
        <f>ROUND(G57*Premissas!$D$5/10000,0)</f>
        <v/>
      </c>
      <c r="K57">
        <f>IF(IF(A57-1-Premissas!$D$16&gt;=0,OFFSET($A$4,A57-1-Premissas!$D$16,0)&gt;=Premissas!$D$19,FALSE),ROUND(IF(A57-1-Premissas!$D$16&gt;=0,OFFSET($J$4,A57-1-Premissas!$D$16,0),0)*Premissas!$D$15,0),0)</f>
        <v/>
      </c>
      <c r="L57">
        <f>ROUND(C57*Premissas!$D$24/12,0)</f>
        <v/>
      </c>
      <c r="M57">
        <f>ROUND(D57*Premissas!$D$25,0)</f>
        <v/>
      </c>
      <c r="N57">
        <f>ROUND(E57*Premissas!$D$29+B57*Premissas!$D$30,0)</f>
        <v/>
      </c>
      <c r="O57">
        <f>K57+L57+M57+N57</f>
        <v/>
      </c>
      <c r="P57">
        <f>K57+ROUND(AC57*Premissas!$D$24,0)+M57+N57</f>
        <v/>
      </c>
      <c r="Q57">
        <f>ROUND(IF(A57-1-Premissas!$D$21&gt;=0,OFFSET($P$4,A57-1-Premissas!$D$21,0),0)*(1-Premissas!$D$20/100),0)</f>
        <v/>
      </c>
      <c r="R57">
        <f>ROUND(F57*Premissas!$D$11+N57*Premissas!$D$31/100,0)+ROUND((E57+B57)*Premissas!$D$10,0)+ROUND(Q57*Premissas!$D$8/100,0)+ROUND(Premissas!$D$35+(B57+C57)*Premissas!$D$36,0)</f>
        <v/>
      </c>
      <c r="S57">
        <f>O57-R57</f>
        <v/>
      </c>
      <c r="T57">
        <f>ROUND(O57*Premissas!$D$9/100,0)</f>
        <v/>
      </c>
      <c r="U57">
        <f>ROUND(AB57*Premissas!$D$33,0)</f>
        <v/>
      </c>
      <c r="V57">
        <f>Premissas!$D$37+ROUND(Premissas!$D$12*Premissas!$D$38+D57*Premissas!$D$27,0)</f>
        <v/>
      </c>
      <c r="W57">
        <f>Premissas!$D$39</f>
        <v/>
      </c>
      <c r="X57">
        <f>S57-T57-ROUND(Premissas!$D$12*Premissas!$D$38+D57*Premissas!$D$27,0)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Premissas!$D$32+(B57+C57)/Premissas!$D$34</f>
        <v/>
      </c>
      <c r="AC57">
        <f>D57+AC45*(1-Premissas!$D$26/12)^12</f>
        <v/>
      </c>
    </row>
    <row r="58">
      <c r="A58" t="n">
        <v>55</v>
      </c>
      <c r="B58">
        <f>B57*(1-Premissas!$D$18/12)+Premissas!$D$12</f>
        <v/>
      </c>
      <c r="C58">
        <f>IF($B$2=1,C57*(1-Premissas!$D$26/12)+D58,0)</f>
        <v/>
      </c>
      <c r="D58">
        <f>IF(AND($B$2=1,A58&gt;=Premissas!$D$23),Premissas!$D$22,0)</f>
        <v/>
      </c>
      <c r="E58">
        <f>B58*Premissas!$D$28</f>
        <v/>
      </c>
      <c r="F58">
        <f>B58*Premissas!$D$13/12*MIN(1,A58/Premissas!$D$17)</f>
        <v/>
      </c>
      <c r="G58">
        <f>F58*Premissas!$D$14</f>
        <v/>
      </c>
      <c r="H58">
        <f>IF(IF(A58-1-Premissas!$D$16&gt;=0,OFFSET($J$4,A58-1-Premissas!$D$16,0),0)&gt;0,ROUND(IF(A58-1-Premissas!$D$16&gt;=0,OFFSET($J$4,A58-1-Premissas!$D$16,0),0)*10000/Premissas!$D$5*Premissas!$D$15,0),0)</f>
        <v/>
      </c>
      <c r="I58">
        <f>ROUND(G58*Premissas!$D$6/10000,0)</f>
        <v/>
      </c>
      <c r="J58">
        <f>ROUND(G58*Premissas!$D$5/10000,0)</f>
        <v/>
      </c>
      <c r="K58">
        <f>IF(IF(A58-1-Premissas!$D$16&gt;=0,OFFSET($A$4,A58-1-Premissas!$D$16,0)&gt;=Premissas!$D$19,FALSE),ROUND(IF(A58-1-Premissas!$D$16&gt;=0,OFFSET($J$4,A58-1-Premissas!$D$16,0),0)*Premissas!$D$15,0),0)</f>
        <v/>
      </c>
      <c r="L58">
        <f>ROUND(C58*Premissas!$D$24/12,0)</f>
        <v/>
      </c>
      <c r="M58">
        <f>ROUND(D58*Premissas!$D$25,0)</f>
        <v/>
      </c>
      <c r="N58">
        <f>ROUND(E58*Premissas!$D$29+B58*Premissas!$D$30,0)</f>
        <v/>
      </c>
      <c r="O58">
        <f>K58+L58+M58+N58</f>
        <v/>
      </c>
      <c r="P58">
        <f>K58+ROUND(AC58*Premissas!$D$24,0)+M58+N58</f>
        <v/>
      </c>
      <c r="Q58">
        <f>ROUND(IF(A58-1-Premissas!$D$21&gt;=0,OFFSET($P$4,A58-1-Premissas!$D$21,0),0)*(1-Premissas!$D$20/100),0)</f>
        <v/>
      </c>
      <c r="R58">
        <f>ROUND(F58*Premissas!$D$11+N58*Premissas!$D$31/100,0)+ROUND((E58+B58)*Premissas!$D$10,0)+ROUND(Q58*Premissas!$D$8/100,0)+ROUND(Premissas!$D$35+(B58+C58)*Premissas!$D$36,0)</f>
        <v/>
      </c>
      <c r="S58">
        <f>O58-R58</f>
        <v/>
      </c>
      <c r="T58">
        <f>ROUND(O58*Premissas!$D$9/100,0)</f>
        <v/>
      </c>
      <c r="U58">
        <f>ROUND(AB58*Premissas!$D$33,0)</f>
        <v/>
      </c>
      <c r="V58">
        <f>Premissas!$D$37+ROUND(Premissas!$D$12*Premissas!$D$38+D58*Premissas!$D$27,0)</f>
        <v/>
      </c>
      <c r="W58">
        <f>Premissas!$D$39</f>
        <v/>
      </c>
      <c r="X58">
        <f>S58-T58-ROUND(Premissas!$D$12*Premissas!$D$38+D58*Premissas!$D$27,0)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Premissas!$D$32+(B58+C58)/Premissas!$D$34</f>
        <v/>
      </c>
      <c r="AC58">
        <f>D58+AC46*(1-Premissas!$D$26/12)^12</f>
        <v/>
      </c>
    </row>
    <row r="59">
      <c r="A59" t="n">
        <v>56</v>
      </c>
      <c r="B59">
        <f>B58*(1-Premissas!$D$18/12)+Premissas!$D$12</f>
        <v/>
      </c>
      <c r="C59">
        <f>IF($B$2=1,C58*(1-Premissas!$D$26/12)+D59,0)</f>
        <v/>
      </c>
      <c r="D59">
        <f>IF(AND($B$2=1,A59&gt;=Premissas!$D$23),Premissas!$D$22,0)</f>
        <v/>
      </c>
      <c r="E59">
        <f>B59*Premissas!$D$28</f>
        <v/>
      </c>
      <c r="F59">
        <f>B59*Premissas!$D$13/12*MIN(1,A59/Premissas!$D$17)</f>
        <v/>
      </c>
      <c r="G59">
        <f>F59*Premissas!$D$14</f>
        <v/>
      </c>
      <c r="H59">
        <f>IF(IF(A59-1-Premissas!$D$16&gt;=0,OFFSET($J$4,A59-1-Premissas!$D$16,0),0)&gt;0,ROUND(IF(A59-1-Premissas!$D$16&gt;=0,OFFSET($J$4,A59-1-Premissas!$D$16,0),0)*10000/Premissas!$D$5*Premissas!$D$15,0),0)</f>
        <v/>
      </c>
      <c r="I59">
        <f>ROUND(G59*Premissas!$D$6/10000,0)</f>
        <v/>
      </c>
      <c r="J59">
        <f>ROUND(G59*Premissas!$D$5/10000,0)</f>
        <v/>
      </c>
      <c r="K59">
        <f>IF(IF(A59-1-Premissas!$D$16&gt;=0,OFFSET($A$4,A59-1-Premissas!$D$16,0)&gt;=Premissas!$D$19,FALSE),ROUND(IF(A59-1-Premissas!$D$16&gt;=0,OFFSET($J$4,A59-1-Premissas!$D$16,0),0)*Premissas!$D$15,0),0)</f>
        <v/>
      </c>
      <c r="L59">
        <f>ROUND(C59*Premissas!$D$24/12,0)</f>
        <v/>
      </c>
      <c r="M59">
        <f>ROUND(D59*Premissas!$D$25,0)</f>
        <v/>
      </c>
      <c r="N59">
        <f>ROUND(E59*Premissas!$D$29+B59*Premissas!$D$30,0)</f>
        <v/>
      </c>
      <c r="O59">
        <f>K59+L59+M59+N59</f>
        <v/>
      </c>
      <c r="P59">
        <f>K59+ROUND(AC59*Premissas!$D$24,0)+M59+N59</f>
        <v/>
      </c>
      <c r="Q59">
        <f>ROUND(IF(A59-1-Premissas!$D$21&gt;=0,OFFSET($P$4,A59-1-Premissas!$D$21,0),0)*(1-Premissas!$D$20/100),0)</f>
        <v/>
      </c>
      <c r="R59">
        <f>ROUND(F59*Premissas!$D$11+N59*Premissas!$D$31/100,0)+ROUND((E59+B59)*Premissas!$D$10,0)+ROUND(Q59*Premissas!$D$8/100,0)+ROUND(Premissas!$D$35+(B59+C59)*Premissas!$D$36,0)</f>
        <v/>
      </c>
      <c r="S59">
        <f>O59-R59</f>
        <v/>
      </c>
      <c r="T59">
        <f>ROUND(O59*Premissas!$D$9/100,0)</f>
        <v/>
      </c>
      <c r="U59">
        <f>ROUND(AB59*Premissas!$D$33,0)</f>
        <v/>
      </c>
      <c r="V59">
        <f>Premissas!$D$37+ROUND(Premissas!$D$12*Premissas!$D$38+D59*Premissas!$D$27,0)</f>
        <v/>
      </c>
      <c r="W59">
        <f>Premissas!$D$39</f>
        <v/>
      </c>
      <c r="X59">
        <f>S59-T59-ROUND(Premissas!$D$12*Premissas!$D$38+D59*Premissas!$D$27,0)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Premissas!$D$32+(B59+C59)/Premissas!$D$34</f>
        <v/>
      </c>
      <c r="AC59">
        <f>D59+AC47*(1-Premissas!$D$26/12)^12</f>
        <v/>
      </c>
    </row>
    <row r="60">
      <c r="A60" t="n">
        <v>57</v>
      </c>
      <c r="B60">
        <f>B59*(1-Premissas!$D$18/12)+Premissas!$D$12</f>
        <v/>
      </c>
      <c r="C60">
        <f>IF($B$2=1,C59*(1-Premissas!$D$26/12)+D60,0)</f>
        <v/>
      </c>
      <c r="D60">
        <f>IF(AND($B$2=1,A60&gt;=Premissas!$D$23),Premissas!$D$22,0)</f>
        <v/>
      </c>
      <c r="E60">
        <f>B60*Premissas!$D$28</f>
        <v/>
      </c>
      <c r="F60">
        <f>B60*Premissas!$D$13/12*MIN(1,A60/Premissas!$D$17)</f>
        <v/>
      </c>
      <c r="G60">
        <f>F60*Premissas!$D$14</f>
        <v/>
      </c>
      <c r="H60">
        <f>IF(IF(A60-1-Premissas!$D$16&gt;=0,OFFSET($J$4,A60-1-Premissas!$D$16,0),0)&gt;0,ROUND(IF(A60-1-Premissas!$D$16&gt;=0,OFFSET($J$4,A60-1-Premissas!$D$16,0),0)*10000/Premissas!$D$5*Premissas!$D$15,0),0)</f>
        <v/>
      </c>
      <c r="I60">
        <f>ROUND(G60*Premissas!$D$6/10000,0)</f>
        <v/>
      </c>
      <c r="J60">
        <f>ROUND(G60*Premissas!$D$5/10000,0)</f>
        <v/>
      </c>
      <c r="K60">
        <f>IF(IF(A60-1-Premissas!$D$16&gt;=0,OFFSET($A$4,A60-1-Premissas!$D$16,0)&gt;=Premissas!$D$19,FALSE),ROUND(IF(A60-1-Premissas!$D$16&gt;=0,OFFSET($J$4,A60-1-Premissas!$D$16,0),0)*Premissas!$D$15,0),0)</f>
        <v/>
      </c>
      <c r="L60">
        <f>ROUND(C60*Premissas!$D$24/12,0)</f>
        <v/>
      </c>
      <c r="M60">
        <f>ROUND(D60*Premissas!$D$25,0)</f>
        <v/>
      </c>
      <c r="N60">
        <f>ROUND(E60*Premissas!$D$29+B60*Premissas!$D$30,0)</f>
        <v/>
      </c>
      <c r="O60">
        <f>K60+L60+M60+N60</f>
        <v/>
      </c>
      <c r="P60">
        <f>K60+ROUND(AC60*Premissas!$D$24,0)+M60+N60</f>
        <v/>
      </c>
      <c r="Q60">
        <f>ROUND(IF(A60-1-Premissas!$D$21&gt;=0,OFFSET($P$4,A60-1-Premissas!$D$21,0),0)*(1-Premissas!$D$20/100),0)</f>
        <v/>
      </c>
      <c r="R60">
        <f>ROUND(F60*Premissas!$D$11+N60*Premissas!$D$31/100,0)+ROUND((E60+B60)*Premissas!$D$10,0)+ROUND(Q60*Premissas!$D$8/100,0)+ROUND(Premissas!$D$35+(B60+C60)*Premissas!$D$36,0)</f>
        <v/>
      </c>
      <c r="S60">
        <f>O60-R60</f>
        <v/>
      </c>
      <c r="T60">
        <f>ROUND(O60*Premissas!$D$9/100,0)</f>
        <v/>
      </c>
      <c r="U60">
        <f>ROUND(AB60*Premissas!$D$33,0)</f>
        <v/>
      </c>
      <c r="V60">
        <f>Premissas!$D$37+ROUND(Premissas!$D$12*Premissas!$D$38+D60*Premissas!$D$27,0)</f>
        <v/>
      </c>
      <c r="W60">
        <f>Premissas!$D$39</f>
        <v/>
      </c>
      <c r="X60">
        <f>S60-T60-ROUND(Premissas!$D$12*Premissas!$D$38+D60*Premissas!$D$27,0)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Premissas!$D$32+(B60+C60)/Premissas!$D$34</f>
        <v/>
      </c>
      <c r="AC60">
        <f>D60+AC48*(1-Premissas!$D$26/12)^12</f>
        <v/>
      </c>
    </row>
    <row r="61">
      <c r="A61" t="n">
        <v>58</v>
      </c>
      <c r="B61">
        <f>B60*(1-Premissas!$D$18/12)+Premissas!$D$12</f>
        <v/>
      </c>
      <c r="C61">
        <f>IF($B$2=1,C60*(1-Premissas!$D$26/12)+D61,0)</f>
        <v/>
      </c>
      <c r="D61">
        <f>IF(AND($B$2=1,A61&gt;=Premissas!$D$23),Premissas!$D$22,0)</f>
        <v/>
      </c>
      <c r="E61">
        <f>B61*Premissas!$D$28</f>
        <v/>
      </c>
      <c r="F61">
        <f>B61*Premissas!$D$13/12*MIN(1,A61/Premissas!$D$17)</f>
        <v/>
      </c>
      <c r="G61">
        <f>F61*Premissas!$D$14</f>
        <v/>
      </c>
      <c r="H61">
        <f>IF(IF(A61-1-Premissas!$D$16&gt;=0,OFFSET($J$4,A61-1-Premissas!$D$16,0),0)&gt;0,ROUND(IF(A61-1-Premissas!$D$16&gt;=0,OFFSET($J$4,A61-1-Premissas!$D$16,0),0)*10000/Premissas!$D$5*Premissas!$D$15,0),0)</f>
        <v/>
      </c>
      <c r="I61">
        <f>ROUND(G61*Premissas!$D$6/10000,0)</f>
        <v/>
      </c>
      <c r="J61">
        <f>ROUND(G61*Premissas!$D$5/10000,0)</f>
        <v/>
      </c>
      <c r="K61">
        <f>IF(IF(A61-1-Premissas!$D$16&gt;=0,OFFSET($A$4,A61-1-Premissas!$D$16,0)&gt;=Premissas!$D$19,FALSE),ROUND(IF(A61-1-Premissas!$D$16&gt;=0,OFFSET($J$4,A61-1-Premissas!$D$16,0),0)*Premissas!$D$15,0),0)</f>
        <v/>
      </c>
      <c r="L61">
        <f>ROUND(C61*Premissas!$D$24/12,0)</f>
        <v/>
      </c>
      <c r="M61">
        <f>ROUND(D61*Premissas!$D$25,0)</f>
        <v/>
      </c>
      <c r="N61">
        <f>ROUND(E61*Premissas!$D$29+B61*Premissas!$D$30,0)</f>
        <v/>
      </c>
      <c r="O61">
        <f>K61+L61+M61+N61</f>
        <v/>
      </c>
      <c r="P61">
        <f>K61+ROUND(AC61*Premissas!$D$24,0)+M61+N61</f>
        <v/>
      </c>
      <c r="Q61">
        <f>ROUND(IF(A61-1-Premissas!$D$21&gt;=0,OFFSET($P$4,A61-1-Premissas!$D$21,0),0)*(1-Premissas!$D$20/100),0)</f>
        <v/>
      </c>
      <c r="R61">
        <f>ROUND(F61*Premissas!$D$11+N61*Premissas!$D$31/100,0)+ROUND((E61+B61)*Premissas!$D$10,0)+ROUND(Q61*Premissas!$D$8/100,0)+ROUND(Premissas!$D$35+(B61+C61)*Premissas!$D$36,0)</f>
        <v/>
      </c>
      <c r="S61">
        <f>O61-R61</f>
        <v/>
      </c>
      <c r="T61">
        <f>ROUND(O61*Premissas!$D$9/100,0)</f>
        <v/>
      </c>
      <c r="U61">
        <f>ROUND(AB61*Premissas!$D$33,0)</f>
        <v/>
      </c>
      <c r="V61">
        <f>Premissas!$D$37+ROUND(Premissas!$D$12*Premissas!$D$38+D61*Premissas!$D$27,0)</f>
        <v/>
      </c>
      <c r="W61">
        <f>Premissas!$D$39</f>
        <v/>
      </c>
      <c r="X61">
        <f>S61-T61-ROUND(Premissas!$D$12*Premissas!$D$38+D61*Premissas!$D$27,0)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Premissas!$D$32+(B61+C61)/Premissas!$D$34</f>
        <v/>
      </c>
      <c r="AC61">
        <f>D61+AC49*(1-Premissas!$D$26/12)^12</f>
        <v/>
      </c>
    </row>
    <row r="62">
      <c r="A62" t="n">
        <v>59</v>
      </c>
      <c r="B62">
        <f>B61*(1-Premissas!$D$18/12)+Premissas!$D$12</f>
        <v/>
      </c>
      <c r="C62">
        <f>IF($B$2=1,C61*(1-Premissas!$D$26/12)+D62,0)</f>
        <v/>
      </c>
      <c r="D62">
        <f>IF(AND($B$2=1,A62&gt;=Premissas!$D$23),Premissas!$D$22,0)</f>
        <v/>
      </c>
      <c r="E62">
        <f>B62*Premissas!$D$28</f>
        <v/>
      </c>
      <c r="F62">
        <f>B62*Premissas!$D$13/12*MIN(1,A62/Premissas!$D$17)</f>
        <v/>
      </c>
      <c r="G62">
        <f>F62*Premissas!$D$14</f>
        <v/>
      </c>
      <c r="H62">
        <f>IF(IF(A62-1-Premissas!$D$16&gt;=0,OFFSET($J$4,A62-1-Premissas!$D$16,0),0)&gt;0,ROUND(IF(A62-1-Premissas!$D$16&gt;=0,OFFSET($J$4,A62-1-Premissas!$D$16,0),0)*10000/Premissas!$D$5*Premissas!$D$15,0),0)</f>
        <v/>
      </c>
      <c r="I62">
        <f>ROUND(G62*Premissas!$D$6/10000,0)</f>
        <v/>
      </c>
      <c r="J62">
        <f>ROUND(G62*Premissas!$D$5/10000,0)</f>
        <v/>
      </c>
      <c r="K62">
        <f>IF(IF(A62-1-Premissas!$D$16&gt;=0,OFFSET($A$4,A62-1-Premissas!$D$16,0)&gt;=Premissas!$D$19,FALSE),ROUND(IF(A62-1-Premissas!$D$16&gt;=0,OFFSET($J$4,A62-1-Premissas!$D$16,0),0)*Premissas!$D$15,0),0)</f>
        <v/>
      </c>
      <c r="L62">
        <f>ROUND(C62*Premissas!$D$24/12,0)</f>
        <v/>
      </c>
      <c r="M62">
        <f>ROUND(D62*Premissas!$D$25,0)</f>
        <v/>
      </c>
      <c r="N62">
        <f>ROUND(E62*Premissas!$D$29+B62*Premissas!$D$30,0)</f>
        <v/>
      </c>
      <c r="O62">
        <f>K62+L62+M62+N62</f>
        <v/>
      </c>
      <c r="P62">
        <f>K62+ROUND(AC62*Premissas!$D$24,0)+M62+N62</f>
        <v/>
      </c>
      <c r="Q62">
        <f>ROUND(IF(A62-1-Premissas!$D$21&gt;=0,OFFSET($P$4,A62-1-Premissas!$D$21,0),0)*(1-Premissas!$D$20/100),0)</f>
        <v/>
      </c>
      <c r="R62">
        <f>ROUND(F62*Premissas!$D$11+N62*Premissas!$D$31/100,0)+ROUND((E62+B62)*Premissas!$D$10,0)+ROUND(Q62*Premissas!$D$8/100,0)+ROUND(Premissas!$D$35+(B62+C62)*Premissas!$D$36,0)</f>
        <v/>
      </c>
      <c r="S62">
        <f>O62-R62</f>
        <v/>
      </c>
      <c r="T62">
        <f>ROUND(O62*Premissas!$D$9/100,0)</f>
        <v/>
      </c>
      <c r="U62">
        <f>ROUND(AB62*Premissas!$D$33,0)</f>
        <v/>
      </c>
      <c r="V62">
        <f>Premissas!$D$37+ROUND(Premissas!$D$12*Premissas!$D$38+D62*Premissas!$D$27,0)</f>
        <v/>
      </c>
      <c r="W62">
        <f>Premissas!$D$39</f>
        <v/>
      </c>
      <c r="X62">
        <f>S62-T62-ROUND(Premissas!$D$12*Premissas!$D$38+D62*Premissas!$D$27,0)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Premissas!$D$32+(B62+C62)/Premissas!$D$34</f>
        <v/>
      </c>
      <c r="AC62">
        <f>D62+AC50*(1-Premissas!$D$26/12)^12</f>
        <v/>
      </c>
    </row>
    <row r="63">
      <c r="A63" t="n">
        <v>60</v>
      </c>
      <c r="B63">
        <f>B62*(1-Premissas!$D$18/12)+Premissas!$D$12</f>
        <v/>
      </c>
      <c r="C63">
        <f>IF($B$2=1,C62*(1-Premissas!$D$26/12)+D63,0)</f>
        <v/>
      </c>
      <c r="D63">
        <f>IF(AND($B$2=1,A63&gt;=Premissas!$D$23),Premissas!$D$22,0)</f>
        <v/>
      </c>
      <c r="E63">
        <f>B63*Premissas!$D$28</f>
        <v/>
      </c>
      <c r="F63">
        <f>B63*Premissas!$D$13/12*MIN(1,A63/Premissas!$D$17)</f>
        <v/>
      </c>
      <c r="G63">
        <f>F63*Premissas!$D$14</f>
        <v/>
      </c>
      <c r="H63">
        <f>IF(IF(A63-1-Premissas!$D$16&gt;=0,OFFSET($J$4,A63-1-Premissas!$D$16,0),0)&gt;0,ROUND(IF(A63-1-Premissas!$D$16&gt;=0,OFFSET($J$4,A63-1-Premissas!$D$16,0),0)*10000/Premissas!$D$5*Premissas!$D$15,0),0)</f>
        <v/>
      </c>
      <c r="I63">
        <f>ROUND(G63*Premissas!$D$6/10000,0)</f>
        <v/>
      </c>
      <c r="J63">
        <f>ROUND(G63*Premissas!$D$5/10000,0)</f>
        <v/>
      </c>
      <c r="K63">
        <f>IF(IF(A63-1-Premissas!$D$16&gt;=0,OFFSET($A$4,A63-1-Premissas!$D$16,0)&gt;=Premissas!$D$19,FALSE),ROUND(IF(A63-1-Premissas!$D$16&gt;=0,OFFSET($J$4,A63-1-Premissas!$D$16,0),0)*Premissas!$D$15,0),0)</f>
        <v/>
      </c>
      <c r="L63">
        <f>ROUND(C63*Premissas!$D$24/12,0)</f>
        <v/>
      </c>
      <c r="M63">
        <f>ROUND(D63*Premissas!$D$25,0)</f>
        <v/>
      </c>
      <c r="N63">
        <f>ROUND(E63*Premissas!$D$29+B63*Premissas!$D$30,0)</f>
        <v/>
      </c>
      <c r="O63">
        <f>K63+L63+M63+N63</f>
        <v/>
      </c>
      <c r="P63">
        <f>K63+ROUND(AC63*Premissas!$D$24,0)+M63+N63</f>
        <v/>
      </c>
      <c r="Q63">
        <f>ROUND(IF(A63-1-Premissas!$D$21&gt;=0,OFFSET($P$4,A63-1-Premissas!$D$21,0),0)*(1-Premissas!$D$20/100),0)</f>
        <v/>
      </c>
      <c r="R63">
        <f>ROUND(F63*Premissas!$D$11+N63*Premissas!$D$31/100,0)+ROUND((E63+B63)*Premissas!$D$10,0)+ROUND(Q63*Premissas!$D$8/100,0)+ROUND(Premissas!$D$35+(B63+C63)*Premissas!$D$36,0)</f>
        <v/>
      </c>
      <c r="S63">
        <f>O63-R63</f>
        <v/>
      </c>
      <c r="T63">
        <f>ROUND(O63*Premissas!$D$9/100,0)</f>
        <v/>
      </c>
      <c r="U63">
        <f>ROUND(AB63*Premissas!$D$33,0)</f>
        <v/>
      </c>
      <c r="V63">
        <f>Premissas!$D$37+ROUND(Premissas!$D$12*Premissas!$D$38+D63*Premissas!$D$27,0)</f>
        <v/>
      </c>
      <c r="W63">
        <f>Premissas!$D$39</f>
        <v/>
      </c>
      <c r="X63">
        <f>S63-T63-ROUND(Premissas!$D$12*Premissas!$D$38+D63*Premissas!$D$27,0)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Premissas!$D$32+(B63+C63)/Premissas!$D$34</f>
        <v/>
      </c>
      <c r="AC63">
        <f>D63+AC51*(1-Premissas!$D$26/12)^12</f>
        <v/>
      </c>
    </row>
    <row r="64">
      <c r="A64" t="n">
        <v>61</v>
      </c>
      <c r="B64">
        <f>B63*(1-Premissas!$D$18/12)+Premissas!$D$12</f>
        <v/>
      </c>
      <c r="C64">
        <f>IF($B$2=1,C63*(1-Premissas!$D$26/12)+D64,0)</f>
        <v/>
      </c>
      <c r="D64">
        <f>IF(AND($B$2=1,A64&gt;=Premissas!$D$23),Premissas!$D$22,0)</f>
        <v/>
      </c>
      <c r="E64">
        <f>B64*Premissas!$D$28</f>
        <v/>
      </c>
      <c r="F64">
        <f>B64*Premissas!$D$13/12*MIN(1,A64/Premissas!$D$17)</f>
        <v/>
      </c>
      <c r="G64">
        <f>F64*Premissas!$D$14</f>
        <v/>
      </c>
      <c r="H64">
        <f>IF(IF(A64-1-Premissas!$D$16&gt;=0,OFFSET($J$4,A64-1-Premissas!$D$16,0),0)&gt;0,ROUND(IF(A64-1-Premissas!$D$16&gt;=0,OFFSET($J$4,A64-1-Premissas!$D$16,0),0)*10000/Premissas!$D$5*Premissas!$D$15,0),0)</f>
        <v/>
      </c>
      <c r="I64">
        <f>ROUND(G64*Premissas!$D$6/10000,0)</f>
        <v/>
      </c>
      <c r="J64">
        <f>ROUND(G64*Premissas!$D$5/10000,0)</f>
        <v/>
      </c>
      <c r="K64">
        <f>IF(IF(A64-1-Premissas!$D$16&gt;=0,OFFSET($A$4,A64-1-Premissas!$D$16,0)&gt;=Premissas!$D$19,FALSE),ROUND(IF(A64-1-Premissas!$D$16&gt;=0,OFFSET($J$4,A64-1-Premissas!$D$16,0),0)*Premissas!$D$15,0),0)</f>
        <v/>
      </c>
      <c r="L64">
        <f>ROUND(C64*Premissas!$D$24/12,0)</f>
        <v/>
      </c>
      <c r="M64">
        <f>ROUND(D64*Premissas!$D$25,0)</f>
        <v/>
      </c>
      <c r="N64">
        <f>ROUND(E64*Premissas!$D$29+B64*Premissas!$D$30,0)</f>
        <v/>
      </c>
      <c r="O64">
        <f>K64+L64+M64+N64</f>
        <v/>
      </c>
      <c r="P64">
        <f>K64+ROUND(AC64*Premissas!$D$24,0)+M64+N64</f>
        <v/>
      </c>
      <c r="Q64">
        <f>ROUND(IF(A64-1-Premissas!$D$21&gt;=0,OFFSET($P$4,A64-1-Premissas!$D$21,0),0)*(1-Premissas!$D$20/100),0)</f>
        <v/>
      </c>
      <c r="R64">
        <f>ROUND(F64*Premissas!$D$11+N64*Premissas!$D$31/100,0)+ROUND((E64+B64)*Premissas!$D$10,0)+ROUND(Q64*Premissas!$D$8/100,0)+ROUND(Premissas!$D$35+(B64+C64)*Premissas!$D$36,0)</f>
        <v/>
      </c>
      <c r="S64">
        <f>O64-R64</f>
        <v/>
      </c>
      <c r="T64">
        <f>ROUND(O64*Premissas!$D$9/100,0)</f>
        <v/>
      </c>
      <c r="U64">
        <f>ROUND(AB64*Premissas!$D$33,0)</f>
        <v/>
      </c>
      <c r="V64">
        <f>Premissas!$D$37+ROUND(Premissas!$D$12*Premissas!$D$38+D64*Premissas!$D$27,0)</f>
        <v/>
      </c>
      <c r="W64">
        <f>Premissas!$D$39</f>
        <v/>
      </c>
      <c r="X64">
        <f>S64-T64-ROUND(Premissas!$D$12*Premissas!$D$38+D64*Premissas!$D$27,0)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Premissas!$D$32+(B64+C64)/Premissas!$D$34</f>
        <v/>
      </c>
      <c r="AC64">
        <f>D64+AC52*(1-Premissas!$D$26/12)^12</f>
        <v/>
      </c>
    </row>
    <row r="65">
      <c r="A65" t="n">
        <v>62</v>
      </c>
      <c r="B65">
        <f>B64*(1-Premissas!$D$18/12)+Premissas!$D$12</f>
        <v/>
      </c>
      <c r="C65">
        <f>IF($B$2=1,C64*(1-Premissas!$D$26/12)+D65,0)</f>
        <v/>
      </c>
      <c r="D65">
        <f>IF(AND($B$2=1,A65&gt;=Premissas!$D$23),Premissas!$D$22,0)</f>
        <v/>
      </c>
      <c r="E65">
        <f>B65*Premissas!$D$28</f>
        <v/>
      </c>
      <c r="F65">
        <f>B65*Premissas!$D$13/12*MIN(1,A65/Premissas!$D$17)</f>
        <v/>
      </c>
      <c r="G65">
        <f>F65*Premissas!$D$14</f>
        <v/>
      </c>
      <c r="H65">
        <f>IF(IF(A65-1-Premissas!$D$16&gt;=0,OFFSET($J$4,A65-1-Premissas!$D$16,0),0)&gt;0,ROUND(IF(A65-1-Premissas!$D$16&gt;=0,OFFSET($J$4,A65-1-Premissas!$D$16,0),0)*10000/Premissas!$D$5*Premissas!$D$15,0),0)</f>
        <v/>
      </c>
      <c r="I65">
        <f>ROUND(G65*Premissas!$D$6/10000,0)</f>
        <v/>
      </c>
      <c r="J65">
        <f>ROUND(G65*Premissas!$D$5/10000,0)</f>
        <v/>
      </c>
      <c r="K65">
        <f>IF(IF(A65-1-Premissas!$D$16&gt;=0,OFFSET($A$4,A65-1-Premissas!$D$16,0)&gt;=Premissas!$D$19,FALSE),ROUND(IF(A65-1-Premissas!$D$16&gt;=0,OFFSET($J$4,A65-1-Premissas!$D$16,0),0)*Premissas!$D$15,0),0)</f>
        <v/>
      </c>
      <c r="L65">
        <f>ROUND(C65*Premissas!$D$24/12,0)</f>
        <v/>
      </c>
      <c r="M65">
        <f>ROUND(D65*Premissas!$D$25,0)</f>
        <v/>
      </c>
      <c r="N65">
        <f>ROUND(E65*Premissas!$D$29+B65*Premissas!$D$30,0)</f>
        <v/>
      </c>
      <c r="O65">
        <f>K65+L65+M65+N65</f>
        <v/>
      </c>
      <c r="P65">
        <f>K65+ROUND(AC65*Premissas!$D$24,0)+M65+N65</f>
        <v/>
      </c>
      <c r="Q65">
        <f>ROUND(IF(A65-1-Premissas!$D$21&gt;=0,OFFSET($P$4,A65-1-Premissas!$D$21,0),0)*(1-Premissas!$D$20/100),0)</f>
        <v/>
      </c>
      <c r="R65">
        <f>ROUND(F65*Premissas!$D$11+N65*Premissas!$D$31/100,0)+ROUND((E65+B65)*Premissas!$D$10,0)+ROUND(Q65*Premissas!$D$8/100,0)+ROUND(Premissas!$D$35+(B65+C65)*Premissas!$D$36,0)</f>
        <v/>
      </c>
      <c r="S65">
        <f>O65-R65</f>
        <v/>
      </c>
      <c r="T65">
        <f>ROUND(O65*Premissas!$D$9/100,0)</f>
        <v/>
      </c>
      <c r="U65">
        <f>ROUND(AB65*Premissas!$D$33,0)</f>
        <v/>
      </c>
      <c r="V65">
        <f>Premissas!$D$37+ROUND(Premissas!$D$12*Premissas!$D$38+D65*Premissas!$D$27,0)</f>
        <v/>
      </c>
      <c r="W65">
        <f>Premissas!$D$39</f>
        <v/>
      </c>
      <c r="X65">
        <f>S65-T65-ROUND(Premissas!$D$12*Premissas!$D$38+D65*Premissas!$D$27,0)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Premissas!$D$32+(B65+C65)/Premissas!$D$34</f>
        <v/>
      </c>
      <c r="AC65">
        <f>D65+AC53*(1-Premissas!$D$26/12)^12</f>
        <v/>
      </c>
    </row>
    <row r="66">
      <c r="A66" t="n">
        <v>63</v>
      </c>
      <c r="B66">
        <f>B65*(1-Premissas!$D$18/12)+Premissas!$D$12</f>
        <v/>
      </c>
      <c r="C66">
        <f>IF($B$2=1,C65*(1-Premissas!$D$26/12)+D66,0)</f>
        <v/>
      </c>
      <c r="D66">
        <f>IF(AND($B$2=1,A66&gt;=Premissas!$D$23),Premissas!$D$22,0)</f>
        <v/>
      </c>
      <c r="E66">
        <f>B66*Premissas!$D$28</f>
        <v/>
      </c>
      <c r="F66">
        <f>B66*Premissas!$D$13/12*MIN(1,A66/Premissas!$D$17)</f>
        <v/>
      </c>
      <c r="G66">
        <f>F66*Premissas!$D$14</f>
        <v/>
      </c>
      <c r="H66">
        <f>IF(IF(A66-1-Premissas!$D$16&gt;=0,OFFSET($J$4,A66-1-Premissas!$D$16,0),0)&gt;0,ROUND(IF(A66-1-Premissas!$D$16&gt;=0,OFFSET($J$4,A66-1-Premissas!$D$16,0),0)*10000/Premissas!$D$5*Premissas!$D$15,0),0)</f>
        <v/>
      </c>
      <c r="I66">
        <f>ROUND(G66*Premissas!$D$6/10000,0)</f>
        <v/>
      </c>
      <c r="J66">
        <f>ROUND(G66*Premissas!$D$5/10000,0)</f>
        <v/>
      </c>
      <c r="K66">
        <f>IF(IF(A66-1-Premissas!$D$16&gt;=0,OFFSET($A$4,A66-1-Premissas!$D$16,0)&gt;=Premissas!$D$19,FALSE),ROUND(IF(A66-1-Premissas!$D$16&gt;=0,OFFSET($J$4,A66-1-Premissas!$D$16,0),0)*Premissas!$D$15,0),0)</f>
        <v/>
      </c>
      <c r="L66">
        <f>ROUND(C66*Premissas!$D$24/12,0)</f>
        <v/>
      </c>
      <c r="M66">
        <f>ROUND(D66*Premissas!$D$25,0)</f>
        <v/>
      </c>
      <c r="N66">
        <f>ROUND(E66*Premissas!$D$29+B66*Premissas!$D$30,0)</f>
        <v/>
      </c>
      <c r="O66">
        <f>K66+L66+M66+N66</f>
        <v/>
      </c>
      <c r="P66">
        <f>K66+ROUND(AC66*Premissas!$D$24,0)+M66+N66</f>
        <v/>
      </c>
      <c r="Q66">
        <f>ROUND(IF(A66-1-Premissas!$D$21&gt;=0,OFFSET($P$4,A66-1-Premissas!$D$21,0),0)*(1-Premissas!$D$20/100),0)</f>
        <v/>
      </c>
      <c r="R66">
        <f>ROUND(F66*Premissas!$D$11+N66*Premissas!$D$31/100,0)+ROUND((E66+B66)*Premissas!$D$10,0)+ROUND(Q66*Premissas!$D$8/100,0)+ROUND(Premissas!$D$35+(B66+C66)*Premissas!$D$36,0)</f>
        <v/>
      </c>
      <c r="S66">
        <f>O66-R66</f>
        <v/>
      </c>
      <c r="T66">
        <f>ROUND(O66*Premissas!$D$9/100,0)</f>
        <v/>
      </c>
      <c r="U66">
        <f>ROUND(AB66*Premissas!$D$33,0)</f>
        <v/>
      </c>
      <c r="V66">
        <f>Premissas!$D$37+ROUND(Premissas!$D$12*Premissas!$D$38+D66*Premissas!$D$27,0)</f>
        <v/>
      </c>
      <c r="W66">
        <f>Premissas!$D$39</f>
        <v/>
      </c>
      <c r="X66">
        <f>S66-T66-ROUND(Premissas!$D$12*Premissas!$D$38+D66*Premissas!$D$27,0)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Premissas!$D$32+(B66+C66)/Premissas!$D$34</f>
        <v/>
      </c>
      <c r="AC66">
        <f>D66+AC54*(1-Premissas!$D$26/12)^12</f>
        <v/>
      </c>
    </row>
    <row r="67">
      <c r="A67" t="n">
        <v>64</v>
      </c>
      <c r="B67">
        <f>B66*(1-Premissas!$D$18/12)+Premissas!$D$12</f>
        <v/>
      </c>
      <c r="C67">
        <f>IF($B$2=1,C66*(1-Premissas!$D$26/12)+D67,0)</f>
        <v/>
      </c>
      <c r="D67">
        <f>IF(AND($B$2=1,A67&gt;=Premissas!$D$23),Premissas!$D$22,0)</f>
        <v/>
      </c>
      <c r="E67">
        <f>B67*Premissas!$D$28</f>
        <v/>
      </c>
      <c r="F67">
        <f>B67*Premissas!$D$13/12*MIN(1,A67/Premissas!$D$17)</f>
        <v/>
      </c>
      <c r="G67">
        <f>F67*Premissas!$D$14</f>
        <v/>
      </c>
      <c r="H67">
        <f>IF(IF(A67-1-Premissas!$D$16&gt;=0,OFFSET($J$4,A67-1-Premissas!$D$16,0),0)&gt;0,ROUND(IF(A67-1-Premissas!$D$16&gt;=0,OFFSET($J$4,A67-1-Premissas!$D$16,0),0)*10000/Premissas!$D$5*Premissas!$D$15,0),0)</f>
        <v/>
      </c>
      <c r="I67">
        <f>ROUND(G67*Premissas!$D$6/10000,0)</f>
        <v/>
      </c>
      <c r="J67">
        <f>ROUND(G67*Premissas!$D$5/10000,0)</f>
        <v/>
      </c>
      <c r="K67">
        <f>IF(IF(A67-1-Premissas!$D$16&gt;=0,OFFSET($A$4,A67-1-Premissas!$D$16,0)&gt;=Premissas!$D$19,FALSE),ROUND(IF(A67-1-Premissas!$D$16&gt;=0,OFFSET($J$4,A67-1-Premissas!$D$16,0),0)*Premissas!$D$15,0),0)</f>
        <v/>
      </c>
      <c r="L67">
        <f>ROUND(C67*Premissas!$D$24/12,0)</f>
        <v/>
      </c>
      <c r="M67">
        <f>ROUND(D67*Premissas!$D$25,0)</f>
        <v/>
      </c>
      <c r="N67">
        <f>ROUND(E67*Premissas!$D$29+B67*Premissas!$D$30,0)</f>
        <v/>
      </c>
      <c r="O67">
        <f>K67+L67+M67+N67</f>
        <v/>
      </c>
      <c r="P67">
        <f>K67+ROUND(AC67*Premissas!$D$24,0)+M67+N67</f>
        <v/>
      </c>
      <c r="Q67">
        <f>ROUND(IF(A67-1-Premissas!$D$21&gt;=0,OFFSET($P$4,A67-1-Premissas!$D$21,0),0)*(1-Premissas!$D$20/100),0)</f>
        <v/>
      </c>
      <c r="R67">
        <f>ROUND(F67*Premissas!$D$11+N67*Premissas!$D$31/100,0)+ROUND((E67+B67)*Premissas!$D$10,0)+ROUND(Q67*Premissas!$D$8/100,0)+ROUND(Premissas!$D$35+(B67+C67)*Premissas!$D$36,0)</f>
        <v/>
      </c>
      <c r="S67">
        <f>O67-R67</f>
        <v/>
      </c>
      <c r="T67">
        <f>ROUND(O67*Premissas!$D$9/100,0)</f>
        <v/>
      </c>
      <c r="U67">
        <f>ROUND(AB67*Premissas!$D$33,0)</f>
        <v/>
      </c>
      <c r="V67">
        <f>Premissas!$D$37+ROUND(Premissas!$D$12*Premissas!$D$38+D67*Premissas!$D$27,0)</f>
        <v/>
      </c>
      <c r="W67">
        <f>Premissas!$D$39</f>
        <v/>
      </c>
      <c r="X67">
        <f>S67-T67-ROUND(Premissas!$D$12*Premissas!$D$38+D67*Premissas!$D$27,0)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Premissas!$D$32+(B67+C67)/Premissas!$D$34</f>
        <v/>
      </c>
      <c r="AC67">
        <f>D67+AC55*(1-Premissas!$D$26/12)^12</f>
        <v/>
      </c>
    </row>
    <row r="68">
      <c r="A68" t="n">
        <v>65</v>
      </c>
      <c r="B68">
        <f>B67*(1-Premissas!$D$18/12)+Premissas!$D$12</f>
        <v/>
      </c>
      <c r="C68">
        <f>IF($B$2=1,C67*(1-Premissas!$D$26/12)+D68,0)</f>
        <v/>
      </c>
      <c r="D68">
        <f>IF(AND($B$2=1,A68&gt;=Premissas!$D$23),Premissas!$D$22,0)</f>
        <v/>
      </c>
      <c r="E68">
        <f>B68*Premissas!$D$28</f>
        <v/>
      </c>
      <c r="F68">
        <f>B68*Premissas!$D$13/12*MIN(1,A68/Premissas!$D$17)</f>
        <v/>
      </c>
      <c r="G68">
        <f>F68*Premissas!$D$14</f>
        <v/>
      </c>
      <c r="H68">
        <f>IF(IF(A68-1-Premissas!$D$16&gt;=0,OFFSET($J$4,A68-1-Premissas!$D$16,0),0)&gt;0,ROUND(IF(A68-1-Premissas!$D$16&gt;=0,OFFSET($J$4,A68-1-Premissas!$D$16,0),0)*10000/Premissas!$D$5*Premissas!$D$15,0),0)</f>
        <v/>
      </c>
      <c r="I68">
        <f>ROUND(G68*Premissas!$D$6/10000,0)</f>
        <v/>
      </c>
      <c r="J68">
        <f>ROUND(G68*Premissas!$D$5/10000,0)</f>
        <v/>
      </c>
      <c r="K68">
        <f>IF(IF(A68-1-Premissas!$D$16&gt;=0,OFFSET($A$4,A68-1-Premissas!$D$16,0)&gt;=Premissas!$D$19,FALSE),ROUND(IF(A68-1-Premissas!$D$16&gt;=0,OFFSET($J$4,A68-1-Premissas!$D$16,0),0)*Premissas!$D$15,0),0)</f>
        <v/>
      </c>
      <c r="L68">
        <f>ROUND(C68*Premissas!$D$24/12,0)</f>
        <v/>
      </c>
      <c r="M68">
        <f>ROUND(D68*Premissas!$D$25,0)</f>
        <v/>
      </c>
      <c r="N68">
        <f>ROUND(E68*Premissas!$D$29+B68*Premissas!$D$30,0)</f>
        <v/>
      </c>
      <c r="O68">
        <f>K68+L68+M68+N68</f>
        <v/>
      </c>
      <c r="P68">
        <f>K68+ROUND(AC68*Premissas!$D$24,0)+M68+N68</f>
        <v/>
      </c>
      <c r="Q68">
        <f>ROUND(IF(A68-1-Premissas!$D$21&gt;=0,OFFSET($P$4,A68-1-Premissas!$D$21,0),0)*(1-Premissas!$D$20/100),0)</f>
        <v/>
      </c>
      <c r="R68">
        <f>ROUND(F68*Premissas!$D$11+N68*Premissas!$D$31/100,0)+ROUND((E68+B68)*Premissas!$D$10,0)+ROUND(Q68*Premissas!$D$8/100,0)+ROUND(Premissas!$D$35+(B68+C68)*Premissas!$D$36,0)</f>
        <v/>
      </c>
      <c r="S68">
        <f>O68-R68</f>
        <v/>
      </c>
      <c r="T68">
        <f>ROUND(O68*Premissas!$D$9/100,0)</f>
        <v/>
      </c>
      <c r="U68">
        <f>ROUND(AB68*Premissas!$D$33,0)</f>
        <v/>
      </c>
      <c r="V68">
        <f>Premissas!$D$37+ROUND(Premissas!$D$12*Premissas!$D$38+D68*Premissas!$D$27,0)</f>
        <v/>
      </c>
      <c r="W68">
        <f>Premissas!$D$39</f>
        <v/>
      </c>
      <c r="X68">
        <f>S68-T68-ROUND(Premissas!$D$12*Premissas!$D$38+D68*Premissas!$D$27,0)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Premissas!$D$32+(B68+C68)/Premissas!$D$34</f>
        <v/>
      </c>
      <c r="AC68">
        <f>D68+AC56*(1-Premissas!$D$26/12)^12</f>
        <v/>
      </c>
    </row>
    <row r="69">
      <c r="A69" t="n">
        <v>66</v>
      </c>
      <c r="B69">
        <f>B68*(1-Premissas!$D$18/12)+Premissas!$D$12</f>
        <v/>
      </c>
      <c r="C69">
        <f>IF($B$2=1,C68*(1-Premissas!$D$26/12)+D69,0)</f>
        <v/>
      </c>
      <c r="D69">
        <f>IF(AND($B$2=1,A69&gt;=Premissas!$D$23),Premissas!$D$22,0)</f>
        <v/>
      </c>
      <c r="E69">
        <f>B69*Premissas!$D$28</f>
        <v/>
      </c>
      <c r="F69">
        <f>B69*Premissas!$D$13/12*MIN(1,A69/Premissas!$D$17)</f>
        <v/>
      </c>
      <c r="G69">
        <f>F69*Premissas!$D$14</f>
        <v/>
      </c>
      <c r="H69">
        <f>IF(IF(A69-1-Premissas!$D$16&gt;=0,OFFSET($J$4,A69-1-Premissas!$D$16,0),0)&gt;0,ROUND(IF(A69-1-Premissas!$D$16&gt;=0,OFFSET($J$4,A69-1-Premissas!$D$16,0),0)*10000/Premissas!$D$5*Premissas!$D$15,0),0)</f>
        <v/>
      </c>
      <c r="I69">
        <f>ROUND(G69*Premissas!$D$6/10000,0)</f>
        <v/>
      </c>
      <c r="J69">
        <f>ROUND(G69*Premissas!$D$5/10000,0)</f>
        <v/>
      </c>
      <c r="K69">
        <f>IF(IF(A69-1-Premissas!$D$16&gt;=0,OFFSET($A$4,A69-1-Premissas!$D$16,0)&gt;=Premissas!$D$19,FALSE),ROUND(IF(A69-1-Premissas!$D$16&gt;=0,OFFSET($J$4,A69-1-Premissas!$D$16,0),0)*Premissas!$D$15,0),0)</f>
        <v/>
      </c>
      <c r="L69">
        <f>ROUND(C69*Premissas!$D$24/12,0)</f>
        <v/>
      </c>
      <c r="M69">
        <f>ROUND(D69*Premissas!$D$25,0)</f>
        <v/>
      </c>
      <c r="N69">
        <f>ROUND(E69*Premissas!$D$29+B69*Premissas!$D$30,0)</f>
        <v/>
      </c>
      <c r="O69">
        <f>K69+L69+M69+N69</f>
        <v/>
      </c>
      <c r="P69">
        <f>K69+ROUND(AC69*Premissas!$D$24,0)+M69+N69</f>
        <v/>
      </c>
      <c r="Q69">
        <f>ROUND(IF(A69-1-Premissas!$D$21&gt;=0,OFFSET($P$4,A69-1-Premissas!$D$21,0),0)*(1-Premissas!$D$20/100),0)</f>
        <v/>
      </c>
      <c r="R69">
        <f>ROUND(F69*Premissas!$D$11+N69*Premissas!$D$31/100,0)+ROUND((E69+B69)*Premissas!$D$10,0)+ROUND(Q69*Premissas!$D$8/100,0)+ROUND(Premissas!$D$35+(B69+C69)*Premissas!$D$36,0)</f>
        <v/>
      </c>
      <c r="S69">
        <f>O69-R69</f>
        <v/>
      </c>
      <c r="T69">
        <f>ROUND(O69*Premissas!$D$9/100,0)</f>
        <v/>
      </c>
      <c r="U69">
        <f>ROUND(AB69*Premissas!$D$33,0)</f>
        <v/>
      </c>
      <c r="V69">
        <f>Premissas!$D$37+ROUND(Premissas!$D$12*Premissas!$D$38+D69*Premissas!$D$27,0)</f>
        <v/>
      </c>
      <c r="W69">
        <f>Premissas!$D$39</f>
        <v/>
      </c>
      <c r="X69">
        <f>S69-T69-ROUND(Premissas!$D$12*Premissas!$D$38+D69*Premissas!$D$27,0)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Premissas!$D$32+(B69+C69)/Premissas!$D$34</f>
        <v/>
      </c>
      <c r="AC69">
        <f>D69+AC57*(1-Premissas!$D$26/12)^12</f>
        <v/>
      </c>
    </row>
    <row r="70">
      <c r="A70" t="n">
        <v>67</v>
      </c>
      <c r="B70">
        <f>B69*(1-Premissas!$D$18/12)+Premissas!$D$12</f>
        <v/>
      </c>
      <c r="C70">
        <f>IF($B$2=1,C69*(1-Premissas!$D$26/12)+D70,0)</f>
        <v/>
      </c>
      <c r="D70">
        <f>IF(AND($B$2=1,A70&gt;=Premissas!$D$23),Premissas!$D$22,0)</f>
        <v/>
      </c>
      <c r="E70">
        <f>B70*Premissas!$D$28</f>
        <v/>
      </c>
      <c r="F70">
        <f>B70*Premissas!$D$13/12*MIN(1,A70/Premissas!$D$17)</f>
        <v/>
      </c>
      <c r="G70">
        <f>F70*Premissas!$D$14</f>
        <v/>
      </c>
      <c r="H70">
        <f>IF(IF(A70-1-Premissas!$D$16&gt;=0,OFFSET($J$4,A70-1-Premissas!$D$16,0),0)&gt;0,ROUND(IF(A70-1-Premissas!$D$16&gt;=0,OFFSET($J$4,A70-1-Premissas!$D$16,0),0)*10000/Premissas!$D$5*Premissas!$D$15,0),0)</f>
        <v/>
      </c>
      <c r="I70">
        <f>ROUND(G70*Premissas!$D$6/10000,0)</f>
        <v/>
      </c>
      <c r="J70">
        <f>ROUND(G70*Premissas!$D$5/10000,0)</f>
        <v/>
      </c>
      <c r="K70">
        <f>IF(IF(A70-1-Premissas!$D$16&gt;=0,OFFSET($A$4,A70-1-Premissas!$D$16,0)&gt;=Premissas!$D$19,FALSE),ROUND(IF(A70-1-Premissas!$D$16&gt;=0,OFFSET($J$4,A70-1-Premissas!$D$16,0),0)*Premissas!$D$15,0),0)</f>
        <v/>
      </c>
      <c r="L70">
        <f>ROUND(C70*Premissas!$D$24/12,0)</f>
        <v/>
      </c>
      <c r="M70">
        <f>ROUND(D70*Premissas!$D$25,0)</f>
        <v/>
      </c>
      <c r="N70">
        <f>ROUND(E70*Premissas!$D$29+B70*Premissas!$D$30,0)</f>
        <v/>
      </c>
      <c r="O70">
        <f>K70+L70+M70+N70</f>
        <v/>
      </c>
      <c r="P70">
        <f>K70+ROUND(AC70*Premissas!$D$24,0)+M70+N70</f>
        <v/>
      </c>
      <c r="Q70">
        <f>ROUND(IF(A70-1-Premissas!$D$21&gt;=0,OFFSET($P$4,A70-1-Premissas!$D$21,0),0)*(1-Premissas!$D$20/100),0)</f>
        <v/>
      </c>
      <c r="R70">
        <f>ROUND(F70*Premissas!$D$11+N70*Premissas!$D$31/100,0)+ROUND((E70+B70)*Premissas!$D$10,0)+ROUND(Q70*Premissas!$D$8/100,0)+ROUND(Premissas!$D$35+(B70+C70)*Premissas!$D$36,0)</f>
        <v/>
      </c>
      <c r="S70">
        <f>O70-R70</f>
        <v/>
      </c>
      <c r="T70">
        <f>ROUND(O70*Premissas!$D$9/100,0)</f>
        <v/>
      </c>
      <c r="U70">
        <f>ROUND(AB70*Premissas!$D$33,0)</f>
        <v/>
      </c>
      <c r="V70">
        <f>Premissas!$D$37+ROUND(Premissas!$D$12*Premissas!$D$38+D70*Premissas!$D$27,0)</f>
        <v/>
      </c>
      <c r="W70">
        <f>Premissas!$D$39</f>
        <v/>
      </c>
      <c r="X70">
        <f>S70-T70-ROUND(Premissas!$D$12*Premissas!$D$38+D70*Premissas!$D$27,0)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Premissas!$D$32+(B70+C70)/Premissas!$D$34</f>
        <v/>
      </c>
      <c r="AC70">
        <f>D70+AC58*(1-Premissas!$D$26/12)^12</f>
        <v/>
      </c>
    </row>
    <row r="71">
      <c r="A71" t="n">
        <v>68</v>
      </c>
      <c r="B71">
        <f>B70*(1-Premissas!$D$18/12)+Premissas!$D$12</f>
        <v/>
      </c>
      <c r="C71">
        <f>IF($B$2=1,C70*(1-Premissas!$D$26/12)+D71,0)</f>
        <v/>
      </c>
      <c r="D71">
        <f>IF(AND($B$2=1,A71&gt;=Premissas!$D$23),Premissas!$D$22,0)</f>
        <v/>
      </c>
      <c r="E71">
        <f>B71*Premissas!$D$28</f>
        <v/>
      </c>
      <c r="F71">
        <f>B71*Premissas!$D$13/12*MIN(1,A71/Premissas!$D$17)</f>
        <v/>
      </c>
      <c r="G71">
        <f>F71*Premissas!$D$14</f>
        <v/>
      </c>
      <c r="H71">
        <f>IF(IF(A71-1-Premissas!$D$16&gt;=0,OFFSET($J$4,A71-1-Premissas!$D$16,0),0)&gt;0,ROUND(IF(A71-1-Premissas!$D$16&gt;=0,OFFSET($J$4,A71-1-Premissas!$D$16,0),0)*10000/Premissas!$D$5*Premissas!$D$15,0),0)</f>
        <v/>
      </c>
      <c r="I71">
        <f>ROUND(G71*Premissas!$D$6/10000,0)</f>
        <v/>
      </c>
      <c r="J71">
        <f>ROUND(G71*Premissas!$D$5/10000,0)</f>
        <v/>
      </c>
      <c r="K71">
        <f>IF(IF(A71-1-Premissas!$D$16&gt;=0,OFFSET($A$4,A71-1-Premissas!$D$16,0)&gt;=Premissas!$D$19,FALSE),ROUND(IF(A71-1-Premissas!$D$16&gt;=0,OFFSET($J$4,A71-1-Premissas!$D$16,0),0)*Premissas!$D$15,0),0)</f>
        <v/>
      </c>
      <c r="L71">
        <f>ROUND(C71*Premissas!$D$24/12,0)</f>
        <v/>
      </c>
      <c r="M71">
        <f>ROUND(D71*Premissas!$D$25,0)</f>
        <v/>
      </c>
      <c r="N71">
        <f>ROUND(E71*Premissas!$D$29+B71*Premissas!$D$30,0)</f>
        <v/>
      </c>
      <c r="O71">
        <f>K71+L71+M71+N71</f>
        <v/>
      </c>
      <c r="P71">
        <f>K71+ROUND(AC71*Premissas!$D$24,0)+M71+N71</f>
        <v/>
      </c>
      <c r="Q71">
        <f>ROUND(IF(A71-1-Premissas!$D$21&gt;=0,OFFSET($P$4,A71-1-Premissas!$D$21,0),0)*(1-Premissas!$D$20/100),0)</f>
        <v/>
      </c>
      <c r="R71">
        <f>ROUND(F71*Premissas!$D$11+N71*Premissas!$D$31/100,0)+ROUND((E71+B71)*Premissas!$D$10,0)+ROUND(Q71*Premissas!$D$8/100,0)+ROUND(Premissas!$D$35+(B71+C71)*Premissas!$D$36,0)</f>
        <v/>
      </c>
      <c r="S71">
        <f>O71-R71</f>
        <v/>
      </c>
      <c r="T71">
        <f>ROUND(O71*Premissas!$D$9/100,0)</f>
        <v/>
      </c>
      <c r="U71">
        <f>ROUND(AB71*Premissas!$D$33,0)</f>
        <v/>
      </c>
      <c r="V71">
        <f>Premissas!$D$37+ROUND(Premissas!$D$12*Premissas!$D$38+D71*Premissas!$D$27,0)</f>
        <v/>
      </c>
      <c r="W71">
        <f>Premissas!$D$39</f>
        <v/>
      </c>
      <c r="X71">
        <f>S71-T71-ROUND(Premissas!$D$12*Premissas!$D$38+D71*Premissas!$D$27,0)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Premissas!$D$32+(B71+C71)/Premissas!$D$34</f>
        <v/>
      </c>
      <c r="AC71">
        <f>D71+AC59*(1-Premissas!$D$26/12)^12</f>
        <v/>
      </c>
    </row>
    <row r="72">
      <c r="A72" t="n">
        <v>69</v>
      </c>
      <c r="B72">
        <f>B71*(1-Premissas!$D$18/12)+Premissas!$D$12</f>
        <v/>
      </c>
      <c r="C72">
        <f>IF($B$2=1,C71*(1-Premissas!$D$26/12)+D72,0)</f>
        <v/>
      </c>
      <c r="D72">
        <f>IF(AND($B$2=1,A72&gt;=Premissas!$D$23),Premissas!$D$22,0)</f>
        <v/>
      </c>
      <c r="E72">
        <f>B72*Premissas!$D$28</f>
        <v/>
      </c>
      <c r="F72">
        <f>B72*Premissas!$D$13/12*MIN(1,A72/Premissas!$D$17)</f>
        <v/>
      </c>
      <c r="G72">
        <f>F72*Premissas!$D$14</f>
        <v/>
      </c>
      <c r="H72">
        <f>IF(IF(A72-1-Premissas!$D$16&gt;=0,OFFSET($J$4,A72-1-Premissas!$D$16,0),0)&gt;0,ROUND(IF(A72-1-Premissas!$D$16&gt;=0,OFFSET($J$4,A72-1-Premissas!$D$16,0),0)*10000/Premissas!$D$5*Premissas!$D$15,0),0)</f>
        <v/>
      </c>
      <c r="I72">
        <f>ROUND(G72*Premissas!$D$6/10000,0)</f>
        <v/>
      </c>
      <c r="J72">
        <f>ROUND(G72*Premissas!$D$5/10000,0)</f>
        <v/>
      </c>
      <c r="K72">
        <f>IF(IF(A72-1-Premissas!$D$16&gt;=0,OFFSET($A$4,A72-1-Premissas!$D$16,0)&gt;=Premissas!$D$19,FALSE),ROUND(IF(A72-1-Premissas!$D$16&gt;=0,OFFSET($J$4,A72-1-Premissas!$D$16,0),0)*Premissas!$D$15,0),0)</f>
        <v/>
      </c>
      <c r="L72">
        <f>ROUND(C72*Premissas!$D$24/12,0)</f>
        <v/>
      </c>
      <c r="M72">
        <f>ROUND(D72*Premissas!$D$25,0)</f>
        <v/>
      </c>
      <c r="N72">
        <f>ROUND(E72*Premissas!$D$29+B72*Premissas!$D$30,0)</f>
        <v/>
      </c>
      <c r="O72">
        <f>K72+L72+M72+N72</f>
        <v/>
      </c>
      <c r="P72">
        <f>K72+ROUND(AC72*Premissas!$D$24,0)+M72+N72</f>
        <v/>
      </c>
      <c r="Q72">
        <f>ROUND(IF(A72-1-Premissas!$D$21&gt;=0,OFFSET($P$4,A72-1-Premissas!$D$21,0),0)*(1-Premissas!$D$20/100),0)</f>
        <v/>
      </c>
      <c r="R72">
        <f>ROUND(F72*Premissas!$D$11+N72*Premissas!$D$31/100,0)+ROUND((E72+B72)*Premissas!$D$10,0)+ROUND(Q72*Premissas!$D$8/100,0)+ROUND(Premissas!$D$35+(B72+C72)*Premissas!$D$36,0)</f>
        <v/>
      </c>
      <c r="S72">
        <f>O72-R72</f>
        <v/>
      </c>
      <c r="T72">
        <f>ROUND(O72*Premissas!$D$9/100,0)</f>
        <v/>
      </c>
      <c r="U72">
        <f>ROUND(AB72*Premissas!$D$33,0)</f>
        <v/>
      </c>
      <c r="V72">
        <f>Premissas!$D$37+ROUND(Premissas!$D$12*Premissas!$D$38+D72*Premissas!$D$27,0)</f>
        <v/>
      </c>
      <c r="W72">
        <f>Premissas!$D$39</f>
        <v/>
      </c>
      <c r="X72">
        <f>S72-T72-ROUND(Premissas!$D$12*Premissas!$D$38+D72*Premissas!$D$27,0)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Premissas!$D$32+(B72+C72)/Premissas!$D$34</f>
        <v/>
      </c>
      <c r="AC72">
        <f>D72+AC60*(1-Premissas!$D$26/12)^12</f>
        <v/>
      </c>
    </row>
    <row r="73">
      <c r="A73" t="n">
        <v>70</v>
      </c>
      <c r="B73">
        <f>B72*(1-Premissas!$D$18/12)+Premissas!$D$12</f>
        <v/>
      </c>
      <c r="C73">
        <f>IF($B$2=1,C72*(1-Premissas!$D$26/12)+D73,0)</f>
        <v/>
      </c>
      <c r="D73">
        <f>IF(AND($B$2=1,A73&gt;=Premissas!$D$23),Premissas!$D$22,0)</f>
        <v/>
      </c>
      <c r="E73">
        <f>B73*Premissas!$D$28</f>
        <v/>
      </c>
      <c r="F73">
        <f>B73*Premissas!$D$13/12*MIN(1,A73/Premissas!$D$17)</f>
        <v/>
      </c>
      <c r="G73">
        <f>F73*Premissas!$D$14</f>
        <v/>
      </c>
      <c r="H73">
        <f>IF(IF(A73-1-Premissas!$D$16&gt;=0,OFFSET($J$4,A73-1-Premissas!$D$16,0),0)&gt;0,ROUND(IF(A73-1-Premissas!$D$16&gt;=0,OFFSET($J$4,A73-1-Premissas!$D$16,0),0)*10000/Premissas!$D$5*Premissas!$D$15,0),0)</f>
        <v/>
      </c>
      <c r="I73">
        <f>ROUND(G73*Premissas!$D$6/10000,0)</f>
        <v/>
      </c>
      <c r="J73">
        <f>ROUND(G73*Premissas!$D$5/10000,0)</f>
        <v/>
      </c>
      <c r="K73">
        <f>IF(IF(A73-1-Premissas!$D$16&gt;=0,OFFSET($A$4,A73-1-Premissas!$D$16,0)&gt;=Premissas!$D$19,FALSE),ROUND(IF(A73-1-Premissas!$D$16&gt;=0,OFFSET($J$4,A73-1-Premissas!$D$16,0),0)*Premissas!$D$15,0),0)</f>
        <v/>
      </c>
      <c r="L73">
        <f>ROUND(C73*Premissas!$D$24/12,0)</f>
        <v/>
      </c>
      <c r="M73">
        <f>ROUND(D73*Premissas!$D$25,0)</f>
        <v/>
      </c>
      <c r="N73">
        <f>ROUND(E73*Premissas!$D$29+B73*Premissas!$D$30,0)</f>
        <v/>
      </c>
      <c r="O73">
        <f>K73+L73+M73+N73</f>
        <v/>
      </c>
      <c r="P73">
        <f>K73+ROUND(AC73*Premissas!$D$24,0)+M73+N73</f>
        <v/>
      </c>
      <c r="Q73">
        <f>ROUND(IF(A73-1-Premissas!$D$21&gt;=0,OFFSET($P$4,A73-1-Premissas!$D$21,0),0)*(1-Premissas!$D$20/100),0)</f>
        <v/>
      </c>
      <c r="R73">
        <f>ROUND(F73*Premissas!$D$11+N73*Premissas!$D$31/100,0)+ROUND((E73+B73)*Premissas!$D$10,0)+ROUND(Q73*Premissas!$D$8/100,0)+ROUND(Premissas!$D$35+(B73+C73)*Premissas!$D$36,0)</f>
        <v/>
      </c>
      <c r="S73">
        <f>O73-R73</f>
        <v/>
      </c>
      <c r="T73">
        <f>ROUND(O73*Premissas!$D$9/100,0)</f>
        <v/>
      </c>
      <c r="U73">
        <f>ROUND(AB73*Premissas!$D$33,0)</f>
        <v/>
      </c>
      <c r="V73">
        <f>Premissas!$D$37+ROUND(Premissas!$D$12*Premissas!$D$38+D73*Premissas!$D$27,0)</f>
        <v/>
      </c>
      <c r="W73">
        <f>Premissas!$D$39</f>
        <v/>
      </c>
      <c r="X73">
        <f>S73-T73-ROUND(Premissas!$D$12*Premissas!$D$38+D73*Premissas!$D$27,0)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Premissas!$D$32+(B73+C73)/Premissas!$D$34</f>
        <v/>
      </c>
      <c r="AC73">
        <f>D73+AC61*(1-Premissas!$D$26/12)^12</f>
        <v/>
      </c>
    </row>
    <row r="74">
      <c r="A74" t="n">
        <v>71</v>
      </c>
      <c r="B74">
        <f>B73*(1-Premissas!$D$18/12)+Premissas!$D$12</f>
        <v/>
      </c>
      <c r="C74">
        <f>IF($B$2=1,C73*(1-Premissas!$D$26/12)+D74,0)</f>
        <v/>
      </c>
      <c r="D74">
        <f>IF(AND($B$2=1,A74&gt;=Premissas!$D$23),Premissas!$D$22,0)</f>
        <v/>
      </c>
      <c r="E74">
        <f>B74*Premissas!$D$28</f>
        <v/>
      </c>
      <c r="F74">
        <f>B74*Premissas!$D$13/12*MIN(1,A74/Premissas!$D$17)</f>
        <v/>
      </c>
      <c r="G74">
        <f>F74*Premissas!$D$14</f>
        <v/>
      </c>
      <c r="H74">
        <f>IF(IF(A74-1-Premissas!$D$16&gt;=0,OFFSET($J$4,A74-1-Premissas!$D$16,0),0)&gt;0,ROUND(IF(A74-1-Premissas!$D$16&gt;=0,OFFSET($J$4,A74-1-Premissas!$D$16,0),0)*10000/Premissas!$D$5*Premissas!$D$15,0),0)</f>
        <v/>
      </c>
      <c r="I74">
        <f>ROUND(G74*Premissas!$D$6/10000,0)</f>
        <v/>
      </c>
      <c r="J74">
        <f>ROUND(G74*Premissas!$D$5/10000,0)</f>
        <v/>
      </c>
      <c r="K74">
        <f>IF(IF(A74-1-Premissas!$D$16&gt;=0,OFFSET($A$4,A74-1-Premissas!$D$16,0)&gt;=Premissas!$D$19,FALSE),ROUND(IF(A74-1-Premissas!$D$16&gt;=0,OFFSET($J$4,A74-1-Premissas!$D$16,0),0)*Premissas!$D$15,0),0)</f>
        <v/>
      </c>
      <c r="L74">
        <f>ROUND(C74*Premissas!$D$24/12,0)</f>
        <v/>
      </c>
      <c r="M74">
        <f>ROUND(D74*Premissas!$D$25,0)</f>
        <v/>
      </c>
      <c r="N74">
        <f>ROUND(E74*Premissas!$D$29+B74*Premissas!$D$30,0)</f>
        <v/>
      </c>
      <c r="O74">
        <f>K74+L74+M74+N74</f>
        <v/>
      </c>
      <c r="P74">
        <f>K74+ROUND(AC74*Premissas!$D$24,0)+M74+N74</f>
        <v/>
      </c>
      <c r="Q74">
        <f>ROUND(IF(A74-1-Premissas!$D$21&gt;=0,OFFSET($P$4,A74-1-Premissas!$D$21,0),0)*(1-Premissas!$D$20/100),0)</f>
        <v/>
      </c>
      <c r="R74">
        <f>ROUND(F74*Premissas!$D$11+N74*Premissas!$D$31/100,0)+ROUND((E74+B74)*Premissas!$D$10,0)+ROUND(Q74*Premissas!$D$8/100,0)+ROUND(Premissas!$D$35+(B74+C74)*Premissas!$D$36,0)</f>
        <v/>
      </c>
      <c r="S74">
        <f>O74-R74</f>
        <v/>
      </c>
      <c r="T74">
        <f>ROUND(O74*Premissas!$D$9/100,0)</f>
        <v/>
      </c>
      <c r="U74">
        <f>ROUND(AB74*Premissas!$D$33,0)</f>
        <v/>
      </c>
      <c r="V74">
        <f>Premissas!$D$37+ROUND(Premissas!$D$12*Premissas!$D$38+D74*Premissas!$D$27,0)</f>
        <v/>
      </c>
      <c r="W74">
        <f>Premissas!$D$39</f>
        <v/>
      </c>
      <c r="X74">
        <f>S74-T74-ROUND(Premissas!$D$12*Premissas!$D$38+D74*Premissas!$D$27,0)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Premissas!$D$32+(B74+C74)/Premissas!$D$34</f>
        <v/>
      </c>
      <c r="AC74">
        <f>D74+AC62*(1-Premissas!$D$26/12)^12</f>
        <v/>
      </c>
    </row>
    <row r="75">
      <c r="A75" t="n">
        <v>72</v>
      </c>
      <c r="B75">
        <f>B74*(1-Premissas!$D$18/12)+Premissas!$D$12</f>
        <v/>
      </c>
      <c r="C75">
        <f>IF($B$2=1,C74*(1-Premissas!$D$26/12)+D75,0)</f>
        <v/>
      </c>
      <c r="D75">
        <f>IF(AND($B$2=1,A75&gt;=Premissas!$D$23),Premissas!$D$22,0)</f>
        <v/>
      </c>
      <c r="E75">
        <f>B75*Premissas!$D$28</f>
        <v/>
      </c>
      <c r="F75">
        <f>B75*Premissas!$D$13/12*MIN(1,A75/Premissas!$D$17)</f>
        <v/>
      </c>
      <c r="G75">
        <f>F75*Premissas!$D$14</f>
        <v/>
      </c>
      <c r="H75">
        <f>IF(IF(A75-1-Premissas!$D$16&gt;=0,OFFSET($J$4,A75-1-Premissas!$D$16,0),0)&gt;0,ROUND(IF(A75-1-Premissas!$D$16&gt;=0,OFFSET($J$4,A75-1-Premissas!$D$16,0),0)*10000/Premissas!$D$5*Premissas!$D$15,0),0)</f>
        <v/>
      </c>
      <c r="I75">
        <f>ROUND(G75*Premissas!$D$6/10000,0)</f>
        <v/>
      </c>
      <c r="J75">
        <f>ROUND(G75*Premissas!$D$5/10000,0)</f>
        <v/>
      </c>
      <c r="K75">
        <f>IF(IF(A75-1-Premissas!$D$16&gt;=0,OFFSET($A$4,A75-1-Premissas!$D$16,0)&gt;=Premissas!$D$19,FALSE),ROUND(IF(A75-1-Premissas!$D$16&gt;=0,OFFSET($J$4,A75-1-Premissas!$D$16,0),0)*Premissas!$D$15,0),0)</f>
        <v/>
      </c>
      <c r="L75">
        <f>ROUND(C75*Premissas!$D$24/12,0)</f>
        <v/>
      </c>
      <c r="M75">
        <f>ROUND(D75*Premissas!$D$25,0)</f>
        <v/>
      </c>
      <c r="N75">
        <f>ROUND(E75*Premissas!$D$29+B75*Premissas!$D$30,0)</f>
        <v/>
      </c>
      <c r="O75">
        <f>K75+L75+M75+N75</f>
        <v/>
      </c>
      <c r="P75">
        <f>K75+ROUND(AC75*Premissas!$D$24,0)+M75+N75</f>
        <v/>
      </c>
      <c r="Q75">
        <f>ROUND(IF(A75-1-Premissas!$D$21&gt;=0,OFFSET($P$4,A75-1-Premissas!$D$21,0),0)*(1-Premissas!$D$20/100),0)</f>
        <v/>
      </c>
      <c r="R75">
        <f>ROUND(F75*Premissas!$D$11+N75*Premissas!$D$31/100,0)+ROUND((E75+B75)*Premissas!$D$10,0)+ROUND(Q75*Premissas!$D$8/100,0)+ROUND(Premissas!$D$35+(B75+C75)*Premissas!$D$36,0)</f>
        <v/>
      </c>
      <c r="S75">
        <f>O75-R75</f>
        <v/>
      </c>
      <c r="T75">
        <f>ROUND(O75*Premissas!$D$9/100,0)</f>
        <v/>
      </c>
      <c r="U75">
        <f>ROUND(AB75*Premissas!$D$33,0)</f>
        <v/>
      </c>
      <c r="V75">
        <f>Premissas!$D$37+ROUND(Premissas!$D$12*Premissas!$D$38+D75*Premissas!$D$27,0)</f>
        <v/>
      </c>
      <c r="W75">
        <f>Premissas!$D$39</f>
        <v/>
      </c>
      <c r="X75">
        <f>S75-T75-ROUND(Premissas!$D$12*Premissas!$D$38+D75*Premissas!$D$27,0)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Premissas!$D$32+(B75+C75)/Premissas!$D$34</f>
        <v/>
      </c>
      <c r="AC75">
        <f>D75+AC63*(1-Premissas!$D$26/12)^12</f>
        <v/>
      </c>
    </row>
    <row r="76">
      <c r="A76" t="n">
        <v>73</v>
      </c>
      <c r="B76">
        <f>B75*(1-Premissas!$D$18/12)+Premissas!$D$12</f>
        <v/>
      </c>
      <c r="C76">
        <f>IF($B$2=1,C75*(1-Premissas!$D$26/12)+D76,0)</f>
        <v/>
      </c>
      <c r="D76">
        <f>IF(AND($B$2=1,A76&gt;=Premissas!$D$23),Premissas!$D$22,0)</f>
        <v/>
      </c>
      <c r="E76">
        <f>B76*Premissas!$D$28</f>
        <v/>
      </c>
      <c r="F76">
        <f>B76*Premissas!$D$13/12*MIN(1,A76/Premissas!$D$17)</f>
        <v/>
      </c>
      <c r="G76">
        <f>F76*Premissas!$D$14</f>
        <v/>
      </c>
      <c r="H76">
        <f>IF(IF(A76-1-Premissas!$D$16&gt;=0,OFFSET($J$4,A76-1-Premissas!$D$16,0),0)&gt;0,ROUND(IF(A76-1-Premissas!$D$16&gt;=0,OFFSET($J$4,A76-1-Premissas!$D$16,0),0)*10000/Premissas!$D$5*Premissas!$D$15,0),0)</f>
        <v/>
      </c>
      <c r="I76">
        <f>ROUND(G76*Premissas!$D$6/10000,0)</f>
        <v/>
      </c>
      <c r="J76">
        <f>ROUND(G76*Premissas!$D$5/10000,0)</f>
        <v/>
      </c>
      <c r="K76">
        <f>IF(IF(A76-1-Premissas!$D$16&gt;=0,OFFSET($A$4,A76-1-Premissas!$D$16,0)&gt;=Premissas!$D$19,FALSE),ROUND(IF(A76-1-Premissas!$D$16&gt;=0,OFFSET($J$4,A76-1-Premissas!$D$16,0),0)*Premissas!$D$15,0),0)</f>
        <v/>
      </c>
      <c r="L76">
        <f>ROUND(C76*Premissas!$D$24/12,0)</f>
        <v/>
      </c>
      <c r="M76">
        <f>ROUND(D76*Premissas!$D$25,0)</f>
        <v/>
      </c>
      <c r="N76">
        <f>ROUND(E76*Premissas!$D$29+B76*Premissas!$D$30,0)</f>
        <v/>
      </c>
      <c r="O76">
        <f>K76+L76+M76+N76</f>
        <v/>
      </c>
      <c r="P76">
        <f>K76+ROUND(AC76*Premissas!$D$24,0)+M76+N76</f>
        <v/>
      </c>
      <c r="Q76">
        <f>ROUND(IF(A76-1-Premissas!$D$21&gt;=0,OFFSET($P$4,A76-1-Premissas!$D$21,0),0)*(1-Premissas!$D$20/100),0)</f>
        <v/>
      </c>
      <c r="R76">
        <f>ROUND(F76*Premissas!$D$11+N76*Premissas!$D$31/100,0)+ROUND((E76+B76)*Premissas!$D$10,0)+ROUND(Q76*Premissas!$D$8/100,0)+ROUND(Premissas!$D$35+(B76+C76)*Premissas!$D$36,0)</f>
        <v/>
      </c>
      <c r="S76">
        <f>O76-R76</f>
        <v/>
      </c>
      <c r="T76">
        <f>ROUND(O76*Premissas!$D$9/100,0)</f>
        <v/>
      </c>
      <c r="U76">
        <f>ROUND(AB76*Premissas!$D$33,0)</f>
        <v/>
      </c>
      <c r="V76">
        <f>Premissas!$D$37+ROUND(Premissas!$D$12*Premissas!$D$38+D76*Premissas!$D$27,0)</f>
        <v/>
      </c>
      <c r="W76">
        <f>Premissas!$D$39</f>
        <v/>
      </c>
      <c r="X76">
        <f>S76-T76-ROUND(Premissas!$D$12*Premissas!$D$38+D76*Premissas!$D$27,0)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Premissas!$D$32+(B76+C76)/Premissas!$D$34</f>
        <v/>
      </c>
      <c r="AC76">
        <f>D76+AC64*(1-Premissas!$D$26/12)^12</f>
        <v/>
      </c>
    </row>
    <row r="77">
      <c r="A77" t="n">
        <v>74</v>
      </c>
      <c r="B77">
        <f>B76*(1-Premissas!$D$18/12)+Premissas!$D$12</f>
        <v/>
      </c>
      <c r="C77">
        <f>IF($B$2=1,C76*(1-Premissas!$D$26/12)+D77,0)</f>
        <v/>
      </c>
      <c r="D77">
        <f>IF(AND($B$2=1,A77&gt;=Premissas!$D$23),Premissas!$D$22,0)</f>
        <v/>
      </c>
      <c r="E77">
        <f>B77*Premissas!$D$28</f>
        <v/>
      </c>
      <c r="F77">
        <f>B77*Premissas!$D$13/12*MIN(1,A77/Premissas!$D$17)</f>
        <v/>
      </c>
      <c r="G77">
        <f>F77*Premissas!$D$14</f>
        <v/>
      </c>
      <c r="H77">
        <f>IF(IF(A77-1-Premissas!$D$16&gt;=0,OFFSET($J$4,A77-1-Premissas!$D$16,0),0)&gt;0,ROUND(IF(A77-1-Premissas!$D$16&gt;=0,OFFSET($J$4,A77-1-Premissas!$D$16,0),0)*10000/Premissas!$D$5*Premissas!$D$15,0),0)</f>
        <v/>
      </c>
      <c r="I77">
        <f>ROUND(G77*Premissas!$D$6/10000,0)</f>
        <v/>
      </c>
      <c r="J77">
        <f>ROUND(G77*Premissas!$D$5/10000,0)</f>
        <v/>
      </c>
      <c r="K77">
        <f>IF(IF(A77-1-Premissas!$D$16&gt;=0,OFFSET($A$4,A77-1-Premissas!$D$16,0)&gt;=Premissas!$D$19,FALSE),ROUND(IF(A77-1-Premissas!$D$16&gt;=0,OFFSET($J$4,A77-1-Premissas!$D$16,0),0)*Premissas!$D$15,0),0)</f>
        <v/>
      </c>
      <c r="L77">
        <f>ROUND(C77*Premissas!$D$24/12,0)</f>
        <v/>
      </c>
      <c r="M77">
        <f>ROUND(D77*Premissas!$D$25,0)</f>
        <v/>
      </c>
      <c r="N77">
        <f>ROUND(E77*Premissas!$D$29+B77*Premissas!$D$30,0)</f>
        <v/>
      </c>
      <c r="O77">
        <f>K77+L77+M77+N77</f>
        <v/>
      </c>
      <c r="P77">
        <f>K77+ROUND(AC77*Premissas!$D$24,0)+M77+N77</f>
        <v/>
      </c>
      <c r="Q77">
        <f>ROUND(IF(A77-1-Premissas!$D$21&gt;=0,OFFSET($P$4,A77-1-Premissas!$D$21,0),0)*(1-Premissas!$D$20/100),0)</f>
        <v/>
      </c>
      <c r="R77">
        <f>ROUND(F77*Premissas!$D$11+N77*Premissas!$D$31/100,0)+ROUND((E77+B77)*Premissas!$D$10,0)+ROUND(Q77*Premissas!$D$8/100,0)+ROUND(Premissas!$D$35+(B77+C77)*Premissas!$D$36,0)</f>
        <v/>
      </c>
      <c r="S77">
        <f>O77-R77</f>
        <v/>
      </c>
      <c r="T77">
        <f>ROUND(O77*Premissas!$D$9/100,0)</f>
        <v/>
      </c>
      <c r="U77">
        <f>ROUND(AB77*Premissas!$D$33,0)</f>
        <v/>
      </c>
      <c r="V77">
        <f>Premissas!$D$37+ROUND(Premissas!$D$12*Premissas!$D$38+D77*Premissas!$D$27,0)</f>
        <v/>
      </c>
      <c r="W77">
        <f>Premissas!$D$39</f>
        <v/>
      </c>
      <c r="X77">
        <f>S77-T77-ROUND(Premissas!$D$12*Premissas!$D$38+D77*Premissas!$D$27,0)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Premissas!$D$32+(B77+C77)/Premissas!$D$34</f>
        <v/>
      </c>
      <c r="AC77">
        <f>D77+AC65*(1-Premissas!$D$26/12)^12</f>
        <v/>
      </c>
    </row>
    <row r="78">
      <c r="A78" t="n">
        <v>75</v>
      </c>
      <c r="B78">
        <f>B77*(1-Premissas!$D$18/12)+Premissas!$D$12</f>
        <v/>
      </c>
      <c r="C78">
        <f>IF($B$2=1,C77*(1-Premissas!$D$26/12)+D78,0)</f>
        <v/>
      </c>
      <c r="D78">
        <f>IF(AND($B$2=1,A78&gt;=Premissas!$D$23),Premissas!$D$22,0)</f>
        <v/>
      </c>
      <c r="E78">
        <f>B78*Premissas!$D$28</f>
        <v/>
      </c>
      <c r="F78">
        <f>B78*Premissas!$D$13/12*MIN(1,A78/Premissas!$D$17)</f>
        <v/>
      </c>
      <c r="G78">
        <f>F78*Premissas!$D$14</f>
        <v/>
      </c>
      <c r="H78">
        <f>IF(IF(A78-1-Premissas!$D$16&gt;=0,OFFSET($J$4,A78-1-Premissas!$D$16,0),0)&gt;0,ROUND(IF(A78-1-Premissas!$D$16&gt;=0,OFFSET($J$4,A78-1-Premissas!$D$16,0),0)*10000/Premissas!$D$5*Premissas!$D$15,0),0)</f>
        <v/>
      </c>
      <c r="I78">
        <f>ROUND(G78*Premissas!$D$6/10000,0)</f>
        <v/>
      </c>
      <c r="J78">
        <f>ROUND(G78*Premissas!$D$5/10000,0)</f>
        <v/>
      </c>
      <c r="K78">
        <f>IF(IF(A78-1-Premissas!$D$16&gt;=0,OFFSET($A$4,A78-1-Premissas!$D$16,0)&gt;=Premissas!$D$19,FALSE),ROUND(IF(A78-1-Premissas!$D$16&gt;=0,OFFSET($J$4,A78-1-Premissas!$D$16,0),0)*Premissas!$D$15,0),0)</f>
        <v/>
      </c>
      <c r="L78">
        <f>ROUND(C78*Premissas!$D$24/12,0)</f>
        <v/>
      </c>
      <c r="M78">
        <f>ROUND(D78*Premissas!$D$25,0)</f>
        <v/>
      </c>
      <c r="N78">
        <f>ROUND(E78*Premissas!$D$29+B78*Premissas!$D$30,0)</f>
        <v/>
      </c>
      <c r="O78">
        <f>K78+L78+M78+N78</f>
        <v/>
      </c>
      <c r="P78">
        <f>K78+ROUND(AC78*Premissas!$D$24,0)+M78+N78</f>
        <v/>
      </c>
      <c r="Q78">
        <f>ROUND(IF(A78-1-Premissas!$D$21&gt;=0,OFFSET($P$4,A78-1-Premissas!$D$21,0),0)*(1-Premissas!$D$20/100),0)</f>
        <v/>
      </c>
      <c r="R78">
        <f>ROUND(F78*Premissas!$D$11+N78*Premissas!$D$31/100,0)+ROUND((E78+B78)*Premissas!$D$10,0)+ROUND(Q78*Premissas!$D$8/100,0)+ROUND(Premissas!$D$35+(B78+C78)*Premissas!$D$36,0)</f>
        <v/>
      </c>
      <c r="S78">
        <f>O78-R78</f>
        <v/>
      </c>
      <c r="T78">
        <f>ROUND(O78*Premissas!$D$9/100,0)</f>
        <v/>
      </c>
      <c r="U78">
        <f>ROUND(AB78*Premissas!$D$33,0)</f>
        <v/>
      </c>
      <c r="V78">
        <f>Premissas!$D$37+ROUND(Premissas!$D$12*Premissas!$D$38+D78*Premissas!$D$27,0)</f>
        <v/>
      </c>
      <c r="W78">
        <f>Premissas!$D$39</f>
        <v/>
      </c>
      <c r="X78">
        <f>S78-T78-ROUND(Premissas!$D$12*Premissas!$D$38+D78*Premissas!$D$27,0)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Premissas!$D$32+(B78+C78)/Premissas!$D$34</f>
        <v/>
      </c>
      <c r="AC78">
        <f>D78+AC66*(1-Premissas!$D$26/12)^12</f>
        <v/>
      </c>
    </row>
    <row r="79">
      <c r="A79" t="n">
        <v>76</v>
      </c>
      <c r="B79">
        <f>B78*(1-Premissas!$D$18/12)+Premissas!$D$12</f>
        <v/>
      </c>
      <c r="C79">
        <f>IF($B$2=1,C78*(1-Premissas!$D$26/12)+D79,0)</f>
        <v/>
      </c>
      <c r="D79">
        <f>IF(AND($B$2=1,A79&gt;=Premissas!$D$23),Premissas!$D$22,0)</f>
        <v/>
      </c>
      <c r="E79">
        <f>B79*Premissas!$D$28</f>
        <v/>
      </c>
      <c r="F79">
        <f>B79*Premissas!$D$13/12*MIN(1,A79/Premissas!$D$17)</f>
        <v/>
      </c>
      <c r="G79">
        <f>F79*Premissas!$D$14</f>
        <v/>
      </c>
      <c r="H79">
        <f>IF(IF(A79-1-Premissas!$D$16&gt;=0,OFFSET($J$4,A79-1-Premissas!$D$16,0),0)&gt;0,ROUND(IF(A79-1-Premissas!$D$16&gt;=0,OFFSET($J$4,A79-1-Premissas!$D$16,0),0)*10000/Premissas!$D$5*Premissas!$D$15,0),0)</f>
        <v/>
      </c>
      <c r="I79">
        <f>ROUND(G79*Premissas!$D$6/10000,0)</f>
        <v/>
      </c>
      <c r="J79">
        <f>ROUND(G79*Premissas!$D$5/10000,0)</f>
        <v/>
      </c>
      <c r="K79">
        <f>IF(IF(A79-1-Premissas!$D$16&gt;=0,OFFSET($A$4,A79-1-Premissas!$D$16,0)&gt;=Premissas!$D$19,FALSE),ROUND(IF(A79-1-Premissas!$D$16&gt;=0,OFFSET($J$4,A79-1-Premissas!$D$16,0),0)*Premissas!$D$15,0),0)</f>
        <v/>
      </c>
      <c r="L79">
        <f>ROUND(C79*Premissas!$D$24/12,0)</f>
        <v/>
      </c>
      <c r="M79">
        <f>ROUND(D79*Premissas!$D$25,0)</f>
        <v/>
      </c>
      <c r="N79">
        <f>ROUND(E79*Premissas!$D$29+B79*Premissas!$D$30,0)</f>
        <v/>
      </c>
      <c r="O79">
        <f>K79+L79+M79+N79</f>
        <v/>
      </c>
      <c r="P79">
        <f>K79+ROUND(AC79*Premissas!$D$24,0)+M79+N79</f>
        <v/>
      </c>
      <c r="Q79">
        <f>ROUND(IF(A79-1-Premissas!$D$21&gt;=0,OFFSET($P$4,A79-1-Premissas!$D$21,0),0)*(1-Premissas!$D$20/100),0)</f>
        <v/>
      </c>
      <c r="R79">
        <f>ROUND(F79*Premissas!$D$11+N79*Premissas!$D$31/100,0)+ROUND((E79+B79)*Premissas!$D$10,0)+ROUND(Q79*Premissas!$D$8/100,0)+ROUND(Premissas!$D$35+(B79+C79)*Premissas!$D$36,0)</f>
        <v/>
      </c>
      <c r="S79">
        <f>O79-R79</f>
        <v/>
      </c>
      <c r="T79">
        <f>ROUND(O79*Premissas!$D$9/100,0)</f>
        <v/>
      </c>
      <c r="U79">
        <f>ROUND(AB79*Premissas!$D$33,0)</f>
        <v/>
      </c>
      <c r="V79">
        <f>Premissas!$D$37+ROUND(Premissas!$D$12*Premissas!$D$38+D79*Premissas!$D$27,0)</f>
        <v/>
      </c>
      <c r="W79">
        <f>Premissas!$D$39</f>
        <v/>
      </c>
      <c r="X79">
        <f>S79-T79-ROUND(Premissas!$D$12*Premissas!$D$38+D79*Premissas!$D$27,0)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Premissas!$D$32+(B79+C79)/Premissas!$D$34</f>
        <v/>
      </c>
      <c r="AC79">
        <f>D79+AC67*(1-Premissas!$D$26/12)^12</f>
        <v/>
      </c>
    </row>
    <row r="80">
      <c r="A80" t="n">
        <v>77</v>
      </c>
      <c r="B80">
        <f>B79*(1-Premissas!$D$18/12)+Premissas!$D$12</f>
        <v/>
      </c>
      <c r="C80">
        <f>IF($B$2=1,C79*(1-Premissas!$D$26/12)+D80,0)</f>
        <v/>
      </c>
      <c r="D80">
        <f>IF(AND($B$2=1,A80&gt;=Premissas!$D$23),Premissas!$D$22,0)</f>
        <v/>
      </c>
      <c r="E80">
        <f>B80*Premissas!$D$28</f>
        <v/>
      </c>
      <c r="F80">
        <f>B80*Premissas!$D$13/12*MIN(1,A80/Premissas!$D$17)</f>
        <v/>
      </c>
      <c r="G80">
        <f>F80*Premissas!$D$14</f>
        <v/>
      </c>
      <c r="H80">
        <f>IF(IF(A80-1-Premissas!$D$16&gt;=0,OFFSET($J$4,A80-1-Premissas!$D$16,0),0)&gt;0,ROUND(IF(A80-1-Premissas!$D$16&gt;=0,OFFSET($J$4,A80-1-Premissas!$D$16,0),0)*10000/Premissas!$D$5*Premissas!$D$15,0),0)</f>
        <v/>
      </c>
      <c r="I80">
        <f>ROUND(G80*Premissas!$D$6/10000,0)</f>
        <v/>
      </c>
      <c r="J80">
        <f>ROUND(G80*Premissas!$D$5/10000,0)</f>
        <v/>
      </c>
      <c r="K80">
        <f>IF(IF(A80-1-Premissas!$D$16&gt;=0,OFFSET($A$4,A80-1-Premissas!$D$16,0)&gt;=Premissas!$D$19,FALSE),ROUND(IF(A80-1-Premissas!$D$16&gt;=0,OFFSET($J$4,A80-1-Premissas!$D$16,0),0)*Premissas!$D$15,0),0)</f>
        <v/>
      </c>
      <c r="L80">
        <f>ROUND(C80*Premissas!$D$24/12,0)</f>
        <v/>
      </c>
      <c r="M80">
        <f>ROUND(D80*Premissas!$D$25,0)</f>
        <v/>
      </c>
      <c r="N80">
        <f>ROUND(E80*Premissas!$D$29+B80*Premissas!$D$30,0)</f>
        <v/>
      </c>
      <c r="O80">
        <f>K80+L80+M80+N80</f>
        <v/>
      </c>
      <c r="P80">
        <f>K80+ROUND(AC80*Premissas!$D$24,0)+M80+N80</f>
        <v/>
      </c>
      <c r="Q80">
        <f>ROUND(IF(A80-1-Premissas!$D$21&gt;=0,OFFSET($P$4,A80-1-Premissas!$D$21,0),0)*(1-Premissas!$D$20/100),0)</f>
        <v/>
      </c>
      <c r="R80">
        <f>ROUND(F80*Premissas!$D$11+N80*Premissas!$D$31/100,0)+ROUND((E80+B80)*Premissas!$D$10,0)+ROUND(Q80*Premissas!$D$8/100,0)+ROUND(Premissas!$D$35+(B80+C80)*Premissas!$D$36,0)</f>
        <v/>
      </c>
      <c r="S80">
        <f>O80-R80</f>
        <v/>
      </c>
      <c r="T80">
        <f>ROUND(O80*Premissas!$D$9/100,0)</f>
        <v/>
      </c>
      <c r="U80">
        <f>ROUND(AB80*Premissas!$D$33,0)</f>
        <v/>
      </c>
      <c r="V80">
        <f>Premissas!$D$37+ROUND(Premissas!$D$12*Premissas!$D$38+D80*Premissas!$D$27,0)</f>
        <v/>
      </c>
      <c r="W80">
        <f>Premissas!$D$39</f>
        <v/>
      </c>
      <c r="X80">
        <f>S80-T80-ROUND(Premissas!$D$12*Premissas!$D$38+D80*Premissas!$D$27,0)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Premissas!$D$32+(B80+C80)/Premissas!$D$34</f>
        <v/>
      </c>
      <c r="AC80">
        <f>D80+AC68*(1-Premissas!$D$26/12)^12</f>
        <v/>
      </c>
    </row>
    <row r="81">
      <c r="A81" t="n">
        <v>78</v>
      </c>
      <c r="B81">
        <f>B80*(1-Premissas!$D$18/12)+Premissas!$D$12</f>
        <v/>
      </c>
      <c r="C81">
        <f>IF($B$2=1,C80*(1-Premissas!$D$26/12)+D81,0)</f>
        <v/>
      </c>
      <c r="D81">
        <f>IF(AND($B$2=1,A81&gt;=Premissas!$D$23),Premissas!$D$22,0)</f>
        <v/>
      </c>
      <c r="E81">
        <f>B81*Premissas!$D$28</f>
        <v/>
      </c>
      <c r="F81">
        <f>B81*Premissas!$D$13/12*MIN(1,A81/Premissas!$D$17)</f>
        <v/>
      </c>
      <c r="G81">
        <f>F81*Premissas!$D$14</f>
        <v/>
      </c>
      <c r="H81">
        <f>IF(IF(A81-1-Premissas!$D$16&gt;=0,OFFSET($J$4,A81-1-Premissas!$D$16,0),0)&gt;0,ROUND(IF(A81-1-Premissas!$D$16&gt;=0,OFFSET($J$4,A81-1-Premissas!$D$16,0),0)*10000/Premissas!$D$5*Premissas!$D$15,0),0)</f>
        <v/>
      </c>
      <c r="I81">
        <f>ROUND(G81*Premissas!$D$6/10000,0)</f>
        <v/>
      </c>
      <c r="J81">
        <f>ROUND(G81*Premissas!$D$5/10000,0)</f>
        <v/>
      </c>
      <c r="K81">
        <f>IF(IF(A81-1-Premissas!$D$16&gt;=0,OFFSET($A$4,A81-1-Premissas!$D$16,0)&gt;=Premissas!$D$19,FALSE),ROUND(IF(A81-1-Premissas!$D$16&gt;=0,OFFSET($J$4,A81-1-Premissas!$D$16,0),0)*Premissas!$D$15,0),0)</f>
        <v/>
      </c>
      <c r="L81">
        <f>ROUND(C81*Premissas!$D$24/12,0)</f>
        <v/>
      </c>
      <c r="M81">
        <f>ROUND(D81*Premissas!$D$25,0)</f>
        <v/>
      </c>
      <c r="N81">
        <f>ROUND(E81*Premissas!$D$29+B81*Premissas!$D$30,0)</f>
        <v/>
      </c>
      <c r="O81">
        <f>K81+L81+M81+N81</f>
        <v/>
      </c>
      <c r="P81">
        <f>K81+ROUND(AC81*Premissas!$D$24,0)+M81+N81</f>
        <v/>
      </c>
      <c r="Q81">
        <f>ROUND(IF(A81-1-Premissas!$D$21&gt;=0,OFFSET($P$4,A81-1-Premissas!$D$21,0),0)*(1-Premissas!$D$20/100),0)</f>
        <v/>
      </c>
      <c r="R81">
        <f>ROUND(F81*Premissas!$D$11+N81*Premissas!$D$31/100,0)+ROUND((E81+B81)*Premissas!$D$10,0)+ROUND(Q81*Premissas!$D$8/100,0)+ROUND(Premissas!$D$35+(B81+C81)*Premissas!$D$36,0)</f>
        <v/>
      </c>
      <c r="S81">
        <f>O81-R81</f>
        <v/>
      </c>
      <c r="T81">
        <f>ROUND(O81*Premissas!$D$9/100,0)</f>
        <v/>
      </c>
      <c r="U81">
        <f>ROUND(AB81*Premissas!$D$33,0)</f>
        <v/>
      </c>
      <c r="V81">
        <f>Premissas!$D$37+ROUND(Premissas!$D$12*Premissas!$D$38+D81*Premissas!$D$27,0)</f>
        <v/>
      </c>
      <c r="W81">
        <f>Premissas!$D$39</f>
        <v/>
      </c>
      <c r="X81">
        <f>S81-T81-ROUND(Premissas!$D$12*Premissas!$D$38+D81*Premissas!$D$27,0)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Premissas!$D$32+(B81+C81)/Premissas!$D$34</f>
        <v/>
      </c>
      <c r="AC81">
        <f>D81+AC69*(1-Premissas!$D$26/12)^12</f>
        <v/>
      </c>
    </row>
    <row r="82">
      <c r="A82" t="n">
        <v>79</v>
      </c>
      <c r="B82">
        <f>B81*(1-Premissas!$D$18/12)+Premissas!$D$12</f>
        <v/>
      </c>
      <c r="C82">
        <f>IF($B$2=1,C81*(1-Premissas!$D$26/12)+D82,0)</f>
        <v/>
      </c>
      <c r="D82">
        <f>IF(AND($B$2=1,A82&gt;=Premissas!$D$23),Premissas!$D$22,0)</f>
        <v/>
      </c>
      <c r="E82">
        <f>B82*Premissas!$D$28</f>
        <v/>
      </c>
      <c r="F82">
        <f>B82*Premissas!$D$13/12*MIN(1,A82/Premissas!$D$17)</f>
        <v/>
      </c>
      <c r="G82">
        <f>F82*Premissas!$D$14</f>
        <v/>
      </c>
      <c r="H82">
        <f>IF(IF(A82-1-Premissas!$D$16&gt;=0,OFFSET($J$4,A82-1-Premissas!$D$16,0),0)&gt;0,ROUND(IF(A82-1-Premissas!$D$16&gt;=0,OFFSET($J$4,A82-1-Premissas!$D$16,0),0)*10000/Premissas!$D$5*Premissas!$D$15,0),0)</f>
        <v/>
      </c>
      <c r="I82">
        <f>ROUND(G82*Premissas!$D$6/10000,0)</f>
        <v/>
      </c>
      <c r="J82">
        <f>ROUND(G82*Premissas!$D$5/10000,0)</f>
        <v/>
      </c>
      <c r="K82">
        <f>IF(IF(A82-1-Premissas!$D$16&gt;=0,OFFSET($A$4,A82-1-Premissas!$D$16,0)&gt;=Premissas!$D$19,FALSE),ROUND(IF(A82-1-Premissas!$D$16&gt;=0,OFFSET($J$4,A82-1-Premissas!$D$16,0),0)*Premissas!$D$15,0),0)</f>
        <v/>
      </c>
      <c r="L82">
        <f>ROUND(C82*Premissas!$D$24/12,0)</f>
        <v/>
      </c>
      <c r="M82">
        <f>ROUND(D82*Premissas!$D$25,0)</f>
        <v/>
      </c>
      <c r="N82">
        <f>ROUND(E82*Premissas!$D$29+B82*Premissas!$D$30,0)</f>
        <v/>
      </c>
      <c r="O82">
        <f>K82+L82+M82+N82</f>
        <v/>
      </c>
      <c r="P82">
        <f>K82+ROUND(AC82*Premissas!$D$24,0)+M82+N82</f>
        <v/>
      </c>
      <c r="Q82">
        <f>ROUND(IF(A82-1-Premissas!$D$21&gt;=0,OFFSET($P$4,A82-1-Premissas!$D$21,0),0)*(1-Premissas!$D$20/100),0)</f>
        <v/>
      </c>
      <c r="R82">
        <f>ROUND(F82*Premissas!$D$11+N82*Premissas!$D$31/100,0)+ROUND((E82+B82)*Premissas!$D$10,0)+ROUND(Q82*Premissas!$D$8/100,0)+ROUND(Premissas!$D$35+(B82+C82)*Premissas!$D$36,0)</f>
        <v/>
      </c>
      <c r="S82">
        <f>O82-R82</f>
        <v/>
      </c>
      <c r="T82">
        <f>ROUND(O82*Premissas!$D$9/100,0)</f>
        <v/>
      </c>
      <c r="U82">
        <f>ROUND(AB82*Premissas!$D$33,0)</f>
        <v/>
      </c>
      <c r="V82">
        <f>Premissas!$D$37+ROUND(Premissas!$D$12*Premissas!$D$38+D82*Premissas!$D$27,0)</f>
        <v/>
      </c>
      <c r="W82">
        <f>Premissas!$D$39</f>
        <v/>
      </c>
      <c r="X82">
        <f>S82-T82-ROUND(Premissas!$D$12*Premissas!$D$38+D82*Premissas!$D$27,0)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Premissas!$D$32+(B82+C82)/Premissas!$D$34</f>
        <v/>
      </c>
      <c r="AC82">
        <f>D82+AC70*(1-Premissas!$D$26/12)^12</f>
        <v/>
      </c>
    </row>
    <row r="83">
      <c r="A83" t="n">
        <v>80</v>
      </c>
      <c r="B83">
        <f>B82*(1-Premissas!$D$18/12)+Premissas!$D$12</f>
        <v/>
      </c>
      <c r="C83">
        <f>IF($B$2=1,C82*(1-Premissas!$D$26/12)+D83,0)</f>
        <v/>
      </c>
      <c r="D83">
        <f>IF(AND($B$2=1,A83&gt;=Premissas!$D$23),Premissas!$D$22,0)</f>
        <v/>
      </c>
      <c r="E83">
        <f>B83*Premissas!$D$28</f>
        <v/>
      </c>
      <c r="F83">
        <f>B83*Premissas!$D$13/12*MIN(1,A83/Premissas!$D$17)</f>
        <v/>
      </c>
      <c r="G83">
        <f>F83*Premissas!$D$14</f>
        <v/>
      </c>
      <c r="H83">
        <f>IF(IF(A83-1-Premissas!$D$16&gt;=0,OFFSET($J$4,A83-1-Premissas!$D$16,0),0)&gt;0,ROUND(IF(A83-1-Premissas!$D$16&gt;=0,OFFSET($J$4,A83-1-Premissas!$D$16,0),0)*10000/Premissas!$D$5*Premissas!$D$15,0),0)</f>
        <v/>
      </c>
      <c r="I83">
        <f>ROUND(G83*Premissas!$D$6/10000,0)</f>
        <v/>
      </c>
      <c r="J83">
        <f>ROUND(G83*Premissas!$D$5/10000,0)</f>
        <v/>
      </c>
      <c r="K83">
        <f>IF(IF(A83-1-Premissas!$D$16&gt;=0,OFFSET($A$4,A83-1-Premissas!$D$16,0)&gt;=Premissas!$D$19,FALSE),ROUND(IF(A83-1-Premissas!$D$16&gt;=0,OFFSET($J$4,A83-1-Premissas!$D$16,0),0)*Premissas!$D$15,0),0)</f>
        <v/>
      </c>
      <c r="L83">
        <f>ROUND(C83*Premissas!$D$24/12,0)</f>
        <v/>
      </c>
      <c r="M83">
        <f>ROUND(D83*Premissas!$D$25,0)</f>
        <v/>
      </c>
      <c r="N83">
        <f>ROUND(E83*Premissas!$D$29+B83*Premissas!$D$30,0)</f>
        <v/>
      </c>
      <c r="O83">
        <f>K83+L83+M83+N83</f>
        <v/>
      </c>
      <c r="P83">
        <f>K83+ROUND(AC83*Premissas!$D$24,0)+M83+N83</f>
        <v/>
      </c>
      <c r="Q83">
        <f>ROUND(IF(A83-1-Premissas!$D$21&gt;=0,OFFSET($P$4,A83-1-Premissas!$D$21,0),0)*(1-Premissas!$D$20/100),0)</f>
        <v/>
      </c>
      <c r="R83">
        <f>ROUND(F83*Premissas!$D$11+N83*Premissas!$D$31/100,0)+ROUND((E83+B83)*Premissas!$D$10,0)+ROUND(Q83*Premissas!$D$8/100,0)+ROUND(Premissas!$D$35+(B83+C83)*Premissas!$D$36,0)</f>
        <v/>
      </c>
      <c r="S83">
        <f>O83-R83</f>
        <v/>
      </c>
      <c r="T83">
        <f>ROUND(O83*Premissas!$D$9/100,0)</f>
        <v/>
      </c>
      <c r="U83">
        <f>ROUND(AB83*Premissas!$D$33,0)</f>
        <v/>
      </c>
      <c r="V83">
        <f>Premissas!$D$37+ROUND(Premissas!$D$12*Premissas!$D$38+D83*Premissas!$D$27,0)</f>
        <v/>
      </c>
      <c r="W83">
        <f>Premissas!$D$39</f>
        <v/>
      </c>
      <c r="X83">
        <f>S83-T83-ROUND(Premissas!$D$12*Premissas!$D$38+D83*Premissas!$D$27,0)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Premissas!$D$32+(B83+C83)/Premissas!$D$34</f>
        <v/>
      </c>
      <c r="AC83">
        <f>D83+AC71*(1-Premissas!$D$26/12)^12</f>
        <v/>
      </c>
    </row>
    <row r="84">
      <c r="A84" t="n">
        <v>81</v>
      </c>
      <c r="B84">
        <f>B83*(1-Premissas!$D$18/12)+Premissas!$D$12</f>
        <v/>
      </c>
      <c r="C84">
        <f>IF($B$2=1,C83*(1-Premissas!$D$26/12)+D84,0)</f>
        <v/>
      </c>
      <c r="D84">
        <f>IF(AND($B$2=1,A84&gt;=Premissas!$D$23),Premissas!$D$22,0)</f>
        <v/>
      </c>
      <c r="E84">
        <f>B84*Premissas!$D$28</f>
        <v/>
      </c>
      <c r="F84">
        <f>B84*Premissas!$D$13/12*MIN(1,A84/Premissas!$D$17)</f>
        <v/>
      </c>
      <c r="G84">
        <f>F84*Premissas!$D$14</f>
        <v/>
      </c>
      <c r="H84">
        <f>IF(IF(A84-1-Premissas!$D$16&gt;=0,OFFSET($J$4,A84-1-Premissas!$D$16,0),0)&gt;0,ROUND(IF(A84-1-Premissas!$D$16&gt;=0,OFFSET($J$4,A84-1-Premissas!$D$16,0),0)*10000/Premissas!$D$5*Premissas!$D$15,0),0)</f>
        <v/>
      </c>
      <c r="I84">
        <f>ROUND(G84*Premissas!$D$6/10000,0)</f>
        <v/>
      </c>
      <c r="J84">
        <f>ROUND(G84*Premissas!$D$5/10000,0)</f>
        <v/>
      </c>
      <c r="K84">
        <f>IF(IF(A84-1-Premissas!$D$16&gt;=0,OFFSET($A$4,A84-1-Premissas!$D$16,0)&gt;=Premissas!$D$19,FALSE),ROUND(IF(A84-1-Premissas!$D$16&gt;=0,OFFSET($J$4,A84-1-Premissas!$D$16,0),0)*Premissas!$D$15,0),0)</f>
        <v/>
      </c>
      <c r="L84">
        <f>ROUND(C84*Premissas!$D$24/12,0)</f>
        <v/>
      </c>
      <c r="M84">
        <f>ROUND(D84*Premissas!$D$25,0)</f>
        <v/>
      </c>
      <c r="N84">
        <f>ROUND(E84*Premissas!$D$29+B84*Premissas!$D$30,0)</f>
        <v/>
      </c>
      <c r="O84">
        <f>K84+L84+M84+N84</f>
        <v/>
      </c>
      <c r="P84">
        <f>K84+ROUND(AC84*Premissas!$D$24,0)+M84+N84</f>
        <v/>
      </c>
      <c r="Q84">
        <f>ROUND(IF(A84-1-Premissas!$D$21&gt;=0,OFFSET($P$4,A84-1-Premissas!$D$21,0),0)*(1-Premissas!$D$20/100),0)</f>
        <v/>
      </c>
      <c r="R84">
        <f>ROUND(F84*Premissas!$D$11+N84*Premissas!$D$31/100,0)+ROUND((E84+B84)*Premissas!$D$10,0)+ROUND(Q84*Premissas!$D$8/100,0)+ROUND(Premissas!$D$35+(B84+C84)*Premissas!$D$36,0)</f>
        <v/>
      </c>
      <c r="S84">
        <f>O84-R84</f>
        <v/>
      </c>
      <c r="T84">
        <f>ROUND(O84*Premissas!$D$9/100,0)</f>
        <v/>
      </c>
      <c r="U84">
        <f>ROUND(AB84*Premissas!$D$33,0)</f>
        <v/>
      </c>
      <c r="V84">
        <f>Premissas!$D$37+ROUND(Premissas!$D$12*Premissas!$D$38+D84*Premissas!$D$27,0)</f>
        <v/>
      </c>
      <c r="W84">
        <f>Premissas!$D$39</f>
        <v/>
      </c>
      <c r="X84">
        <f>S84-T84-ROUND(Premissas!$D$12*Premissas!$D$38+D84*Premissas!$D$27,0)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Premissas!$D$32+(B84+C84)/Premissas!$D$34</f>
        <v/>
      </c>
      <c r="AC84">
        <f>D84+AC72*(1-Premissas!$D$26/12)^12</f>
        <v/>
      </c>
    </row>
    <row r="85">
      <c r="A85" t="n">
        <v>82</v>
      </c>
      <c r="B85">
        <f>B84*(1-Premissas!$D$18/12)+Premissas!$D$12</f>
        <v/>
      </c>
      <c r="C85">
        <f>IF($B$2=1,C84*(1-Premissas!$D$26/12)+D85,0)</f>
        <v/>
      </c>
      <c r="D85">
        <f>IF(AND($B$2=1,A85&gt;=Premissas!$D$23),Premissas!$D$22,0)</f>
        <v/>
      </c>
      <c r="E85">
        <f>B85*Premissas!$D$28</f>
        <v/>
      </c>
      <c r="F85">
        <f>B85*Premissas!$D$13/12*MIN(1,A85/Premissas!$D$17)</f>
        <v/>
      </c>
      <c r="G85">
        <f>F85*Premissas!$D$14</f>
        <v/>
      </c>
      <c r="H85">
        <f>IF(IF(A85-1-Premissas!$D$16&gt;=0,OFFSET($J$4,A85-1-Premissas!$D$16,0),0)&gt;0,ROUND(IF(A85-1-Premissas!$D$16&gt;=0,OFFSET($J$4,A85-1-Premissas!$D$16,0),0)*10000/Premissas!$D$5*Premissas!$D$15,0),0)</f>
        <v/>
      </c>
      <c r="I85">
        <f>ROUND(G85*Premissas!$D$6/10000,0)</f>
        <v/>
      </c>
      <c r="J85">
        <f>ROUND(G85*Premissas!$D$5/10000,0)</f>
        <v/>
      </c>
      <c r="K85">
        <f>IF(IF(A85-1-Premissas!$D$16&gt;=0,OFFSET($A$4,A85-1-Premissas!$D$16,0)&gt;=Premissas!$D$19,FALSE),ROUND(IF(A85-1-Premissas!$D$16&gt;=0,OFFSET($J$4,A85-1-Premissas!$D$16,0),0)*Premissas!$D$15,0),0)</f>
        <v/>
      </c>
      <c r="L85">
        <f>ROUND(C85*Premissas!$D$24/12,0)</f>
        <v/>
      </c>
      <c r="M85">
        <f>ROUND(D85*Premissas!$D$25,0)</f>
        <v/>
      </c>
      <c r="N85">
        <f>ROUND(E85*Premissas!$D$29+B85*Premissas!$D$30,0)</f>
        <v/>
      </c>
      <c r="O85">
        <f>K85+L85+M85+N85</f>
        <v/>
      </c>
      <c r="P85">
        <f>K85+ROUND(AC85*Premissas!$D$24,0)+M85+N85</f>
        <v/>
      </c>
      <c r="Q85">
        <f>ROUND(IF(A85-1-Premissas!$D$21&gt;=0,OFFSET($P$4,A85-1-Premissas!$D$21,0),0)*(1-Premissas!$D$20/100),0)</f>
        <v/>
      </c>
      <c r="R85">
        <f>ROUND(F85*Premissas!$D$11+N85*Premissas!$D$31/100,0)+ROUND((E85+B85)*Premissas!$D$10,0)+ROUND(Q85*Premissas!$D$8/100,0)+ROUND(Premissas!$D$35+(B85+C85)*Premissas!$D$36,0)</f>
        <v/>
      </c>
      <c r="S85">
        <f>O85-R85</f>
        <v/>
      </c>
      <c r="T85">
        <f>ROUND(O85*Premissas!$D$9/100,0)</f>
        <v/>
      </c>
      <c r="U85">
        <f>ROUND(AB85*Premissas!$D$33,0)</f>
        <v/>
      </c>
      <c r="V85">
        <f>Premissas!$D$37+ROUND(Premissas!$D$12*Premissas!$D$38+D85*Premissas!$D$27,0)</f>
        <v/>
      </c>
      <c r="W85">
        <f>Premissas!$D$39</f>
        <v/>
      </c>
      <c r="X85">
        <f>S85-T85-ROUND(Premissas!$D$12*Premissas!$D$38+D85*Premissas!$D$27,0)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Premissas!$D$32+(B85+C85)/Premissas!$D$34</f>
        <v/>
      </c>
      <c r="AC85">
        <f>D85+AC73*(1-Premissas!$D$26/12)^12</f>
        <v/>
      </c>
    </row>
    <row r="86">
      <c r="A86" t="n">
        <v>83</v>
      </c>
      <c r="B86">
        <f>B85*(1-Premissas!$D$18/12)+Premissas!$D$12</f>
        <v/>
      </c>
      <c r="C86">
        <f>IF($B$2=1,C85*(1-Premissas!$D$26/12)+D86,0)</f>
        <v/>
      </c>
      <c r="D86">
        <f>IF(AND($B$2=1,A86&gt;=Premissas!$D$23),Premissas!$D$22,0)</f>
        <v/>
      </c>
      <c r="E86">
        <f>B86*Premissas!$D$28</f>
        <v/>
      </c>
      <c r="F86">
        <f>B86*Premissas!$D$13/12*MIN(1,A86/Premissas!$D$17)</f>
        <v/>
      </c>
      <c r="G86">
        <f>F86*Premissas!$D$14</f>
        <v/>
      </c>
      <c r="H86">
        <f>IF(IF(A86-1-Premissas!$D$16&gt;=0,OFFSET($J$4,A86-1-Premissas!$D$16,0),0)&gt;0,ROUND(IF(A86-1-Premissas!$D$16&gt;=0,OFFSET($J$4,A86-1-Premissas!$D$16,0),0)*10000/Premissas!$D$5*Premissas!$D$15,0),0)</f>
        <v/>
      </c>
      <c r="I86">
        <f>ROUND(G86*Premissas!$D$6/10000,0)</f>
        <v/>
      </c>
      <c r="J86">
        <f>ROUND(G86*Premissas!$D$5/10000,0)</f>
        <v/>
      </c>
      <c r="K86">
        <f>IF(IF(A86-1-Premissas!$D$16&gt;=0,OFFSET($A$4,A86-1-Premissas!$D$16,0)&gt;=Premissas!$D$19,FALSE),ROUND(IF(A86-1-Premissas!$D$16&gt;=0,OFFSET($J$4,A86-1-Premissas!$D$16,0),0)*Premissas!$D$15,0),0)</f>
        <v/>
      </c>
      <c r="L86">
        <f>ROUND(C86*Premissas!$D$24/12,0)</f>
        <v/>
      </c>
      <c r="M86">
        <f>ROUND(D86*Premissas!$D$25,0)</f>
        <v/>
      </c>
      <c r="N86">
        <f>ROUND(E86*Premissas!$D$29+B86*Premissas!$D$30,0)</f>
        <v/>
      </c>
      <c r="O86">
        <f>K86+L86+M86+N86</f>
        <v/>
      </c>
      <c r="P86">
        <f>K86+ROUND(AC86*Premissas!$D$24,0)+M86+N86</f>
        <v/>
      </c>
      <c r="Q86">
        <f>ROUND(IF(A86-1-Premissas!$D$21&gt;=0,OFFSET($P$4,A86-1-Premissas!$D$21,0),0)*(1-Premissas!$D$20/100),0)</f>
        <v/>
      </c>
      <c r="R86">
        <f>ROUND(F86*Premissas!$D$11+N86*Premissas!$D$31/100,0)+ROUND((E86+B86)*Premissas!$D$10,0)+ROUND(Q86*Premissas!$D$8/100,0)+ROUND(Premissas!$D$35+(B86+C86)*Premissas!$D$36,0)</f>
        <v/>
      </c>
      <c r="S86">
        <f>O86-R86</f>
        <v/>
      </c>
      <c r="T86">
        <f>ROUND(O86*Premissas!$D$9/100,0)</f>
        <v/>
      </c>
      <c r="U86">
        <f>ROUND(AB86*Premissas!$D$33,0)</f>
        <v/>
      </c>
      <c r="V86">
        <f>Premissas!$D$37+ROUND(Premissas!$D$12*Premissas!$D$38+D86*Premissas!$D$27,0)</f>
        <v/>
      </c>
      <c r="W86">
        <f>Premissas!$D$39</f>
        <v/>
      </c>
      <c r="X86">
        <f>S86-T86-ROUND(Premissas!$D$12*Premissas!$D$38+D86*Premissas!$D$27,0)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Premissas!$D$32+(B86+C86)/Premissas!$D$34</f>
        <v/>
      </c>
      <c r="AC86">
        <f>D86+AC74*(1-Premissas!$D$26/12)^12</f>
        <v/>
      </c>
    </row>
    <row r="87">
      <c r="A87" t="n">
        <v>84</v>
      </c>
      <c r="B87">
        <f>B86*(1-Premissas!$D$18/12)+Premissas!$D$12</f>
        <v/>
      </c>
      <c r="C87">
        <f>IF($B$2=1,C86*(1-Premissas!$D$26/12)+D87,0)</f>
        <v/>
      </c>
      <c r="D87">
        <f>IF(AND($B$2=1,A87&gt;=Premissas!$D$23),Premissas!$D$22,0)</f>
        <v/>
      </c>
      <c r="E87">
        <f>B87*Premissas!$D$28</f>
        <v/>
      </c>
      <c r="F87">
        <f>B87*Premissas!$D$13/12*MIN(1,A87/Premissas!$D$17)</f>
        <v/>
      </c>
      <c r="G87">
        <f>F87*Premissas!$D$14</f>
        <v/>
      </c>
      <c r="H87">
        <f>IF(IF(A87-1-Premissas!$D$16&gt;=0,OFFSET($J$4,A87-1-Premissas!$D$16,0),0)&gt;0,ROUND(IF(A87-1-Premissas!$D$16&gt;=0,OFFSET($J$4,A87-1-Premissas!$D$16,0),0)*10000/Premissas!$D$5*Premissas!$D$15,0),0)</f>
        <v/>
      </c>
      <c r="I87">
        <f>ROUND(G87*Premissas!$D$6/10000,0)</f>
        <v/>
      </c>
      <c r="J87">
        <f>ROUND(G87*Premissas!$D$5/10000,0)</f>
        <v/>
      </c>
      <c r="K87">
        <f>IF(IF(A87-1-Premissas!$D$16&gt;=0,OFFSET($A$4,A87-1-Premissas!$D$16,0)&gt;=Premissas!$D$19,FALSE),ROUND(IF(A87-1-Premissas!$D$16&gt;=0,OFFSET($J$4,A87-1-Premissas!$D$16,0),0)*Premissas!$D$15,0),0)</f>
        <v/>
      </c>
      <c r="L87">
        <f>ROUND(C87*Premissas!$D$24/12,0)</f>
        <v/>
      </c>
      <c r="M87">
        <f>ROUND(D87*Premissas!$D$25,0)</f>
        <v/>
      </c>
      <c r="N87">
        <f>ROUND(E87*Premissas!$D$29+B87*Premissas!$D$30,0)</f>
        <v/>
      </c>
      <c r="O87">
        <f>K87+L87+M87+N87</f>
        <v/>
      </c>
      <c r="P87">
        <f>K87+ROUND(AC87*Premissas!$D$24,0)+M87+N87</f>
        <v/>
      </c>
      <c r="Q87">
        <f>ROUND(IF(A87-1-Premissas!$D$21&gt;=0,OFFSET($P$4,A87-1-Premissas!$D$21,0),0)*(1-Premissas!$D$20/100),0)</f>
        <v/>
      </c>
      <c r="R87">
        <f>ROUND(F87*Premissas!$D$11+N87*Premissas!$D$31/100,0)+ROUND((E87+B87)*Premissas!$D$10,0)+ROUND(Q87*Premissas!$D$8/100,0)+ROUND(Premissas!$D$35+(B87+C87)*Premissas!$D$36,0)</f>
        <v/>
      </c>
      <c r="S87">
        <f>O87-R87</f>
        <v/>
      </c>
      <c r="T87">
        <f>ROUND(O87*Premissas!$D$9/100,0)</f>
        <v/>
      </c>
      <c r="U87">
        <f>ROUND(AB87*Premissas!$D$33,0)</f>
        <v/>
      </c>
      <c r="V87">
        <f>Premissas!$D$37+ROUND(Premissas!$D$12*Premissas!$D$38+D87*Premissas!$D$27,0)</f>
        <v/>
      </c>
      <c r="W87">
        <f>Premissas!$D$39</f>
        <v/>
      </c>
      <c r="X87">
        <f>S87-T87-ROUND(Premissas!$D$12*Premissas!$D$38+D87*Premissas!$D$27,0)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Premissas!$D$32+(B87+C87)/Premissas!$D$34</f>
        <v/>
      </c>
      <c r="AC87">
        <f>D87+AC75*(1-Premissas!$D$26/12)^12</f>
        <v/>
      </c>
    </row>
    <row r="88">
      <c r="A88" t="n">
        <v>85</v>
      </c>
      <c r="B88">
        <f>B87*(1-Premissas!$D$18/12)+Premissas!$D$12</f>
        <v/>
      </c>
      <c r="C88">
        <f>IF($B$2=1,C87*(1-Premissas!$D$26/12)+D88,0)</f>
        <v/>
      </c>
      <c r="D88">
        <f>IF(AND($B$2=1,A88&gt;=Premissas!$D$23),Premissas!$D$22,0)</f>
        <v/>
      </c>
      <c r="E88">
        <f>B88*Premissas!$D$28</f>
        <v/>
      </c>
      <c r="F88">
        <f>B88*Premissas!$D$13/12*MIN(1,A88/Premissas!$D$17)</f>
        <v/>
      </c>
      <c r="G88">
        <f>F88*Premissas!$D$14</f>
        <v/>
      </c>
      <c r="H88">
        <f>IF(IF(A88-1-Premissas!$D$16&gt;=0,OFFSET($J$4,A88-1-Premissas!$D$16,0),0)&gt;0,ROUND(IF(A88-1-Premissas!$D$16&gt;=0,OFFSET($J$4,A88-1-Premissas!$D$16,0),0)*10000/Premissas!$D$5*Premissas!$D$15,0),0)</f>
        <v/>
      </c>
      <c r="I88">
        <f>ROUND(G88*Premissas!$D$6/10000,0)</f>
        <v/>
      </c>
      <c r="J88">
        <f>ROUND(G88*Premissas!$D$5/10000,0)</f>
        <v/>
      </c>
      <c r="K88">
        <f>IF(IF(A88-1-Premissas!$D$16&gt;=0,OFFSET($A$4,A88-1-Premissas!$D$16,0)&gt;=Premissas!$D$19,FALSE),ROUND(IF(A88-1-Premissas!$D$16&gt;=0,OFFSET($J$4,A88-1-Premissas!$D$16,0),0)*Premissas!$D$15,0),0)</f>
        <v/>
      </c>
      <c r="L88">
        <f>ROUND(C88*Premissas!$D$24/12,0)</f>
        <v/>
      </c>
      <c r="M88">
        <f>ROUND(D88*Premissas!$D$25,0)</f>
        <v/>
      </c>
      <c r="N88">
        <f>ROUND(E88*Premissas!$D$29+B88*Premissas!$D$30,0)</f>
        <v/>
      </c>
      <c r="O88">
        <f>K88+L88+M88+N88</f>
        <v/>
      </c>
      <c r="P88">
        <f>K88+ROUND(AC88*Premissas!$D$24,0)+M88+N88</f>
        <v/>
      </c>
      <c r="Q88">
        <f>ROUND(IF(A88-1-Premissas!$D$21&gt;=0,OFFSET($P$4,A88-1-Premissas!$D$21,0),0)*(1-Premissas!$D$20/100),0)</f>
        <v/>
      </c>
      <c r="R88">
        <f>ROUND(F88*Premissas!$D$11+N88*Premissas!$D$31/100,0)+ROUND((E88+B88)*Premissas!$D$10,0)+ROUND(Q88*Premissas!$D$8/100,0)+ROUND(Premissas!$D$35+(B88+C88)*Premissas!$D$36,0)</f>
        <v/>
      </c>
      <c r="S88">
        <f>O88-R88</f>
        <v/>
      </c>
      <c r="T88">
        <f>ROUND(O88*Premissas!$D$9/100,0)</f>
        <v/>
      </c>
      <c r="U88">
        <f>ROUND(AB88*Premissas!$D$33,0)</f>
        <v/>
      </c>
      <c r="V88">
        <f>Premissas!$D$37+ROUND(Premissas!$D$12*Premissas!$D$38+D88*Premissas!$D$27,0)</f>
        <v/>
      </c>
      <c r="W88">
        <f>Premissas!$D$39</f>
        <v/>
      </c>
      <c r="X88">
        <f>S88-T88-ROUND(Premissas!$D$12*Premissas!$D$38+D88*Premissas!$D$27,0)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Premissas!$D$32+(B88+C88)/Premissas!$D$34</f>
        <v/>
      </c>
      <c r="AC88">
        <f>D88+AC76*(1-Premissas!$D$26/12)^12</f>
        <v/>
      </c>
    </row>
    <row r="89">
      <c r="A89" t="n">
        <v>86</v>
      </c>
      <c r="B89">
        <f>B88*(1-Premissas!$D$18/12)+Premissas!$D$12</f>
        <v/>
      </c>
      <c r="C89">
        <f>IF($B$2=1,C88*(1-Premissas!$D$26/12)+D89,0)</f>
        <v/>
      </c>
      <c r="D89">
        <f>IF(AND($B$2=1,A89&gt;=Premissas!$D$23),Premissas!$D$22,0)</f>
        <v/>
      </c>
      <c r="E89">
        <f>B89*Premissas!$D$28</f>
        <v/>
      </c>
      <c r="F89">
        <f>B89*Premissas!$D$13/12*MIN(1,A89/Premissas!$D$17)</f>
        <v/>
      </c>
      <c r="G89">
        <f>F89*Premissas!$D$14</f>
        <v/>
      </c>
      <c r="H89">
        <f>IF(IF(A89-1-Premissas!$D$16&gt;=0,OFFSET($J$4,A89-1-Premissas!$D$16,0),0)&gt;0,ROUND(IF(A89-1-Premissas!$D$16&gt;=0,OFFSET($J$4,A89-1-Premissas!$D$16,0),0)*10000/Premissas!$D$5*Premissas!$D$15,0),0)</f>
        <v/>
      </c>
      <c r="I89">
        <f>ROUND(G89*Premissas!$D$6/10000,0)</f>
        <v/>
      </c>
      <c r="J89">
        <f>ROUND(G89*Premissas!$D$5/10000,0)</f>
        <v/>
      </c>
      <c r="K89">
        <f>IF(IF(A89-1-Premissas!$D$16&gt;=0,OFFSET($A$4,A89-1-Premissas!$D$16,0)&gt;=Premissas!$D$19,FALSE),ROUND(IF(A89-1-Premissas!$D$16&gt;=0,OFFSET($J$4,A89-1-Premissas!$D$16,0),0)*Premissas!$D$15,0),0)</f>
        <v/>
      </c>
      <c r="L89">
        <f>ROUND(C89*Premissas!$D$24/12,0)</f>
        <v/>
      </c>
      <c r="M89">
        <f>ROUND(D89*Premissas!$D$25,0)</f>
        <v/>
      </c>
      <c r="N89">
        <f>ROUND(E89*Premissas!$D$29+B89*Premissas!$D$30,0)</f>
        <v/>
      </c>
      <c r="O89">
        <f>K89+L89+M89+N89</f>
        <v/>
      </c>
      <c r="P89">
        <f>K89+ROUND(AC89*Premissas!$D$24,0)+M89+N89</f>
        <v/>
      </c>
      <c r="Q89">
        <f>ROUND(IF(A89-1-Premissas!$D$21&gt;=0,OFFSET($P$4,A89-1-Premissas!$D$21,0),0)*(1-Premissas!$D$20/100),0)</f>
        <v/>
      </c>
      <c r="R89">
        <f>ROUND(F89*Premissas!$D$11+N89*Premissas!$D$31/100,0)+ROUND((E89+B89)*Premissas!$D$10,0)+ROUND(Q89*Premissas!$D$8/100,0)+ROUND(Premissas!$D$35+(B89+C89)*Premissas!$D$36,0)</f>
        <v/>
      </c>
      <c r="S89">
        <f>O89-R89</f>
        <v/>
      </c>
      <c r="T89">
        <f>ROUND(O89*Premissas!$D$9/100,0)</f>
        <v/>
      </c>
      <c r="U89">
        <f>ROUND(AB89*Premissas!$D$33,0)</f>
        <v/>
      </c>
      <c r="V89">
        <f>Premissas!$D$37+ROUND(Premissas!$D$12*Premissas!$D$38+D89*Premissas!$D$27,0)</f>
        <v/>
      </c>
      <c r="W89">
        <f>Premissas!$D$39</f>
        <v/>
      </c>
      <c r="X89">
        <f>S89-T89-ROUND(Premissas!$D$12*Premissas!$D$38+D89*Premissas!$D$27,0)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Premissas!$D$32+(B89+C89)/Premissas!$D$34</f>
        <v/>
      </c>
      <c r="AC89">
        <f>D89+AC77*(1-Premissas!$D$26/12)^12</f>
        <v/>
      </c>
    </row>
    <row r="90">
      <c r="A90" t="n">
        <v>87</v>
      </c>
      <c r="B90">
        <f>B89*(1-Premissas!$D$18/12)+Premissas!$D$12</f>
        <v/>
      </c>
      <c r="C90">
        <f>IF($B$2=1,C89*(1-Premissas!$D$26/12)+D90,0)</f>
        <v/>
      </c>
      <c r="D90">
        <f>IF(AND($B$2=1,A90&gt;=Premissas!$D$23),Premissas!$D$22,0)</f>
        <v/>
      </c>
      <c r="E90">
        <f>B90*Premissas!$D$28</f>
        <v/>
      </c>
      <c r="F90">
        <f>B90*Premissas!$D$13/12*MIN(1,A90/Premissas!$D$17)</f>
        <v/>
      </c>
      <c r="G90">
        <f>F90*Premissas!$D$14</f>
        <v/>
      </c>
      <c r="H90">
        <f>IF(IF(A90-1-Premissas!$D$16&gt;=0,OFFSET($J$4,A90-1-Premissas!$D$16,0),0)&gt;0,ROUND(IF(A90-1-Premissas!$D$16&gt;=0,OFFSET($J$4,A90-1-Premissas!$D$16,0),0)*10000/Premissas!$D$5*Premissas!$D$15,0),0)</f>
        <v/>
      </c>
      <c r="I90">
        <f>ROUND(G90*Premissas!$D$6/10000,0)</f>
        <v/>
      </c>
      <c r="J90">
        <f>ROUND(G90*Premissas!$D$5/10000,0)</f>
        <v/>
      </c>
      <c r="K90">
        <f>IF(IF(A90-1-Premissas!$D$16&gt;=0,OFFSET($A$4,A90-1-Premissas!$D$16,0)&gt;=Premissas!$D$19,FALSE),ROUND(IF(A90-1-Premissas!$D$16&gt;=0,OFFSET($J$4,A90-1-Premissas!$D$16,0),0)*Premissas!$D$15,0),0)</f>
        <v/>
      </c>
      <c r="L90">
        <f>ROUND(C90*Premissas!$D$24/12,0)</f>
        <v/>
      </c>
      <c r="M90">
        <f>ROUND(D90*Premissas!$D$25,0)</f>
        <v/>
      </c>
      <c r="N90">
        <f>ROUND(E90*Premissas!$D$29+B90*Premissas!$D$30,0)</f>
        <v/>
      </c>
      <c r="O90">
        <f>K90+L90+M90+N90</f>
        <v/>
      </c>
      <c r="P90">
        <f>K90+ROUND(AC90*Premissas!$D$24,0)+M90+N90</f>
        <v/>
      </c>
      <c r="Q90">
        <f>ROUND(IF(A90-1-Premissas!$D$21&gt;=0,OFFSET($P$4,A90-1-Premissas!$D$21,0),0)*(1-Premissas!$D$20/100),0)</f>
        <v/>
      </c>
      <c r="R90">
        <f>ROUND(F90*Premissas!$D$11+N90*Premissas!$D$31/100,0)+ROUND((E90+B90)*Premissas!$D$10,0)+ROUND(Q90*Premissas!$D$8/100,0)+ROUND(Premissas!$D$35+(B90+C90)*Premissas!$D$36,0)</f>
        <v/>
      </c>
      <c r="S90">
        <f>O90-R90</f>
        <v/>
      </c>
      <c r="T90">
        <f>ROUND(O90*Premissas!$D$9/100,0)</f>
        <v/>
      </c>
      <c r="U90">
        <f>ROUND(AB90*Premissas!$D$33,0)</f>
        <v/>
      </c>
      <c r="V90">
        <f>Premissas!$D$37+ROUND(Premissas!$D$12*Premissas!$D$38+D90*Premissas!$D$27,0)</f>
        <v/>
      </c>
      <c r="W90">
        <f>Premissas!$D$39</f>
        <v/>
      </c>
      <c r="X90">
        <f>S90-T90-ROUND(Premissas!$D$12*Premissas!$D$38+D90*Premissas!$D$27,0)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Premissas!$D$32+(B90+C90)/Premissas!$D$34</f>
        <v/>
      </c>
      <c r="AC90">
        <f>D90+AC78*(1-Premissas!$D$26/12)^12</f>
        <v/>
      </c>
    </row>
    <row r="91">
      <c r="A91" t="n">
        <v>88</v>
      </c>
      <c r="B91">
        <f>B90*(1-Premissas!$D$18/12)+Premissas!$D$12</f>
        <v/>
      </c>
      <c r="C91">
        <f>IF($B$2=1,C90*(1-Premissas!$D$26/12)+D91,0)</f>
        <v/>
      </c>
      <c r="D91">
        <f>IF(AND($B$2=1,A91&gt;=Premissas!$D$23),Premissas!$D$22,0)</f>
        <v/>
      </c>
      <c r="E91">
        <f>B91*Premissas!$D$28</f>
        <v/>
      </c>
      <c r="F91">
        <f>B91*Premissas!$D$13/12*MIN(1,A91/Premissas!$D$17)</f>
        <v/>
      </c>
      <c r="G91">
        <f>F91*Premissas!$D$14</f>
        <v/>
      </c>
      <c r="H91">
        <f>IF(IF(A91-1-Premissas!$D$16&gt;=0,OFFSET($J$4,A91-1-Premissas!$D$16,0),0)&gt;0,ROUND(IF(A91-1-Premissas!$D$16&gt;=0,OFFSET($J$4,A91-1-Premissas!$D$16,0),0)*10000/Premissas!$D$5*Premissas!$D$15,0),0)</f>
        <v/>
      </c>
      <c r="I91">
        <f>ROUND(G91*Premissas!$D$6/10000,0)</f>
        <v/>
      </c>
      <c r="J91">
        <f>ROUND(G91*Premissas!$D$5/10000,0)</f>
        <v/>
      </c>
      <c r="K91">
        <f>IF(IF(A91-1-Premissas!$D$16&gt;=0,OFFSET($A$4,A91-1-Premissas!$D$16,0)&gt;=Premissas!$D$19,FALSE),ROUND(IF(A91-1-Premissas!$D$16&gt;=0,OFFSET($J$4,A91-1-Premissas!$D$16,0),0)*Premissas!$D$15,0),0)</f>
        <v/>
      </c>
      <c r="L91">
        <f>ROUND(C91*Premissas!$D$24/12,0)</f>
        <v/>
      </c>
      <c r="M91">
        <f>ROUND(D91*Premissas!$D$25,0)</f>
        <v/>
      </c>
      <c r="N91">
        <f>ROUND(E91*Premissas!$D$29+B91*Premissas!$D$30,0)</f>
        <v/>
      </c>
      <c r="O91">
        <f>K91+L91+M91+N91</f>
        <v/>
      </c>
      <c r="P91">
        <f>K91+ROUND(AC91*Premissas!$D$24,0)+M91+N91</f>
        <v/>
      </c>
      <c r="Q91">
        <f>ROUND(IF(A91-1-Premissas!$D$21&gt;=0,OFFSET($P$4,A91-1-Premissas!$D$21,0),0)*(1-Premissas!$D$20/100),0)</f>
        <v/>
      </c>
      <c r="R91">
        <f>ROUND(F91*Premissas!$D$11+N91*Premissas!$D$31/100,0)+ROUND((E91+B91)*Premissas!$D$10,0)+ROUND(Q91*Premissas!$D$8/100,0)+ROUND(Premissas!$D$35+(B91+C91)*Premissas!$D$36,0)</f>
        <v/>
      </c>
      <c r="S91">
        <f>O91-R91</f>
        <v/>
      </c>
      <c r="T91">
        <f>ROUND(O91*Premissas!$D$9/100,0)</f>
        <v/>
      </c>
      <c r="U91">
        <f>ROUND(AB91*Premissas!$D$33,0)</f>
        <v/>
      </c>
      <c r="V91">
        <f>Premissas!$D$37+ROUND(Premissas!$D$12*Premissas!$D$38+D91*Premissas!$D$27,0)</f>
        <v/>
      </c>
      <c r="W91">
        <f>Premissas!$D$39</f>
        <v/>
      </c>
      <c r="X91">
        <f>S91-T91-ROUND(Premissas!$D$12*Premissas!$D$38+D91*Premissas!$D$27,0)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Premissas!$D$32+(B91+C91)/Premissas!$D$34</f>
        <v/>
      </c>
      <c r="AC91">
        <f>D91+AC79*(1-Premissas!$D$26/12)^12</f>
        <v/>
      </c>
    </row>
    <row r="92">
      <c r="A92" t="n">
        <v>89</v>
      </c>
      <c r="B92">
        <f>B91*(1-Premissas!$D$18/12)+Premissas!$D$12</f>
        <v/>
      </c>
      <c r="C92">
        <f>IF($B$2=1,C91*(1-Premissas!$D$26/12)+D92,0)</f>
        <v/>
      </c>
      <c r="D92">
        <f>IF(AND($B$2=1,A92&gt;=Premissas!$D$23),Premissas!$D$22,0)</f>
        <v/>
      </c>
      <c r="E92">
        <f>B92*Premissas!$D$28</f>
        <v/>
      </c>
      <c r="F92">
        <f>B92*Premissas!$D$13/12*MIN(1,A92/Premissas!$D$17)</f>
        <v/>
      </c>
      <c r="G92">
        <f>F92*Premissas!$D$14</f>
        <v/>
      </c>
      <c r="H92">
        <f>IF(IF(A92-1-Premissas!$D$16&gt;=0,OFFSET($J$4,A92-1-Premissas!$D$16,0),0)&gt;0,ROUND(IF(A92-1-Premissas!$D$16&gt;=0,OFFSET($J$4,A92-1-Premissas!$D$16,0),0)*10000/Premissas!$D$5*Premissas!$D$15,0),0)</f>
        <v/>
      </c>
      <c r="I92">
        <f>ROUND(G92*Premissas!$D$6/10000,0)</f>
        <v/>
      </c>
      <c r="J92">
        <f>ROUND(G92*Premissas!$D$5/10000,0)</f>
        <v/>
      </c>
      <c r="K92">
        <f>IF(IF(A92-1-Premissas!$D$16&gt;=0,OFFSET($A$4,A92-1-Premissas!$D$16,0)&gt;=Premissas!$D$19,FALSE),ROUND(IF(A92-1-Premissas!$D$16&gt;=0,OFFSET($J$4,A92-1-Premissas!$D$16,0),0)*Premissas!$D$15,0),0)</f>
        <v/>
      </c>
      <c r="L92">
        <f>ROUND(C92*Premissas!$D$24/12,0)</f>
        <v/>
      </c>
      <c r="M92">
        <f>ROUND(D92*Premissas!$D$25,0)</f>
        <v/>
      </c>
      <c r="N92">
        <f>ROUND(E92*Premissas!$D$29+B92*Premissas!$D$30,0)</f>
        <v/>
      </c>
      <c r="O92">
        <f>K92+L92+M92+N92</f>
        <v/>
      </c>
      <c r="P92">
        <f>K92+ROUND(AC92*Premissas!$D$24,0)+M92+N92</f>
        <v/>
      </c>
      <c r="Q92">
        <f>ROUND(IF(A92-1-Premissas!$D$21&gt;=0,OFFSET($P$4,A92-1-Premissas!$D$21,0),0)*(1-Premissas!$D$20/100),0)</f>
        <v/>
      </c>
      <c r="R92">
        <f>ROUND(F92*Premissas!$D$11+N92*Premissas!$D$31/100,0)+ROUND((E92+B92)*Premissas!$D$10,0)+ROUND(Q92*Premissas!$D$8/100,0)+ROUND(Premissas!$D$35+(B92+C92)*Premissas!$D$36,0)</f>
        <v/>
      </c>
      <c r="S92">
        <f>O92-R92</f>
        <v/>
      </c>
      <c r="T92">
        <f>ROUND(O92*Premissas!$D$9/100,0)</f>
        <v/>
      </c>
      <c r="U92">
        <f>ROUND(AB92*Premissas!$D$33,0)</f>
        <v/>
      </c>
      <c r="V92">
        <f>Premissas!$D$37+ROUND(Premissas!$D$12*Premissas!$D$38+D92*Premissas!$D$27,0)</f>
        <v/>
      </c>
      <c r="W92">
        <f>Premissas!$D$39</f>
        <v/>
      </c>
      <c r="X92">
        <f>S92-T92-ROUND(Premissas!$D$12*Premissas!$D$38+D92*Premissas!$D$27,0)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Premissas!$D$32+(B92+C92)/Premissas!$D$34</f>
        <v/>
      </c>
      <c r="AC92">
        <f>D92+AC80*(1-Premissas!$D$26/12)^12</f>
        <v/>
      </c>
    </row>
    <row r="93">
      <c r="A93" t="n">
        <v>90</v>
      </c>
      <c r="B93">
        <f>B92*(1-Premissas!$D$18/12)+Premissas!$D$12</f>
        <v/>
      </c>
      <c r="C93">
        <f>IF($B$2=1,C92*(1-Premissas!$D$26/12)+D93,0)</f>
        <v/>
      </c>
      <c r="D93">
        <f>IF(AND($B$2=1,A93&gt;=Premissas!$D$23),Premissas!$D$22,0)</f>
        <v/>
      </c>
      <c r="E93">
        <f>B93*Premissas!$D$28</f>
        <v/>
      </c>
      <c r="F93">
        <f>B93*Premissas!$D$13/12*MIN(1,A93/Premissas!$D$17)</f>
        <v/>
      </c>
      <c r="G93">
        <f>F93*Premissas!$D$14</f>
        <v/>
      </c>
      <c r="H93">
        <f>IF(IF(A93-1-Premissas!$D$16&gt;=0,OFFSET($J$4,A93-1-Premissas!$D$16,0),0)&gt;0,ROUND(IF(A93-1-Premissas!$D$16&gt;=0,OFFSET($J$4,A93-1-Premissas!$D$16,0),0)*10000/Premissas!$D$5*Premissas!$D$15,0),0)</f>
        <v/>
      </c>
      <c r="I93">
        <f>ROUND(G93*Premissas!$D$6/10000,0)</f>
        <v/>
      </c>
      <c r="J93">
        <f>ROUND(G93*Premissas!$D$5/10000,0)</f>
        <v/>
      </c>
      <c r="K93">
        <f>IF(IF(A93-1-Premissas!$D$16&gt;=0,OFFSET($A$4,A93-1-Premissas!$D$16,0)&gt;=Premissas!$D$19,FALSE),ROUND(IF(A93-1-Premissas!$D$16&gt;=0,OFFSET($J$4,A93-1-Premissas!$D$16,0),0)*Premissas!$D$15,0),0)</f>
        <v/>
      </c>
      <c r="L93">
        <f>ROUND(C93*Premissas!$D$24/12,0)</f>
        <v/>
      </c>
      <c r="M93">
        <f>ROUND(D93*Premissas!$D$25,0)</f>
        <v/>
      </c>
      <c r="N93">
        <f>ROUND(E93*Premissas!$D$29+B93*Premissas!$D$30,0)</f>
        <v/>
      </c>
      <c r="O93">
        <f>K93+L93+M93+N93</f>
        <v/>
      </c>
      <c r="P93">
        <f>K93+ROUND(AC93*Premissas!$D$24,0)+M93+N93</f>
        <v/>
      </c>
      <c r="Q93">
        <f>ROUND(IF(A93-1-Premissas!$D$21&gt;=0,OFFSET($P$4,A93-1-Premissas!$D$21,0),0)*(1-Premissas!$D$20/100),0)</f>
        <v/>
      </c>
      <c r="R93">
        <f>ROUND(F93*Premissas!$D$11+N93*Premissas!$D$31/100,0)+ROUND((E93+B93)*Premissas!$D$10,0)+ROUND(Q93*Premissas!$D$8/100,0)+ROUND(Premissas!$D$35+(B93+C93)*Premissas!$D$36,0)</f>
        <v/>
      </c>
      <c r="S93">
        <f>O93-R93</f>
        <v/>
      </c>
      <c r="T93">
        <f>ROUND(O93*Premissas!$D$9/100,0)</f>
        <v/>
      </c>
      <c r="U93">
        <f>ROUND(AB93*Premissas!$D$33,0)</f>
        <v/>
      </c>
      <c r="V93">
        <f>Premissas!$D$37+ROUND(Premissas!$D$12*Premissas!$D$38+D93*Premissas!$D$27,0)</f>
        <v/>
      </c>
      <c r="W93">
        <f>Premissas!$D$39</f>
        <v/>
      </c>
      <c r="X93">
        <f>S93-T93-ROUND(Premissas!$D$12*Premissas!$D$38+D93*Premissas!$D$27,0)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Premissas!$D$32+(B93+C93)/Premissas!$D$34</f>
        <v/>
      </c>
      <c r="AC93">
        <f>D93+AC81*(1-Premissas!$D$26/12)^12</f>
        <v/>
      </c>
    </row>
    <row r="94">
      <c r="A94" t="n">
        <v>91</v>
      </c>
      <c r="B94">
        <f>B93*(1-Premissas!$D$18/12)+Premissas!$D$12</f>
        <v/>
      </c>
      <c r="C94">
        <f>IF($B$2=1,C93*(1-Premissas!$D$26/12)+D94,0)</f>
        <v/>
      </c>
      <c r="D94">
        <f>IF(AND($B$2=1,A94&gt;=Premissas!$D$23),Premissas!$D$22,0)</f>
        <v/>
      </c>
      <c r="E94">
        <f>B94*Premissas!$D$28</f>
        <v/>
      </c>
      <c r="F94">
        <f>B94*Premissas!$D$13/12*MIN(1,A94/Premissas!$D$17)</f>
        <v/>
      </c>
      <c r="G94">
        <f>F94*Premissas!$D$14</f>
        <v/>
      </c>
      <c r="H94">
        <f>IF(IF(A94-1-Premissas!$D$16&gt;=0,OFFSET($J$4,A94-1-Premissas!$D$16,0),0)&gt;0,ROUND(IF(A94-1-Premissas!$D$16&gt;=0,OFFSET($J$4,A94-1-Premissas!$D$16,0),0)*10000/Premissas!$D$5*Premissas!$D$15,0),0)</f>
        <v/>
      </c>
      <c r="I94">
        <f>ROUND(G94*Premissas!$D$6/10000,0)</f>
        <v/>
      </c>
      <c r="J94">
        <f>ROUND(G94*Premissas!$D$5/10000,0)</f>
        <v/>
      </c>
      <c r="K94">
        <f>IF(IF(A94-1-Premissas!$D$16&gt;=0,OFFSET($A$4,A94-1-Premissas!$D$16,0)&gt;=Premissas!$D$19,FALSE),ROUND(IF(A94-1-Premissas!$D$16&gt;=0,OFFSET($J$4,A94-1-Premissas!$D$16,0),0)*Premissas!$D$15,0),0)</f>
        <v/>
      </c>
      <c r="L94">
        <f>ROUND(C94*Premissas!$D$24/12,0)</f>
        <v/>
      </c>
      <c r="M94">
        <f>ROUND(D94*Premissas!$D$25,0)</f>
        <v/>
      </c>
      <c r="N94">
        <f>ROUND(E94*Premissas!$D$29+B94*Premissas!$D$30,0)</f>
        <v/>
      </c>
      <c r="O94">
        <f>K94+L94+M94+N94</f>
        <v/>
      </c>
      <c r="P94">
        <f>K94+ROUND(AC94*Premissas!$D$24,0)+M94+N94</f>
        <v/>
      </c>
      <c r="Q94">
        <f>ROUND(IF(A94-1-Premissas!$D$21&gt;=0,OFFSET($P$4,A94-1-Premissas!$D$21,0),0)*(1-Premissas!$D$20/100),0)</f>
        <v/>
      </c>
      <c r="R94">
        <f>ROUND(F94*Premissas!$D$11+N94*Premissas!$D$31/100,0)+ROUND((E94+B94)*Premissas!$D$10,0)+ROUND(Q94*Premissas!$D$8/100,0)+ROUND(Premissas!$D$35+(B94+C94)*Premissas!$D$36,0)</f>
        <v/>
      </c>
      <c r="S94">
        <f>O94-R94</f>
        <v/>
      </c>
      <c r="T94">
        <f>ROUND(O94*Premissas!$D$9/100,0)</f>
        <v/>
      </c>
      <c r="U94">
        <f>ROUND(AB94*Premissas!$D$33,0)</f>
        <v/>
      </c>
      <c r="V94">
        <f>Premissas!$D$37+ROUND(Premissas!$D$12*Premissas!$D$38+D94*Premissas!$D$27,0)</f>
        <v/>
      </c>
      <c r="W94">
        <f>Premissas!$D$39</f>
        <v/>
      </c>
      <c r="X94">
        <f>S94-T94-ROUND(Premissas!$D$12*Premissas!$D$38+D94*Premissas!$D$27,0)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Premissas!$D$32+(B94+C94)/Premissas!$D$34</f>
        <v/>
      </c>
      <c r="AC94">
        <f>D94+AC82*(1-Premissas!$D$26/12)^12</f>
        <v/>
      </c>
    </row>
    <row r="95">
      <c r="A95" t="n">
        <v>92</v>
      </c>
      <c r="B95">
        <f>B94*(1-Premissas!$D$18/12)+Premissas!$D$12</f>
        <v/>
      </c>
      <c r="C95">
        <f>IF($B$2=1,C94*(1-Premissas!$D$26/12)+D95,0)</f>
        <v/>
      </c>
      <c r="D95">
        <f>IF(AND($B$2=1,A95&gt;=Premissas!$D$23),Premissas!$D$22,0)</f>
        <v/>
      </c>
      <c r="E95">
        <f>B95*Premissas!$D$28</f>
        <v/>
      </c>
      <c r="F95">
        <f>B95*Premissas!$D$13/12*MIN(1,A95/Premissas!$D$17)</f>
        <v/>
      </c>
      <c r="G95">
        <f>F95*Premissas!$D$14</f>
        <v/>
      </c>
      <c r="H95">
        <f>IF(IF(A95-1-Premissas!$D$16&gt;=0,OFFSET($J$4,A95-1-Premissas!$D$16,0),0)&gt;0,ROUND(IF(A95-1-Premissas!$D$16&gt;=0,OFFSET($J$4,A95-1-Premissas!$D$16,0),0)*10000/Premissas!$D$5*Premissas!$D$15,0),0)</f>
        <v/>
      </c>
      <c r="I95">
        <f>ROUND(G95*Premissas!$D$6/10000,0)</f>
        <v/>
      </c>
      <c r="J95">
        <f>ROUND(G95*Premissas!$D$5/10000,0)</f>
        <v/>
      </c>
      <c r="K95">
        <f>IF(IF(A95-1-Premissas!$D$16&gt;=0,OFFSET($A$4,A95-1-Premissas!$D$16,0)&gt;=Premissas!$D$19,FALSE),ROUND(IF(A95-1-Premissas!$D$16&gt;=0,OFFSET($J$4,A95-1-Premissas!$D$16,0),0)*Premissas!$D$15,0),0)</f>
        <v/>
      </c>
      <c r="L95">
        <f>ROUND(C95*Premissas!$D$24/12,0)</f>
        <v/>
      </c>
      <c r="M95">
        <f>ROUND(D95*Premissas!$D$25,0)</f>
        <v/>
      </c>
      <c r="N95">
        <f>ROUND(E95*Premissas!$D$29+B95*Premissas!$D$30,0)</f>
        <v/>
      </c>
      <c r="O95">
        <f>K95+L95+M95+N95</f>
        <v/>
      </c>
      <c r="P95">
        <f>K95+ROUND(AC95*Premissas!$D$24,0)+M95+N95</f>
        <v/>
      </c>
      <c r="Q95">
        <f>ROUND(IF(A95-1-Premissas!$D$21&gt;=0,OFFSET($P$4,A95-1-Premissas!$D$21,0),0)*(1-Premissas!$D$20/100),0)</f>
        <v/>
      </c>
      <c r="R95">
        <f>ROUND(F95*Premissas!$D$11+N95*Premissas!$D$31/100,0)+ROUND((E95+B95)*Premissas!$D$10,0)+ROUND(Q95*Premissas!$D$8/100,0)+ROUND(Premissas!$D$35+(B95+C95)*Premissas!$D$36,0)</f>
        <v/>
      </c>
      <c r="S95">
        <f>O95-R95</f>
        <v/>
      </c>
      <c r="T95">
        <f>ROUND(O95*Premissas!$D$9/100,0)</f>
        <v/>
      </c>
      <c r="U95">
        <f>ROUND(AB95*Premissas!$D$33,0)</f>
        <v/>
      </c>
      <c r="V95">
        <f>Premissas!$D$37+ROUND(Premissas!$D$12*Premissas!$D$38+D95*Premissas!$D$27,0)</f>
        <v/>
      </c>
      <c r="W95">
        <f>Premissas!$D$39</f>
        <v/>
      </c>
      <c r="X95">
        <f>S95-T95-ROUND(Premissas!$D$12*Premissas!$D$38+D95*Premissas!$D$27,0)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Premissas!$D$32+(B95+C95)/Premissas!$D$34</f>
        <v/>
      </c>
      <c r="AC95">
        <f>D95+AC83*(1-Premissas!$D$26/12)^12</f>
        <v/>
      </c>
    </row>
    <row r="96">
      <c r="A96" t="n">
        <v>93</v>
      </c>
      <c r="B96">
        <f>B95*(1-Premissas!$D$18/12)+Premissas!$D$12</f>
        <v/>
      </c>
      <c r="C96">
        <f>IF($B$2=1,C95*(1-Premissas!$D$26/12)+D96,0)</f>
        <v/>
      </c>
      <c r="D96">
        <f>IF(AND($B$2=1,A96&gt;=Premissas!$D$23),Premissas!$D$22,0)</f>
        <v/>
      </c>
      <c r="E96">
        <f>B96*Premissas!$D$28</f>
        <v/>
      </c>
      <c r="F96">
        <f>B96*Premissas!$D$13/12*MIN(1,A96/Premissas!$D$17)</f>
        <v/>
      </c>
      <c r="G96">
        <f>F96*Premissas!$D$14</f>
        <v/>
      </c>
      <c r="H96">
        <f>IF(IF(A96-1-Premissas!$D$16&gt;=0,OFFSET($J$4,A96-1-Premissas!$D$16,0),0)&gt;0,ROUND(IF(A96-1-Premissas!$D$16&gt;=0,OFFSET($J$4,A96-1-Premissas!$D$16,0),0)*10000/Premissas!$D$5*Premissas!$D$15,0),0)</f>
        <v/>
      </c>
      <c r="I96">
        <f>ROUND(G96*Premissas!$D$6/10000,0)</f>
        <v/>
      </c>
      <c r="J96">
        <f>ROUND(G96*Premissas!$D$5/10000,0)</f>
        <v/>
      </c>
      <c r="K96">
        <f>IF(IF(A96-1-Premissas!$D$16&gt;=0,OFFSET($A$4,A96-1-Premissas!$D$16,0)&gt;=Premissas!$D$19,FALSE),ROUND(IF(A96-1-Premissas!$D$16&gt;=0,OFFSET($J$4,A96-1-Premissas!$D$16,0),0)*Premissas!$D$15,0),0)</f>
        <v/>
      </c>
      <c r="L96">
        <f>ROUND(C96*Premissas!$D$24/12,0)</f>
        <v/>
      </c>
      <c r="M96">
        <f>ROUND(D96*Premissas!$D$25,0)</f>
        <v/>
      </c>
      <c r="N96">
        <f>ROUND(E96*Premissas!$D$29+B96*Premissas!$D$30,0)</f>
        <v/>
      </c>
      <c r="O96">
        <f>K96+L96+M96+N96</f>
        <v/>
      </c>
      <c r="P96">
        <f>K96+ROUND(AC96*Premissas!$D$24,0)+M96+N96</f>
        <v/>
      </c>
      <c r="Q96">
        <f>ROUND(IF(A96-1-Premissas!$D$21&gt;=0,OFFSET($P$4,A96-1-Premissas!$D$21,0),0)*(1-Premissas!$D$20/100),0)</f>
        <v/>
      </c>
      <c r="R96">
        <f>ROUND(F96*Premissas!$D$11+N96*Premissas!$D$31/100,0)+ROUND((E96+B96)*Premissas!$D$10,0)+ROUND(Q96*Premissas!$D$8/100,0)+ROUND(Premissas!$D$35+(B96+C96)*Premissas!$D$36,0)</f>
        <v/>
      </c>
      <c r="S96">
        <f>O96-R96</f>
        <v/>
      </c>
      <c r="T96">
        <f>ROUND(O96*Premissas!$D$9/100,0)</f>
        <v/>
      </c>
      <c r="U96">
        <f>ROUND(AB96*Premissas!$D$33,0)</f>
        <v/>
      </c>
      <c r="V96">
        <f>Premissas!$D$37+ROUND(Premissas!$D$12*Premissas!$D$38+D96*Premissas!$D$27,0)</f>
        <v/>
      </c>
      <c r="W96">
        <f>Premissas!$D$39</f>
        <v/>
      </c>
      <c r="X96">
        <f>S96-T96-ROUND(Premissas!$D$12*Premissas!$D$38+D96*Premissas!$D$27,0)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Premissas!$D$32+(B96+C96)/Premissas!$D$34</f>
        <v/>
      </c>
      <c r="AC96">
        <f>D96+AC84*(1-Premissas!$D$26/12)^12</f>
        <v/>
      </c>
    </row>
    <row r="97">
      <c r="A97" t="n">
        <v>94</v>
      </c>
      <c r="B97">
        <f>B96*(1-Premissas!$D$18/12)+Premissas!$D$12</f>
        <v/>
      </c>
      <c r="C97">
        <f>IF($B$2=1,C96*(1-Premissas!$D$26/12)+D97,0)</f>
        <v/>
      </c>
      <c r="D97">
        <f>IF(AND($B$2=1,A97&gt;=Premissas!$D$23),Premissas!$D$22,0)</f>
        <v/>
      </c>
      <c r="E97">
        <f>B97*Premissas!$D$28</f>
        <v/>
      </c>
      <c r="F97">
        <f>B97*Premissas!$D$13/12*MIN(1,A97/Premissas!$D$17)</f>
        <v/>
      </c>
      <c r="G97">
        <f>F97*Premissas!$D$14</f>
        <v/>
      </c>
      <c r="H97">
        <f>IF(IF(A97-1-Premissas!$D$16&gt;=0,OFFSET($J$4,A97-1-Premissas!$D$16,0),0)&gt;0,ROUND(IF(A97-1-Premissas!$D$16&gt;=0,OFFSET($J$4,A97-1-Premissas!$D$16,0),0)*10000/Premissas!$D$5*Premissas!$D$15,0),0)</f>
        <v/>
      </c>
      <c r="I97">
        <f>ROUND(G97*Premissas!$D$6/10000,0)</f>
        <v/>
      </c>
      <c r="J97">
        <f>ROUND(G97*Premissas!$D$5/10000,0)</f>
        <v/>
      </c>
      <c r="K97">
        <f>IF(IF(A97-1-Premissas!$D$16&gt;=0,OFFSET($A$4,A97-1-Premissas!$D$16,0)&gt;=Premissas!$D$19,FALSE),ROUND(IF(A97-1-Premissas!$D$16&gt;=0,OFFSET($J$4,A97-1-Premissas!$D$16,0),0)*Premissas!$D$15,0),0)</f>
        <v/>
      </c>
      <c r="L97">
        <f>ROUND(C97*Premissas!$D$24/12,0)</f>
        <v/>
      </c>
      <c r="M97">
        <f>ROUND(D97*Premissas!$D$25,0)</f>
        <v/>
      </c>
      <c r="N97">
        <f>ROUND(E97*Premissas!$D$29+B97*Premissas!$D$30,0)</f>
        <v/>
      </c>
      <c r="O97">
        <f>K97+L97+M97+N97</f>
        <v/>
      </c>
      <c r="P97">
        <f>K97+ROUND(AC97*Premissas!$D$24,0)+M97+N97</f>
        <v/>
      </c>
      <c r="Q97">
        <f>ROUND(IF(A97-1-Premissas!$D$21&gt;=0,OFFSET($P$4,A97-1-Premissas!$D$21,0),0)*(1-Premissas!$D$20/100),0)</f>
        <v/>
      </c>
      <c r="R97">
        <f>ROUND(F97*Premissas!$D$11+N97*Premissas!$D$31/100,0)+ROUND((E97+B97)*Premissas!$D$10,0)+ROUND(Q97*Premissas!$D$8/100,0)+ROUND(Premissas!$D$35+(B97+C97)*Premissas!$D$36,0)</f>
        <v/>
      </c>
      <c r="S97">
        <f>O97-R97</f>
        <v/>
      </c>
      <c r="T97">
        <f>ROUND(O97*Premissas!$D$9/100,0)</f>
        <v/>
      </c>
      <c r="U97">
        <f>ROUND(AB97*Premissas!$D$33,0)</f>
        <v/>
      </c>
      <c r="V97">
        <f>Premissas!$D$37+ROUND(Premissas!$D$12*Premissas!$D$38+D97*Premissas!$D$27,0)</f>
        <v/>
      </c>
      <c r="W97">
        <f>Premissas!$D$39</f>
        <v/>
      </c>
      <c r="X97">
        <f>S97-T97-ROUND(Premissas!$D$12*Premissas!$D$38+D97*Premissas!$D$27,0)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Premissas!$D$32+(B97+C97)/Premissas!$D$34</f>
        <v/>
      </c>
      <c r="AC97">
        <f>D97+AC85*(1-Premissas!$D$26/12)^12</f>
        <v/>
      </c>
    </row>
    <row r="98">
      <c r="A98" t="n">
        <v>95</v>
      </c>
      <c r="B98">
        <f>B97*(1-Premissas!$D$18/12)+Premissas!$D$12</f>
        <v/>
      </c>
      <c r="C98">
        <f>IF($B$2=1,C97*(1-Premissas!$D$26/12)+D98,0)</f>
        <v/>
      </c>
      <c r="D98">
        <f>IF(AND($B$2=1,A98&gt;=Premissas!$D$23),Premissas!$D$22,0)</f>
        <v/>
      </c>
      <c r="E98">
        <f>B98*Premissas!$D$28</f>
        <v/>
      </c>
      <c r="F98">
        <f>B98*Premissas!$D$13/12*MIN(1,A98/Premissas!$D$17)</f>
        <v/>
      </c>
      <c r="G98">
        <f>F98*Premissas!$D$14</f>
        <v/>
      </c>
      <c r="H98">
        <f>IF(IF(A98-1-Premissas!$D$16&gt;=0,OFFSET($J$4,A98-1-Premissas!$D$16,0),0)&gt;0,ROUND(IF(A98-1-Premissas!$D$16&gt;=0,OFFSET($J$4,A98-1-Premissas!$D$16,0),0)*10000/Premissas!$D$5*Premissas!$D$15,0),0)</f>
        <v/>
      </c>
      <c r="I98">
        <f>ROUND(G98*Premissas!$D$6/10000,0)</f>
        <v/>
      </c>
      <c r="J98">
        <f>ROUND(G98*Premissas!$D$5/10000,0)</f>
        <v/>
      </c>
      <c r="K98">
        <f>IF(IF(A98-1-Premissas!$D$16&gt;=0,OFFSET($A$4,A98-1-Premissas!$D$16,0)&gt;=Premissas!$D$19,FALSE),ROUND(IF(A98-1-Premissas!$D$16&gt;=0,OFFSET($J$4,A98-1-Premissas!$D$16,0),0)*Premissas!$D$15,0),0)</f>
        <v/>
      </c>
      <c r="L98">
        <f>ROUND(C98*Premissas!$D$24/12,0)</f>
        <v/>
      </c>
      <c r="M98">
        <f>ROUND(D98*Premissas!$D$25,0)</f>
        <v/>
      </c>
      <c r="N98">
        <f>ROUND(E98*Premissas!$D$29+B98*Premissas!$D$30,0)</f>
        <v/>
      </c>
      <c r="O98">
        <f>K98+L98+M98+N98</f>
        <v/>
      </c>
      <c r="P98">
        <f>K98+ROUND(AC98*Premissas!$D$24,0)+M98+N98</f>
        <v/>
      </c>
      <c r="Q98">
        <f>ROUND(IF(A98-1-Premissas!$D$21&gt;=0,OFFSET($P$4,A98-1-Premissas!$D$21,0),0)*(1-Premissas!$D$20/100),0)</f>
        <v/>
      </c>
      <c r="R98">
        <f>ROUND(F98*Premissas!$D$11+N98*Premissas!$D$31/100,0)+ROUND((E98+B98)*Premissas!$D$10,0)+ROUND(Q98*Premissas!$D$8/100,0)+ROUND(Premissas!$D$35+(B98+C98)*Premissas!$D$36,0)</f>
        <v/>
      </c>
      <c r="S98">
        <f>O98-R98</f>
        <v/>
      </c>
      <c r="T98">
        <f>ROUND(O98*Premissas!$D$9/100,0)</f>
        <v/>
      </c>
      <c r="U98">
        <f>ROUND(AB98*Premissas!$D$33,0)</f>
        <v/>
      </c>
      <c r="V98">
        <f>Premissas!$D$37+ROUND(Premissas!$D$12*Premissas!$D$38+D98*Premissas!$D$27,0)</f>
        <v/>
      </c>
      <c r="W98">
        <f>Premissas!$D$39</f>
        <v/>
      </c>
      <c r="X98">
        <f>S98-T98-ROUND(Premissas!$D$12*Premissas!$D$38+D98*Premissas!$D$27,0)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Premissas!$D$32+(B98+C98)/Premissas!$D$34</f>
        <v/>
      </c>
      <c r="AC98">
        <f>D98+AC86*(1-Premissas!$D$26/12)^12</f>
        <v/>
      </c>
    </row>
    <row r="99">
      <c r="A99" t="n">
        <v>96</v>
      </c>
      <c r="B99">
        <f>B98*(1-Premissas!$D$18/12)+Premissas!$D$12</f>
        <v/>
      </c>
      <c r="C99">
        <f>IF($B$2=1,C98*(1-Premissas!$D$26/12)+D99,0)</f>
        <v/>
      </c>
      <c r="D99">
        <f>IF(AND($B$2=1,A99&gt;=Premissas!$D$23),Premissas!$D$22,0)</f>
        <v/>
      </c>
      <c r="E99">
        <f>B99*Premissas!$D$28</f>
        <v/>
      </c>
      <c r="F99">
        <f>B99*Premissas!$D$13/12*MIN(1,A99/Premissas!$D$17)</f>
        <v/>
      </c>
      <c r="G99">
        <f>F99*Premissas!$D$14</f>
        <v/>
      </c>
      <c r="H99">
        <f>IF(IF(A99-1-Premissas!$D$16&gt;=0,OFFSET($J$4,A99-1-Premissas!$D$16,0),0)&gt;0,ROUND(IF(A99-1-Premissas!$D$16&gt;=0,OFFSET($J$4,A99-1-Premissas!$D$16,0),0)*10000/Premissas!$D$5*Premissas!$D$15,0),0)</f>
        <v/>
      </c>
      <c r="I99">
        <f>ROUND(G99*Premissas!$D$6/10000,0)</f>
        <v/>
      </c>
      <c r="J99">
        <f>ROUND(G99*Premissas!$D$5/10000,0)</f>
        <v/>
      </c>
      <c r="K99">
        <f>IF(IF(A99-1-Premissas!$D$16&gt;=0,OFFSET($A$4,A99-1-Premissas!$D$16,0)&gt;=Premissas!$D$19,FALSE),ROUND(IF(A99-1-Premissas!$D$16&gt;=0,OFFSET($J$4,A99-1-Premissas!$D$16,0),0)*Premissas!$D$15,0),0)</f>
        <v/>
      </c>
      <c r="L99">
        <f>ROUND(C99*Premissas!$D$24/12,0)</f>
        <v/>
      </c>
      <c r="M99">
        <f>ROUND(D99*Premissas!$D$25,0)</f>
        <v/>
      </c>
      <c r="N99">
        <f>ROUND(E99*Premissas!$D$29+B99*Premissas!$D$30,0)</f>
        <v/>
      </c>
      <c r="O99">
        <f>K99+L99+M99+N99</f>
        <v/>
      </c>
      <c r="P99">
        <f>K99+ROUND(AC99*Premissas!$D$24,0)+M99+N99</f>
        <v/>
      </c>
      <c r="Q99">
        <f>ROUND(IF(A99-1-Premissas!$D$21&gt;=0,OFFSET($P$4,A99-1-Premissas!$D$21,0),0)*(1-Premissas!$D$20/100),0)</f>
        <v/>
      </c>
      <c r="R99">
        <f>ROUND(F99*Premissas!$D$11+N99*Premissas!$D$31/100,0)+ROUND((E99+B99)*Premissas!$D$10,0)+ROUND(Q99*Premissas!$D$8/100,0)+ROUND(Premissas!$D$35+(B99+C99)*Premissas!$D$36,0)</f>
        <v/>
      </c>
      <c r="S99">
        <f>O99-R99</f>
        <v/>
      </c>
      <c r="T99">
        <f>ROUND(O99*Premissas!$D$9/100,0)</f>
        <v/>
      </c>
      <c r="U99">
        <f>ROUND(AB99*Premissas!$D$33,0)</f>
        <v/>
      </c>
      <c r="V99">
        <f>Premissas!$D$37+ROUND(Premissas!$D$12*Premissas!$D$38+D99*Premissas!$D$27,0)</f>
        <v/>
      </c>
      <c r="W99">
        <f>Premissas!$D$39</f>
        <v/>
      </c>
      <c r="X99">
        <f>S99-T99-ROUND(Premissas!$D$12*Premissas!$D$38+D99*Premissas!$D$27,0)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Premissas!$D$32+(B99+C99)/Premissas!$D$34</f>
        <v/>
      </c>
      <c r="AC99">
        <f>D99+AC87*(1-Premissas!$D$26/12)^12</f>
        <v/>
      </c>
    </row>
    <row r="100">
      <c r="A100" t="n">
        <v>97</v>
      </c>
      <c r="B100">
        <f>B99*(1-Premissas!$D$18/12)+Premissas!$D$12</f>
        <v/>
      </c>
      <c r="C100">
        <f>IF($B$2=1,C99*(1-Premissas!$D$26/12)+D100,0)</f>
        <v/>
      </c>
      <c r="D100">
        <f>IF(AND($B$2=1,A100&gt;=Premissas!$D$23),Premissas!$D$22,0)</f>
        <v/>
      </c>
      <c r="E100">
        <f>B100*Premissas!$D$28</f>
        <v/>
      </c>
      <c r="F100">
        <f>B100*Premissas!$D$13/12*MIN(1,A100/Premissas!$D$17)</f>
        <v/>
      </c>
      <c r="G100">
        <f>F100*Premissas!$D$14</f>
        <v/>
      </c>
      <c r="H100">
        <f>IF(IF(A100-1-Premissas!$D$16&gt;=0,OFFSET($J$4,A100-1-Premissas!$D$16,0),0)&gt;0,ROUND(IF(A100-1-Premissas!$D$16&gt;=0,OFFSET($J$4,A100-1-Premissas!$D$16,0),0)*10000/Premissas!$D$5*Premissas!$D$15,0),0)</f>
        <v/>
      </c>
      <c r="I100">
        <f>ROUND(G100*Premissas!$D$6/10000,0)</f>
        <v/>
      </c>
      <c r="J100">
        <f>ROUND(G100*Premissas!$D$5/10000,0)</f>
        <v/>
      </c>
      <c r="K100">
        <f>IF(IF(A100-1-Premissas!$D$16&gt;=0,OFFSET($A$4,A100-1-Premissas!$D$16,0)&gt;=Premissas!$D$19,FALSE),ROUND(IF(A100-1-Premissas!$D$16&gt;=0,OFFSET($J$4,A100-1-Premissas!$D$16,0),0)*Premissas!$D$15,0),0)</f>
        <v/>
      </c>
      <c r="L100">
        <f>ROUND(C100*Premissas!$D$24/12,0)</f>
        <v/>
      </c>
      <c r="M100">
        <f>ROUND(D100*Premissas!$D$25,0)</f>
        <v/>
      </c>
      <c r="N100">
        <f>ROUND(E100*Premissas!$D$29+B100*Premissas!$D$30,0)</f>
        <v/>
      </c>
      <c r="O100">
        <f>K100+L100+M100+N100</f>
        <v/>
      </c>
      <c r="P100">
        <f>K100+ROUND(AC100*Premissas!$D$24,0)+M100+N100</f>
        <v/>
      </c>
      <c r="Q100">
        <f>ROUND(IF(A100-1-Premissas!$D$21&gt;=0,OFFSET($P$4,A100-1-Premissas!$D$21,0),0)*(1-Premissas!$D$20/100),0)</f>
        <v/>
      </c>
      <c r="R100">
        <f>ROUND(F100*Premissas!$D$11+N100*Premissas!$D$31/100,0)+ROUND((E100+B100)*Premissas!$D$10,0)+ROUND(Q100*Premissas!$D$8/100,0)+ROUND(Premissas!$D$35+(B100+C100)*Premissas!$D$36,0)</f>
        <v/>
      </c>
      <c r="S100">
        <f>O100-R100</f>
        <v/>
      </c>
      <c r="T100">
        <f>ROUND(O100*Premissas!$D$9/100,0)</f>
        <v/>
      </c>
      <c r="U100">
        <f>ROUND(AB100*Premissas!$D$33,0)</f>
        <v/>
      </c>
      <c r="V100">
        <f>Premissas!$D$37+ROUND(Premissas!$D$12*Premissas!$D$38+D100*Premissas!$D$27,0)</f>
        <v/>
      </c>
      <c r="W100">
        <f>Premissas!$D$39</f>
        <v/>
      </c>
      <c r="X100">
        <f>S100-T100-ROUND(Premissas!$D$12*Premissas!$D$38+D100*Premissas!$D$27,0)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Premissas!$D$32+(B100+C100)/Premissas!$D$34</f>
        <v/>
      </c>
      <c r="AC100">
        <f>D100+AC88*(1-Premissas!$D$26/12)^12</f>
        <v/>
      </c>
    </row>
    <row r="101">
      <c r="A101" t="n">
        <v>98</v>
      </c>
      <c r="B101">
        <f>B100*(1-Premissas!$D$18/12)+Premissas!$D$12</f>
        <v/>
      </c>
      <c r="C101">
        <f>IF($B$2=1,C100*(1-Premissas!$D$26/12)+D101,0)</f>
        <v/>
      </c>
      <c r="D101">
        <f>IF(AND($B$2=1,A101&gt;=Premissas!$D$23),Premissas!$D$22,0)</f>
        <v/>
      </c>
      <c r="E101">
        <f>B101*Premissas!$D$28</f>
        <v/>
      </c>
      <c r="F101">
        <f>B101*Premissas!$D$13/12*MIN(1,A101/Premissas!$D$17)</f>
        <v/>
      </c>
      <c r="G101">
        <f>F101*Premissas!$D$14</f>
        <v/>
      </c>
      <c r="H101">
        <f>IF(IF(A101-1-Premissas!$D$16&gt;=0,OFFSET($J$4,A101-1-Premissas!$D$16,0),0)&gt;0,ROUND(IF(A101-1-Premissas!$D$16&gt;=0,OFFSET($J$4,A101-1-Premissas!$D$16,0),0)*10000/Premissas!$D$5*Premissas!$D$15,0),0)</f>
        <v/>
      </c>
      <c r="I101">
        <f>ROUND(G101*Premissas!$D$6/10000,0)</f>
        <v/>
      </c>
      <c r="J101">
        <f>ROUND(G101*Premissas!$D$5/10000,0)</f>
        <v/>
      </c>
      <c r="K101">
        <f>IF(IF(A101-1-Premissas!$D$16&gt;=0,OFFSET($A$4,A101-1-Premissas!$D$16,0)&gt;=Premissas!$D$19,FALSE),ROUND(IF(A101-1-Premissas!$D$16&gt;=0,OFFSET($J$4,A101-1-Premissas!$D$16,0),0)*Premissas!$D$15,0),0)</f>
        <v/>
      </c>
      <c r="L101">
        <f>ROUND(C101*Premissas!$D$24/12,0)</f>
        <v/>
      </c>
      <c r="M101">
        <f>ROUND(D101*Premissas!$D$25,0)</f>
        <v/>
      </c>
      <c r="N101">
        <f>ROUND(E101*Premissas!$D$29+B101*Premissas!$D$30,0)</f>
        <v/>
      </c>
      <c r="O101">
        <f>K101+L101+M101+N101</f>
        <v/>
      </c>
      <c r="P101">
        <f>K101+ROUND(AC101*Premissas!$D$24,0)+M101+N101</f>
        <v/>
      </c>
      <c r="Q101">
        <f>ROUND(IF(A101-1-Premissas!$D$21&gt;=0,OFFSET($P$4,A101-1-Premissas!$D$21,0),0)*(1-Premissas!$D$20/100),0)</f>
        <v/>
      </c>
      <c r="R101">
        <f>ROUND(F101*Premissas!$D$11+N101*Premissas!$D$31/100,0)+ROUND((E101+B101)*Premissas!$D$10,0)+ROUND(Q101*Premissas!$D$8/100,0)+ROUND(Premissas!$D$35+(B101+C101)*Premissas!$D$36,0)</f>
        <v/>
      </c>
      <c r="S101">
        <f>O101-R101</f>
        <v/>
      </c>
      <c r="T101">
        <f>ROUND(O101*Premissas!$D$9/100,0)</f>
        <v/>
      </c>
      <c r="U101">
        <f>ROUND(AB101*Premissas!$D$33,0)</f>
        <v/>
      </c>
      <c r="V101">
        <f>Premissas!$D$37+ROUND(Premissas!$D$12*Premissas!$D$38+D101*Premissas!$D$27,0)</f>
        <v/>
      </c>
      <c r="W101">
        <f>Premissas!$D$39</f>
        <v/>
      </c>
      <c r="X101">
        <f>S101-T101-ROUND(Premissas!$D$12*Premissas!$D$38+D101*Premissas!$D$27,0)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Premissas!$D$32+(B101+C101)/Premissas!$D$34</f>
        <v/>
      </c>
      <c r="AC101">
        <f>D101+AC89*(1-Premissas!$D$26/12)^12</f>
        <v/>
      </c>
    </row>
    <row r="102">
      <c r="A102" t="n">
        <v>99</v>
      </c>
      <c r="B102">
        <f>B101*(1-Premissas!$D$18/12)+Premissas!$D$12</f>
        <v/>
      </c>
      <c r="C102">
        <f>IF($B$2=1,C101*(1-Premissas!$D$26/12)+D102,0)</f>
        <v/>
      </c>
      <c r="D102">
        <f>IF(AND($B$2=1,A102&gt;=Premissas!$D$23),Premissas!$D$22,0)</f>
        <v/>
      </c>
      <c r="E102">
        <f>B102*Premissas!$D$28</f>
        <v/>
      </c>
      <c r="F102">
        <f>B102*Premissas!$D$13/12*MIN(1,A102/Premissas!$D$17)</f>
        <v/>
      </c>
      <c r="G102">
        <f>F102*Premissas!$D$14</f>
        <v/>
      </c>
      <c r="H102">
        <f>IF(IF(A102-1-Premissas!$D$16&gt;=0,OFFSET($J$4,A102-1-Premissas!$D$16,0),0)&gt;0,ROUND(IF(A102-1-Premissas!$D$16&gt;=0,OFFSET($J$4,A102-1-Premissas!$D$16,0),0)*10000/Premissas!$D$5*Premissas!$D$15,0),0)</f>
        <v/>
      </c>
      <c r="I102">
        <f>ROUND(G102*Premissas!$D$6/10000,0)</f>
        <v/>
      </c>
      <c r="J102">
        <f>ROUND(G102*Premissas!$D$5/10000,0)</f>
        <v/>
      </c>
      <c r="K102">
        <f>IF(IF(A102-1-Premissas!$D$16&gt;=0,OFFSET($A$4,A102-1-Premissas!$D$16,0)&gt;=Premissas!$D$19,FALSE),ROUND(IF(A102-1-Premissas!$D$16&gt;=0,OFFSET($J$4,A102-1-Premissas!$D$16,0),0)*Premissas!$D$15,0),0)</f>
        <v/>
      </c>
      <c r="L102">
        <f>ROUND(C102*Premissas!$D$24/12,0)</f>
        <v/>
      </c>
      <c r="M102">
        <f>ROUND(D102*Premissas!$D$25,0)</f>
        <v/>
      </c>
      <c r="N102">
        <f>ROUND(E102*Premissas!$D$29+B102*Premissas!$D$30,0)</f>
        <v/>
      </c>
      <c r="O102">
        <f>K102+L102+M102+N102</f>
        <v/>
      </c>
      <c r="P102">
        <f>K102+ROUND(AC102*Premissas!$D$24,0)+M102+N102</f>
        <v/>
      </c>
      <c r="Q102">
        <f>ROUND(IF(A102-1-Premissas!$D$21&gt;=0,OFFSET($P$4,A102-1-Premissas!$D$21,0),0)*(1-Premissas!$D$20/100),0)</f>
        <v/>
      </c>
      <c r="R102">
        <f>ROUND(F102*Premissas!$D$11+N102*Premissas!$D$31/100,0)+ROUND((E102+B102)*Premissas!$D$10,0)+ROUND(Q102*Premissas!$D$8/100,0)+ROUND(Premissas!$D$35+(B102+C102)*Premissas!$D$36,0)</f>
        <v/>
      </c>
      <c r="S102">
        <f>O102-R102</f>
        <v/>
      </c>
      <c r="T102">
        <f>ROUND(O102*Premissas!$D$9/100,0)</f>
        <v/>
      </c>
      <c r="U102">
        <f>ROUND(AB102*Premissas!$D$33,0)</f>
        <v/>
      </c>
      <c r="V102">
        <f>Premissas!$D$37+ROUND(Premissas!$D$12*Premissas!$D$38+D102*Premissas!$D$27,0)</f>
        <v/>
      </c>
      <c r="W102">
        <f>Premissas!$D$39</f>
        <v/>
      </c>
      <c r="X102">
        <f>S102-T102-ROUND(Premissas!$D$12*Premissas!$D$38+D102*Premissas!$D$27,0)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Premissas!$D$32+(B102+C102)/Premissas!$D$34</f>
        <v/>
      </c>
      <c r="AC102">
        <f>D102+AC90*(1-Premissas!$D$26/12)^12</f>
        <v/>
      </c>
    </row>
    <row r="103">
      <c r="A103" t="n">
        <v>100</v>
      </c>
      <c r="B103">
        <f>B102*(1-Premissas!$D$18/12)+Premissas!$D$12</f>
        <v/>
      </c>
      <c r="C103">
        <f>IF($B$2=1,C102*(1-Premissas!$D$26/12)+D103,0)</f>
        <v/>
      </c>
      <c r="D103">
        <f>IF(AND($B$2=1,A103&gt;=Premissas!$D$23),Premissas!$D$22,0)</f>
        <v/>
      </c>
      <c r="E103">
        <f>B103*Premissas!$D$28</f>
        <v/>
      </c>
      <c r="F103">
        <f>B103*Premissas!$D$13/12*MIN(1,A103/Premissas!$D$17)</f>
        <v/>
      </c>
      <c r="G103">
        <f>F103*Premissas!$D$14</f>
        <v/>
      </c>
      <c r="H103">
        <f>IF(IF(A103-1-Premissas!$D$16&gt;=0,OFFSET($J$4,A103-1-Premissas!$D$16,0),0)&gt;0,ROUND(IF(A103-1-Premissas!$D$16&gt;=0,OFFSET($J$4,A103-1-Premissas!$D$16,0),0)*10000/Premissas!$D$5*Premissas!$D$15,0),0)</f>
        <v/>
      </c>
      <c r="I103">
        <f>ROUND(G103*Premissas!$D$6/10000,0)</f>
        <v/>
      </c>
      <c r="J103">
        <f>ROUND(G103*Premissas!$D$5/10000,0)</f>
        <v/>
      </c>
      <c r="K103">
        <f>IF(IF(A103-1-Premissas!$D$16&gt;=0,OFFSET($A$4,A103-1-Premissas!$D$16,0)&gt;=Premissas!$D$19,FALSE),ROUND(IF(A103-1-Premissas!$D$16&gt;=0,OFFSET($J$4,A103-1-Premissas!$D$16,0),0)*Premissas!$D$15,0),0)</f>
        <v/>
      </c>
      <c r="L103">
        <f>ROUND(C103*Premissas!$D$24/12,0)</f>
        <v/>
      </c>
      <c r="M103">
        <f>ROUND(D103*Premissas!$D$25,0)</f>
        <v/>
      </c>
      <c r="N103">
        <f>ROUND(E103*Premissas!$D$29+B103*Premissas!$D$30,0)</f>
        <v/>
      </c>
      <c r="O103">
        <f>K103+L103+M103+N103</f>
        <v/>
      </c>
      <c r="P103">
        <f>K103+ROUND(AC103*Premissas!$D$24,0)+M103+N103</f>
        <v/>
      </c>
      <c r="Q103">
        <f>ROUND(IF(A103-1-Premissas!$D$21&gt;=0,OFFSET($P$4,A103-1-Premissas!$D$21,0),0)*(1-Premissas!$D$20/100),0)</f>
        <v/>
      </c>
      <c r="R103">
        <f>ROUND(F103*Premissas!$D$11+N103*Premissas!$D$31/100,0)+ROUND((E103+B103)*Premissas!$D$10,0)+ROUND(Q103*Premissas!$D$8/100,0)+ROUND(Premissas!$D$35+(B103+C103)*Premissas!$D$36,0)</f>
        <v/>
      </c>
      <c r="S103">
        <f>O103-R103</f>
        <v/>
      </c>
      <c r="T103">
        <f>ROUND(O103*Premissas!$D$9/100,0)</f>
        <v/>
      </c>
      <c r="U103">
        <f>ROUND(AB103*Premissas!$D$33,0)</f>
        <v/>
      </c>
      <c r="V103">
        <f>Premissas!$D$37+ROUND(Premissas!$D$12*Premissas!$D$38+D103*Premissas!$D$27,0)</f>
        <v/>
      </c>
      <c r="W103">
        <f>Premissas!$D$39</f>
        <v/>
      </c>
      <c r="X103">
        <f>S103-T103-ROUND(Premissas!$D$12*Premissas!$D$38+D103*Premissas!$D$27,0)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Premissas!$D$32+(B103+C103)/Premissas!$D$34</f>
        <v/>
      </c>
      <c r="AC103">
        <f>D103+AC91*(1-Premissas!$D$26/12)^12</f>
        <v/>
      </c>
    </row>
    <row r="104">
      <c r="A104" t="n">
        <v>101</v>
      </c>
      <c r="B104">
        <f>B103*(1-Premissas!$D$18/12)+Premissas!$D$12</f>
        <v/>
      </c>
      <c r="C104">
        <f>IF($B$2=1,C103*(1-Premissas!$D$26/12)+D104,0)</f>
        <v/>
      </c>
      <c r="D104">
        <f>IF(AND($B$2=1,A104&gt;=Premissas!$D$23),Premissas!$D$22,0)</f>
        <v/>
      </c>
      <c r="E104">
        <f>B104*Premissas!$D$28</f>
        <v/>
      </c>
      <c r="F104">
        <f>B104*Premissas!$D$13/12*MIN(1,A104/Premissas!$D$17)</f>
        <v/>
      </c>
      <c r="G104">
        <f>F104*Premissas!$D$14</f>
        <v/>
      </c>
      <c r="H104">
        <f>IF(IF(A104-1-Premissas!$D$16&gt;=0,OFFSET($J$4,A104-1-Premissas!$D$16,0),0)&gt;0,ROUND(IF(A104-1-Premissas!$D$16&gt;=0,OFFSET($J$4,A104-1-Premissas!$D$16,0),0)*10000/Premissas!$D$5*Premissas!$D$15,0),0)</f>
        <v/>
      </c>
      <c r="I104">
        <f>ROUND(G104*Premissas!$D$6/10000,0)</f>
        <v/>
      </c>
      <c r="J104">
        <f>ROUND(G104*Premissas!$D$5/10000,0)</f>
        <v/>
      </c>
      <c r="K104">
        <f>IF(IF(A104-1-Premissas!$D$16&gt;=0,OFFSET($A$4,A104-1-Premissas!$D$16,0)&gt;=Premissas!$D$19,FALSE),ROUND(IF(A104-1-Premissas!$D$16&gt;=0,OFFSET($J$4,A104-1-Premissas!$D$16,0),0)*Premissas!$D$15,0),0)</f>
        <v/>
      </c>
      <c r="L104">
        <f>ROUND(C104*Premissas!$D$24/12,0)</f>
        <v/>
      </c>
      <c r="M104">
        <f>ROUND(D104*Premissas!$D$25,0)</f>
        <v/>
      </c>
      <c r="N104">
        <f>ROUND(E104*Premissas!$D$29+B104*Premissas!$D$30,0)</f>
        <v/>
      </c>
      <c r="O104">
        <f>K104+L104+M104+N104</f>
        <v/>
      </c>
      <c r="P104">
        <f>K104+ROUND(AC104*Premissas!$D$24,0)+M104+N104</f>
        <v/>
      </c>
      <c r="Q104">
        <f>ROUND(IF(A104-1-Premissas!$D$21&gt;=0,OFFSET($P$4,A104-1-Premissas!$D$21,0),0)*(1-Premissas!$D$20/100),0)</f>
        <v/>
      </c>
      <c r="R104">
        <f>ROUND(F104*Premissas!$D$11+N104*Premissas!$D$31/100,0)+ROUND((E104+B104)*Premissas!$D$10,0)+ROUND(Q104*Premissas!$D$8/100,0)+ROUND(Premissas!$D$35+(B104+C104)*Premissas!$D$36,0)</f>
        <v/>
      </c>
      <c r="S104">
        <f>O104-R104</f>
        <v/>
      </c>
      <c r="T104">
        <f>ROUND(O104*Premissas!$D$9/100,0)</f>
        <v/>
      </c>
      <c r="U104">
        <f>ROUND(AB104*Premissas!$D$33,0)</f>
        <v/>
      </c>
      <c r="V104">
        <f>Premissas!$D$37+ROUND(Premissas!$D$12*Premissas!$D$38+D104*Premissas!$D$27,0)</f>
        <v/>
      </c>
      <c r="W104">
        <f>Premissas!$D$39</f>
        <v/>
      </c>
      <c r="X104">
        <f>S104-T104-ROUND(Premissas!$D$12*Premissas!$D$38+D104*Premissas!$D$27,0)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Premissas!$D$32+(B104+C104)/Premissas!$D$34</f>
        <v/>
      </c>
      <c r="AC104">
        <f>D104+AC92*(1-Premissas!$D$26/12)^12</f>
        <v/>
      </c>
    </row>
    <row r="105">
      <c r="A105" t="n">
        <v>102</v>
      </c>
      <c r="B105">
        <f>B104*(1-Premissas!$D$18/12)+Premissas!$D$12</f>
        <v/>
      </c>
      <c r="C105">
        <f>IF($B$2=1,C104*(1-Premissas!$D$26/12)+D105,0)</f>
        <v/>
      </c>
      <c r="D105">
        <f>IF(AND($B$2=1,A105&gt;=Premissas!$D$23),Premissas!$D$22,0)</f>
        <v/>
      </c>
      <c r="E105">
        <f>B105*Premissas!$D$28</f>
        <v/>
      </c>
      <c r="F105">
        <f>B105*Premissas!$D$13/12*MIN(1,A105/Premissas!$D$17)</f>
        <v/>
      </c>
      <c r="G105">
        <f>F105*Premissas!$D$14</f>
        <v/>
      </c>
      <c r="H105">
        <f>IF(IF(A105-1-Premissas!$D$16&gt;=0,OFFSET($J$4,A105-1-Premissas!$D$16,0),0)&gt;0,ROUND(IF(A105-1-Premissas!$D$16&gt;=0,OFFSET($J$4,A105-1-Premissas!$D$16,0),0)*10000/Premissas!$D$5*Premissas!$D$15,0),0)</f>
        <v/>
      </c>
      <c r="I105">
        <f>ROUND(G105*Premissas!$D$6/10000,0)</f>
        <v/>
      </c>
      <c r="J105">
        <f>ROUND(G105*Premissas!$D$5/10000,0)</f>
        <v/>
      </c>
      <c r="K105">
        <f>IF(IF(A105-1-Premissas!$D$16&gt;=0,OFFSET($A$4,A105-1-Premissas!$D$16,0)&gt;=Premissas!$D$19,FALSE),ROUND(IF(A105-1-Premissas!$D$16&gt;=0,OFFSET($J$4,A105-1-Premissas!$D$16,0),0)*Premissas!$D$15,0),0)</f>
        <v/>
      </c>
      <c r="L105">
        <f>ROUND(C105*Premissas!$D$24/12,0)</f>
        <v/>
      </c>
      <c r="M105">
        <f>ROUND(D105*Premissas!$D$25,0)</f>
        <v/>
      </c>
      <c r="N105">
        <f>ROUND(E105*Premissas!$D$29+B105*Premissas!$D$30,0)</f>
        <v/>
      </c>
      <c r="O105">
        <f>K105+L105+M105+N105</f>
        <v/>
      </c>
      <c r="P105">
        <f>K105+ROUND(AC105*Premissas!$D$24,0)+M105+N105</f>
        <v/>
      </c>
      <c r="Q105">
        <f>ROUND(IF(A105-1-Premissas!$D$21&gt;=0,OFFSET($P$4,A105-1-Premissas!$D$21,0),0)*(1-Premissas!$D$20/100),0)</f>
        <v/>
      </c>
      <c r="R105">
        <f>ROUND(F105*Premissas!$D$11+N105*Premissas!$D$31/100,0)+ROUND((E105+B105)*Premissas!$D$10,0)+ROUND(Q105*Premissas!$D$8/100,0)+ROUND(Premissas!$D$35+(B105+C105)*Premissas!$D$36,0)</f>
        <v/>
      </c>
      <c r="S105">
        <f>O105-R105</f>
        <v/>
      </c>
      <c r="T105">
        <f>ROUND(O105*Premissas!$D$9/100,0)</f>
        <v/>
      </c>
      <c r="U105">
        <f>ROUND(AB105*Premissas!$D$33,0)</f>
        <v/>
      </c>
      <c r="V105">
        <f>Premissas!$D$37+ROUND(Premissas!$D$12*Premissas!$D$38+D105*Premissas!$D$27,0)</f>
        <v/>
      </c>
      <c r="W105">
        <f>Premissas!$D$39</f>
        <v/>
      </c>
      <c r="X105">
        <f>S105-T105-ROUND(Premissas!$D$12*Premissas!$D$38+D105*Premissas!$D$27,0)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Premissas!$D$32+(B105+C105)/Premissas!$D$34</f>
        <v/>
      </c>
      <c r="AC105">
        <f>D105+AC93*(1-Premissas!$D$26/12)^12</f>
        <v/>
      </c>
    </row>
    <row r="106">
      <c r="A106" t="n">
        <v>103</v>
      </c>
      <c r="B106">
        <f>B105*(1-Premissas!$D$18/12)+Premissas!$D$12</f>
        <v/>
      </c>
      <c r="C106">
        <f>IF($B$2=1,C105*(1-Premissas!$D$26/12)+D106,0)</f>
        <v/>
      </c>
      <c r="D106">
        <f>IF(AND($B$2=1,A106&gt;=Premissas!$D$23),Premissas!$D$22,0)</f>
        <v/>
      </c>
      <c r="E106">
        <f>B106*Premissas!$D$28</f>
        <v/>
      </c>
      <c r="F106">
        <f>B106*Premissas!$D$13/12*MIN(1,A106/Premissas!$D$17)</f>
        <v/>
      </c>
      <c r="G106">
        <f>F106*Premissas!$D$14</f>
        <v/>
      </c>
      <c r="H106">
        <f>IF(IF(A106-1-Premissas!$D$16&gt;=0,OFFSET($J$4,A106-1-Premissas!$D$16,0),0)&gt;0,ROUND(IF(A106-1-Premissas!$D$16&gt;=0,OFFSET($J$4,A106-1-Premissas!$D$16,0),0)*10000/Premissas!$D$5*Premissas!$D$15,0),0)</f>
        <v/>
      </c>
      <c r="I106">
        <f>ROUND(G106*Premissas!$D$6/10000,0)</f>
        <v/>
      </c>
      <c r="J106">
        <f>ROUND(G106*Premissas!$D$5/10000,0)</f>
        <v/>
      </c>
      <c r="K106">
        <f>IF(IF(A106-1-Premissas!$D$16&gt;=0,OFFSET($A$4,A106-1-Premissas!$D$16,0)&gt;=Premissas!$D$19,FALSE),ROUND(IF(A106-1-Premissas!$D$16&gt;=0,OFFSET($J$4,A106-1-Premissas!$D$16,0),0)*Premissas!$D$15,0),0)</f>
        <v/>
      </c>
      <c r="L106">
        <f>ROUND(C106*Premissas!$D$24/12,0)</f>
        <v/>
      </c>
      <c r="M106">
        <f>ROUND(D106*Premissas!$D$25,0)</f>
        <v/>
      </c>
      <c r="N106">
        <f>ROUND(E106*Premissas!$D$29+B106*Premissas!$D$30,0)</f>
        <v/>
      </c>
      <c r="O106">
        <f>K106+L106+M106+N106</f>
        <v/>
      </c>
      <c r="P106">
        <f>K106+ROUND(AC106*Premissas!$D$24,0)+M106+N106</f>
        <v/>
      </c>
      <c r="Q106">
        <f>ROUND(IF(A106-1-Premissas!$D$21&gt;=0,OFFSET($P$4,A106-1-Premissas!$D$21,0),0)*(1-Premissas!$D$20/100),0)</f>
        <v/>
      </c>
      <c r="R106">
        <f>ROUND(F106*Premissas!$D$11+N106*Premissas!$D$31/100,0)+ROUND((E106+B106)*Premissas!$D$10,0)+ROUND(Q106*Premissas!$D$8/100,0)+ROUND(Premissas!$D$35+(B106+C106)*Premissas!$D$36,0)</f>
        <v/>
      </c>
      <c r="S106">
        <f>O106-R106</f>
        <v/>
      </c>
      <c r="T106">
        <f>ROUND(O106*Premissas!$D$9/100,0)</f>
        <v/>
      </c>
      <c r="U106">
        <f>ROUND(AB106*Premissas!$D$33,0)</f>
        <v/>
      </c>
      <c r="V106">
        <f>Premissas!$D$37+ROUND(Premissas!$D$12*Premissas!$D$38+D106*Premissas!$D$27,0)</f>
        <v/>
      </c>
      <c r="W106">
        <f>Premissas!$D$39</f>
        <v/>
      </c>
      <c r="X106">
        <f>S106-T106-ROUND(Premissas!$D$12*Premissas!$D$38+D106*Premissas!$D$27,0)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Premissas!$D$32+(B106+C106)/Premissas!$D$34</f>
        <v/>
      </c>
      <c r="AC106">
        <f>D106+AC94*(1-Premissas!$D$26/12)^12</f>
        <v/>
      </c>
    </row>
    <row r="107">
      <c r="A107" t="n">
        <v>104</v>
      </c>
      <c r="B107">
        <f>B106*(1-Premissas!$D$18/12)+Premissas!$D$12</f>
        <v/>
      </c>
      <c r="C107">
        <f>IF($B$2=1,C106*(1-Premissas!$D$26/12)+D107,0)</f>
        <v/>
      </c>
      <c r="D107">
        <f>IF(AND($B$2=1,A107&gt;=Premissas!$D$23),Premissas!$D$22,0)</f>
        <v/>
      </c>
      <c r="E107">
        <f>B107*Premissas!$D$28</f>
        <v/>
      </c>
      <c r="F107">
        <f>B107*Premissas!$D$13/12*MIN(1,A107/Premissas!$D$17)</f>
        <v/>
      </c>
      <c r="G107">
        <f>F107*Premissas!$D$14</f>
        <v/>
      </c>
      <c r="H107">
        <f>IF(IF(A107-1-Premissas!$D$16&gt;=0,OFFSET($J$4,A107-1-Premissas!$D$16,0),0)&gt;0,ROUND(IF(A107-1-Premissas!$D$16&gt;=0,OFFSET($J$4,A107-1-Premissas!$D$16,0),0)*10000/Premissas!$D$5*Premissas!$D$15,0),0)</f>
        <v/>
      </c>
      <c r="I107">
        <f>ROUND(G107*Premissas!$D$6/10000,0)</f>
        <v/>
      </c>
      <c r="J107">
        <f>ROUND(G107*Premissas!$D$5/10000,0)</f>
        <v/>
      </c>
      <c r="K107">
        <f>IF(IF(A107-1-Premissas!$D$16&gt;=0,OFFSET($A$4,A107-1-Premissas!$D$16,0)&gt;=Premissas!$D$19,FALSE),ROUND(IF(A107-1-Premissas!$D$16&gt;=0,OFFSET($J$4,A107-1-Premissas!$D$16,0),0)*Premissas!$D$15,0),0)</f>
        <v/>
      </c>
      <c r="L107">
        <f>ROUND(C107*Premissas!$D$24/12,0)</f>
        <v/>
      </c>
      <c r="M107">
        <f>ROUND(D107*Premissas!$D$25,0)</f>
        <v/>
      </c>
      <c r="N107">
        <f>ROUND(E107*Premissas!$D$29+B107*Premissas!$D$30,0)</f>
        <v/>
      </c>
      <c r="O107">
        <f>K107+L107+M107+N107</f>
        <v/>
      </c>
      <c r="P107">
        <f>K107+ROUND(AC107*Premissas!$D$24,0)+M107+N107</f>
        <v/>
      </c>
      <c r="Q107">
        <f>ROUND(IF(A107-1-Premissas!$D$21&gt;=0,OFFSET($P$4,A107-1-Premissas!$D$21,0),0)*(1-Premissas!$D$20/100),0)</f>
        <v/>
      </c>
      <c r="R107">
        <f>ROUND(F107*Premissas!$D$11+N107*Premissas!$D$31/100,0)+ROUND((E107+B107)*Premissas!$D$10,0)+ROUND(Q107*Premissas!$D$8/100,0)+ROUND(Premissas!$D$35+(B107+C107)*Premissas!$D$36,0)</f>
        <v/>
      </c>
      <c r="S107">
        <f>O107-R107</f>
        <v/>
      </c>
      <c r="T107">
        <f>ROUND(O107*Premissas!$D$9/100,0)</f>
        <v/>
      </c>
      <c r="U107">
        <f>ROUND(AB107*Premissas!$D$33,0)</f>
        <v/>
      </c>
      <c r="V107">
        <f>Premissas!$D$37+ROUND(Premissas!$D$12*Premissas!$D$38+D107*Premissas!$D$27,0)</f>
        <v/>
      </c>
      <c r="W107">
        <f>Premissas!$D$39</f>
        <v/>
      </c>
      <c r="X107">
        <f>S107-T107-ROUND(Premissas!$D$12*Premissas!$D$38+D107*Premissas!$D$27,0)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Premissas!$D$32+(B107+C107)/Premissas!$D$34</f>
        <v/>
      </c>
      <c r="AC107">
        <f>D107+AC95*(1-Premissas!$D$26/12)^12</f>
        <v/>
      </c>
    </row>
    <row r="108">
      <c r="A108" t="n">
        <v>105</v>
      </c>
      <c r="B108">
        <f>B107*(1-Premissas!$D$18/12)+Premissas!$D$12</f>
        <v/>
      </c>
      <c r="C108">
        <f>IF($B$2=1,C107*(1-Premissas!$D$26/12)+D108,0)</f>
        <v/>
      </c>
      <c r="D108">
        <f>IF(AND($B$2=1,A108&gt;=Premissas!$D$23),Premissas!$D$22,0)</f>
        <v/>
      </c>
      <c r="E108">
        <f>B108*Premissas!$D$28</f>
        <v/>
      </c>
      <c r="F108">
        <f>B108*Premissas!$D$13/12*MIN(1,A108/Premissas!$D$17)</f>
        <v/>
      </c>
      <c r="G108">
        <f>F108*Premissas!$D$14</f>
        <v/>
      </c>
      <c r="H108">
        <f>IF(IF(A108-1-Premissas!$D$16&gt;=0,OFFSET($J$4,A108-1-Premissas!$D$16,0),0)&gt;0,ROUND(IF(A108-1-Premissas!$D$16&gt;=0,OFFSET($J$4,A108-1-Premissas!$D$16,0),0)*10000/Premissas!$D$5*Premissas!$D$15,0),0)</f>
        <v/>
      </c>
      <c r="I108">
        <f>ROUND(G108*Premissas!$D$6/10000,0)</f>
        <v/>
      </c>
      <c r="J108">
        <f>ROUND(G108*Premissas!$D$5/10000,0)</f>
        <v/>
      </c>
      <c r="K108">
        <f>IF(IF(A108-1-Premissas!$D$16&gt;=0,OFFSET($A$4,A108-1-Premissas!$D$16,0)&gt;=Premissas!$D$19,FALSE),ROUND(IF(A108-1-Premissas!$D$16&gt;=0,OFFSET($J$4,A108-1-Premissas!$D$16,0),0)*Premissas!$D$15,0),0)</f>
        <v/>
      </c>
      <c r="L108">
        <f>ROUND(C108*Premissas!$D$24/12,0)</f>
        <v/>
      </c>
      <c r="M108">
        <f>ROUND(D108*Premissas!$D$25,0)</f>
        <v/>
      </c>
      <c r="N108">
        <f>ROUND(E108*Premissas!$D$29+B108*Premissas!$D$30,0)</f>
        <v/>
      </c>
      <c r="O108">
        <f>K108+L108+M108+N108</f>
        <v/>
      </c>
      <c r="P108">
        <f>K108+ROUND(AC108*Premissas!$D$24,0)+M108+N108</f>
        <v/>
      </c>
      <c r="Q108">
        <f>ROUND(IF(A108-1-Premissas!$D$21&gt;=0,OFFSET($P$4,A108-1-Premissas!$D$21,0),0)*(1-Premissas!$D$20/100),0)</f>
        <v/>
      </c>
      <c r="R108">
        <f>ROUND(F108*Premissas!$D$11+N108*Premissas!$D$31/100,0)+ROUND((E108+B108)*Premissas!$D$10,0)+ROUND(Q108*Premissas!$D$8/100,0)+ROUND(Premissas!$D$35+(B108+C108)*Premissas!$D$36,0)</f>
        <v/>
      </c>
      <c r="S108">
        <f>O108-R108</f>
        <v/>
      </c>
      <c r="T108">
        <f>ROUND(O108*Premissas!$D$9/100,0)</f>
        <v/>
      </c>
      <c r="U108">
        <f>ROUND(AB108*Premissas!$D$33,0)</f>
        <v/>
      </c>
      <c r="V108">
        <f>Premissas!$D$37+ROUND(Premissas!$D$12*Premissas!$D$38+D108*Premissas!$D$27,0)</f>
        <v/>
      </c>
      <c r="W108">
        <f>Premissas!$D$39</f>
        <v/>
      </c>
      <c r="X108">
        <f>S108-T108-ROUND(Premissas!$D$12*Premissas!$D$38+D108*Premissas!$D$27,0)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Premissas!$D$32+(B108+C108)/Premissas!$D$34</f>
        <v/>
      </c>
      <c r="AC108">
        <f>D108+AC96*(1-Premissas!$D$26/12)^12</f>
        <v/>
      </c>
    </row>
    <row r="109">
      <c r="A109" t="n">
        <v>106</v>
      </c>
      <c r="B109">
        <f>B108*(1-Premissas!$D$18/12)+Premissas!$D$12</f>
        <v/>
      </c>
      <c r="C109">
        <f>IF($B$2=1,C108*(1-Premissas!$D$26/12)+D109,0)</f>
        <v/>
      </c>
      <c r="D109">
        <f>IF(AND($B$2=1,A109&gt;=Premissas!$D$23),Premissas!$D$22,0)</f>
        <v/>
      </c>
      <c r="E109">
        <f>B109*Premissas!$D$28</f>
        <v/>
      </c>
      <c r="F109">
        <f>B109*Premissas!$D$13/12*MIN(1,A109/Premissas!$D$17)</f>
        <v/>
      </c>
      <c r="G109">
        <f>F109*Premissas!$D$14</f>
        <v/>
      </c>
      <c r="H109">
        <f>IF(IF(A109-1-Premissas!$D$16&gt;=0,OFFSET($J$4,A109-1-Premissas!$D$16,0),0)&gt;0,ROUND(IF(A109-1-Premissas!$D$16&gt;=0,OFFSET($J$4,A109-1-Premissas!$D$16,0),0)*10000/Premissas!$D$5*Premissas!$D$15,0),0)</f>
        <v/>
      </c>
      <c r="I109">
        <f>ROUND(G109*Premissas!$D$6/10000,0)</f>
        <v/>
      </c>
      <c r="J109">
        <f>ROUND(G109*Premissas!$D$5/10000,0)</f>
        <v/>
      </c>
      <c r="K109">
        <f>IF(IF(A109-1-Premissas!$D$16&gt;=0,OFFSET($A$4,A109-1-Premissas!$D$16,0)&gt;=Premissas!$D$19,FALSE),ROUND(IF(A109-1-Premissas!$D$16&gt;=0,OFFSET($J$4,A109-1-Premissas!$D$16,0),0)*Premissas!$D$15,0),0)</f>
        <v/>
      </c>
      <c r="L109">
        <f>ROUND(C109*Premissas!$D$24/12,0)</f>
        <v/>
      </c>
      <c r="M109">
        <f>ROUND(D109*Premissas!$D$25,0)</f>
        <v/>
      </c>
      <c r="N109">
        <f>ROUND(E109*Premissas!$D$29+B109*Premissas!$D$30,0)</f>
        <v/>
      </c>
      <c r="O109">
        <f>K109+L109+M109+N109</f>
        <v/>
      </c>
      <c r="P109">
        <f>K109+ROUND(AC109*Premissas!$D$24,0)+M109+N109</f>
        <v/>
      </c>
      <c r="Q109">
        <f>ROUND(IF(A109-1-Premissas!$D$21&gt;=0,OFFSET($P$4,A109-1-Premissas!$D$21,0),0)*(1-Premissas!$D$20/100),0)</f>
        <v/>
      </c>
      <c r="R109">
        <f>ROUND(F109*Premissas!$D$11+N109*Premissas!$D$31/100,0)+ROUND((E109+B109)*Premissas!$D$10,0)+ROUND(Q109*Premissas!$D$8/100,0)+ROUND(Premissas!$D$35+(B109+C109)*Premissas!$D$36,0)</f>
        <v/>
      </c>
      <c r="S109">
        <f>O109-R109</f>
        <v/>
      </c>
      <c r="T109">
        <f>ROUND(O109*Premissas!$D$9/100,0)</f>
        <v/>
      </c>
      <c r="U109">
        <f>ROUND(AB109*Premissas!$D$33,0)</f>
        <v/>
      </c>
      <c r="V109">
        <f>Premissas!$D$37+ROUND(Premissas!$D$12*Premissas!$D$38+D109*Premissas!$D$27,0)</f>
        <v/>
      </c>
      <c r="W109">
        <f>Premissas!$D$39</f>
        <v/>
      </c>
      <c r="X109">
        <f>S109-T109-ROUND(Premissas!$D$12*Premissas!$D$38+D109*Premissas!$D$27,0)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Premissas!$D$32+(B109+C109)/Premissas!$D$34</f>
        <v/>
      </c>
      <c r="AC109">
        <f>D109+AC97*(1-Premissas!$D$26/12)^12</f>
        <v/>
      </c>
    </row>
    <row r="110">
      <c r="A110" t="n">
        <v>107</v>
      </c>
      <c r="B110">
        <f>B109*(1-Premissas!$D$18/12)+Premissas!$D$12</f>
        <v/>
      </c>
      <c r="C110">
        <f>IF($B$2=1,C109*(1-Premissas!$D$26/12)+D110,0)</f>
        <v/>
      </c>
      <c r="D110">
        <f>IF(AND($B$2=1,A110&gt;=Premissas!$D$23),Premissas!$D$22,0)</f>
        <v/>
      </c>
      <c r="E110">
        <f>B110*Premissas!$D$28</f>
        <v/>
      </c>
      <c r="F110">
        <f>B110*Premissas!$D$13/12*MIN(1,A110/Premissas!$D$17)</f>
        <v/>
      </c>
      <c r="G110">
        <f>F110*Premissas!$D$14</f>
        <v/>
      </c>
      <c r="H110">
        <f>IF(IF(A110-1-Premissas!$D$16&gt;=0,OFFSET($J$4,A110-1-Premissas!$D$16,0),0)&gt;0,ROUND(IF(A110-1-Premissas!$D$16&gt;=0,OFFSET($J$4,A110-1-Premissas!$D$16,0),0)*10000/Premissas!$D$5*Premissas!$D$15,0),0)</f>
        <v/>
      </c>
      <c r="I110">
        <f>ROUND(G110*Premissas!$D$6/10000,0)</f>
        <v/>
      </c>
      <c r="J110">
        <f>ROUND(G110*Premissas!$D$5/10000,0)</f>
        <v/>
      </c>
      <c r="K110">
        <f>IF(IF(A110-1-Premissas!$D$16&gt;=0,OFFSET($A$4,A110-1-Premissas!$D$16,0)&gt;=Premissas!$D$19,FALSE),ROUND(IF(A110-1-Premissas!$D$16&gt;=0,OFFSET($J$4,A110-1-Premissas!$D$16,0),0)*Premissas!$D$15,0),0)</f>
        <v/>
      </c>
      <c r="L110">
        <f>ROUND(C110*Premissas!$D$24/12,0)</f>
        <v/>
      </c>
      <c r="M110">
        <f>ROUND(D110*Premissas!$D$25,0)</f>
        <v/>
      </c>
      <c r="N110">
        <f>ROUND(E110*Premissas!$D$29+B110*Premissas!$D$30,0)</f>
        <v/>
      </c>
      <c r="O110">
        <f>K110+L110+M110+N110</f>
        <v/>
      </c>
      <c r="P110">
        <f>K110+ROUND(AC110*Premissas!$D$24,0)+M110+N110</f>
        <v/>
      </c>
      <c r="Q110">
        <f>ROUND(IF(A110-1-Premissas!$D$21&gt;=0,OFFSET($P$4,A110-1-Premissas!$D$21,0),0)*(1-Premissas!$D$20/100),0)</f>
        <v/>
      </c>
      <c r="R110">
        <f>ROUND(F110*Premissas!$D$11+N110*Premissas!$D$31/100,0)+ROUND((E110+B110)*Premissas!$D$10,0)+ROUND(Q110*Premissas!$D$8/100,0)+ROUND(Premissas!$D$35+(B110+C110)*Premissas!$D$36,0)</f>
        <v/>
      </c>
      <c r="S110">
        <f>O110-R110</f>
        <v/>
      </c>
      <c r="T110">
        <f>ROUND(O110*Premissas!$D$9/100,0)</f>
        <v/>
      </c>
      <c r="U110">
        <f>ROUND(AB110*Premissas!$D$33,0)</f>
        <v/>
      </c>
      <c r="V110">
        <f>Premissas!$D$37+ROUND(Premissas!$D$12*Premissas!$D$38+D110*Premissas!$D$27,0)</f>
        <v/>
      </c>
      <c r="W110">
        <f>Premissas!$D$39</f>
        <v/>
      </c>
      <c r="X110">
        <f>S110-T110-ROUND(Premissas!$D$12*Premissas!$D$38+D110*Premissas!$D$27,0)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Premissas!$D$32+(B110+C110)/Premissas!$D$34</f>
        <v/>
      </c>
      <c r="AC110">
        <f>D110+AC98*(1-Premissas!$D$26/12)^12</f>
        <v/>
      </c>
    </row>
    <row r="111">
      <c r="A111" t="n">
        <v>108</v>
      </c>
      <c r="B111">
        <f>B110*(1-Premissas!$D$18/12)+Premissas!$D$12</f>
        <v/>
      </c>
      <c r="C111">
        <f>IF($B$2=1,C110*(1-Premissas!$D$26/12)+D111,0)</f>
        <v/>
      </c>
      <c r="D111">
        <f>IF(AND($B$2=1,A111&gt;=Premissas!$D$23),Premissas!$D$22,0)</f>
        <v/>
      </c>
      <c r="E111">
        <f>B111*Premissas!$D$28</f>
        <v/>
      </c>
      <c r="F111">
        <f>B111*Premissas!$D$13/12*MIN(1,A111/Premissas!$D$17)</f>
        <v/>
      </c>
      <c r="G111">
        <f>F111*Premissas!$D$14</f>
        <v/>
      </c>
      <c r="H111">
        <f>IF(IF(A111-1-Premissas!$D$16&gt;=0,OFFSET($J$4,A111-1-Premissas!$D$16,0),0)&gt;0,ROUND(IF(A111-1-Premissas!$D$16&gt;=0,OFFSET($J$4,A111-1-Premissas!$D$16,0),0)*10000/Premissas!$D$5*Premissas!$D$15,0),0)</f>
        <v/>
      </c>
      <c r="I111">
        <f>ROUND(G111*Premissas!$D$6/10000,0)</f>
        <v/>
      </c>
      <c r="J111">
        <f>ROUND(G111*Premissas!$D$5/10000,0)</f>
        <v/>
      </c>
      <c r="K111">
        <f>IF(IF(A111-1-Premissas!$D$16&gt;=0,OFFSET($A$4,A111-1-Premissas!$D$16,0)&gt;=Premissas!$D$19,FALSE),ROUND(IF(A111-1-Premissas!$D$16&gt;=0,OFFSET($J$4,A111-1-Premissas!$D$16,0),0)*Premissas!$D$15,0),0)</f>
        <v/>
      </c>
      <c r="L111">
        <f>ROUND(C111*Premissas!$D$24/12,0)</f>
        <v/>
      </c>
      <c r="M111">
        <f>ROUND(D111*Premissas!$D$25,0)</f>
        <v/>
      </c>
      <c r="N111">
        <f>ROUND(E111*Premissas!$D$29+B111*Premissas!$D$30,0)</f>
        <v/>
      </c>
      <c r="O111">
        <f>K111+L111+M111+N111</f>
        <v/>
      </c>
      <c r="P111">
        <f>K111+ROUND(AC111*Premissas!$D$24,0)+M111+N111</f>
        <v/>
      </c>
      <c r="Q111">
        <f>ROUND(IF(A111-1-Premissas!$D$21&gt;=0,OFFSET($P$4,A111-1-Premissas!$D$21,0),0)*(1-Premissas!$D$20/100),0)</f>
        <v/>
      </c>
      <c r="R111">
        <f>ROUND(F111*Premissas!$D$11+N111*Premissas!$D$31/100,0)+ROUND((E111+B111)*Premissas!$D$10,0)+ROUND(Q111*Premissas!$D$8/100,0)+ROUND(Premissas!$D$35+(B111+C111)*Premissas!$D$36,0)</f>
        <v/>
      </c>
      <c r="S111">
        <f>O111-R111</f>
        <v/>
      </c>
      <c r="T111">
        <f>ROUND(O111*Premissas!$D$9/100,0)</f>
        <v/>
      </c>
      <c r="U111">
        <f>ROUND(AB111*Premissas!$D$33,0)</f>
        <v/>
      </c>
      <c r="V111">
        <f>Premissas!$D$37+ROUND(Premissas!$D$12*Premissas!$D$38+D111*Premissas!$D$27,0)</f>
        <v/>
      </c>
      <c r="W111">
        <f>Premissas!$D$39</f>
        <v/>
      </c>
      <c r="X111">
        <f>S111-T111-ROUND(Premissas!$D$12*Premissas!$D$38+D111*Premissas!$D$27,0)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Premissas!$D$32+(B111+C111)/Premissas!$D$34</f>
        <v/>
      </c>
      <c r="AC111">
        <f>D111+AC99*(1-Premissas!$D$26/12)^12</f>
        <v/>
      </c>
    </row>
    <row r="112">
      <c r="A112" t="n">
        <v>109</v>
      </c>
      <c r="B112">
        <f>B111*(1-Premissas!$D$18/12)+Premissas!$D$12</f>
        <v/>
      </c>
      <c r="C112">
        <f>IF($B$2=1,C111*(1-Premissas!$D$26/12)+D112,0)</f>
        <v/>
      </c>
      <c r="D112">
        <f>IF(AND($B$2=1,A112&gt;=Premissas!$D$23),Premissas!$D$22,0)</f>
        <v/>
      </c>
      <c r="E112">
        <f>B112*Premissas!$D$28</f>
        <v/>
      </c>
      <c r="F112">
        <f>B112*Premissas!$D$13/12*MIN(1,A112/Premissas!$D$17)</f>
        <v/>
      </c>
      <c r="G112">
        <f>F112*Premissas!$D$14</f>
        <v/>
      </c>
      <c r="H112">
        <f>IF(IF(A112-1-Premissas!$D$16&gt;=0,OFFSET($J$4,A112-1-Premissas!$D$16,0),0)&gt;0,ROUND(IF(A112-1-Premissas!$D$16&gt;=0,OFFSET($J$4,A112-1-Premissas!$D$16,0),0)*10000/Premissas!$D$5*Premissas!$D$15,0),0)</f>
        <v/>
      </c>
      <c r="I112">
        <f>ROUND(G112*Premissas!$D$6/10000,0)</f>
        <v/>
      </c>
      <c r="J112">
        <f>ROUND(G112*Premissas!$D$5/10000,0)</f>
        <v/>
      </c>
      <c r="K112">
        <f>IF(IF(A112-1-Premissas!$D$16&gt;=0,OFFSET($A$4,A112-1-Premissas!$D$16,0)&gt;=Premissas!$D$19,FALSE),ROUND(IF(A112-1-Premissas!$D$16&gt;=0,OFFSET($J$4,A112-1-Premissas!$D$16,0),0)*Premissas!$D$15,0),0)</f>
        <v/>
      </c>
      <c r="L112">
        <f>ROUND(C112*Premissas!$D$24/12,0)</f>
        <v/>
      </c>
      <c r="M112">
        <f>ROUND(D112*Premissas!$D$25,0)</f>
        <v/>
      </c>
      <c r="N112">
        <f>ROUND(E112*Premissas!$D$29+B112*Premissas!$D$30,0)</f>
        <v/>
      </c>
      <c r="O112">
        <f>K112+L112+M112+N112</f>
        <v/>
      </c>
      <c r="P112">
        <f>K112+ROUND(AC112*Premissas!$D$24,0)+M112+N112</f>
        <v/>
      </c>
      <c r="Q112">
        <f>ROUND(IF(A112-1-Premissas!$D$21&gt;=0,OFFSET($P$4,A112-1-Premissas!$D$21,0),0)*(1-Premissas!$D$20/100),0)</f>
        <v/>
      </c>
      <c r="R112">
        <f>ROUND(F112*Premissas!$D$11+N112*Premissas!$D$31/100,0)+ROUND((E112+B112)*Premissas!$D$10,0)+ROUND(Q112*Premissas!$D$8/100,0)+ROUND(Premissas!$D$35+(B112+C112)*Premissas!$D$36,0)</f>
        <v/>
      </c>
      <c r="S112">
        <f>O112-R112</f>
        <v/>
      </c>
      <c r="T112">
        <f>ROUND(O112*Premissas!$D$9/100,0)</f>
        <v/>
      </c>
      <c r="U112">
        <f>ROUND(AB112*Premissas!$D$33,0)</f>
        <v/>
      </c>
      <c r="V112">
        <f>Premissas!$D$37+ROUND(Premissas!$D$12*Premissas!$D$38+D112*Premissas!$D$27,0)</f>
        <v/>
      </c>
      <c r="W112">
        <f>Premissas!$D$39</f>
        <v/>
      </c>
      <c r="X112">
        <f>S112-T112-ROUND(Premissas!$D$12*Premissas!$D$38+D112*Premissas!$D$27,0)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Premissas!$D$32+(B112+C112)/Premissas!$D$34</f>
        <v/>
      </c>
      <c r="AC112">
        <f>D112+AC100*(1-Premissas!$D$26/12)^12</f>
        <v/>
      </c>
    </row>
    <row r="113">
      <c r="A113" t="n">
        <v>110</v>
      </c>
      <c r="B113">
        <f>B112*(1-Premissas!$D$18/12)+Premissas!$D$12</f>
        <v/>
      </c>
      <c r="C113">
        <f>IF($B$2=1,C112*(1-Premissas!$D$26/12)+D113,0)</f>
        <v/>
      </c>
      <c r="D113">
        <f>IF(AND($B$2=1,A113&gt;=Premissas!$D$23),Premissas!$D$22,0)</f>
        <v/>
      </c>
      <c r="E113">
        <f>B113*Premissas!$D$28</f>
        <v/>
      </c>
      <c r="F113">
        <f>B113*Premissas!$D$13/12*MIN(1,A113/Premissas!$D$17)</f>
        <v/>
      </c>
      <c r="G113">
        <f>F113*Premissas!$D$14</f>
        <v/>
      </c>
      <c r="H113">
        <f>IF(IF(A113-1-Premissas!$D$16&gt;=0,OFFSET($J$4,A113-1-Premissas!$D$16,0),0)&gt;0,ROUND(IF(A113-1-Premissas!$D$16&gt;=0,OFFSET($J$4,A113-1-Premissas!$D$16,0),0)*10000/Premissas!$D$5*Premissas!$D$15,0),0)</f>
        <v/>
      </c>
      <c r="I113">
        <f>ROUND(G113*Premissas!$D$6/10000,0)</f>
        <v/>
      </c>
      <c r="J113">
        <f>ROUND(G113*Premissas!$D$5/10000,0)</f>
        <v/>
      </c>
      <c r="K113">
        <f>IF(IF(A113-1-Premissas!$D$16&gt;=0,OFFSET($A$4,A113-1-Premissas!$D$16,0)&gt;=Premissas!$D$19,FALSE),ROUND(IF(A113-1-Premissas!$D$16&gt;=0,OFFSET($J$4,A113-1-Premissas!$D$16,0),0)*Premissas!$D$15,0),0)</f>
        <v/>
      </c>
      <c r="L113">
        <f>ROUND(C113*Premissas!$D$24/12,0)</f>
        <v/>
      </c>
      <c r="M113">
        <f>ROUND(D113*Premissas!$D$25,0)</f>
        <v/>
      </c>
      <c r="N113">
        <f>ROUND(E113*Premissas!$D$29+B113*Premissas!$D$30,0)</f>
        <v/>
      </c>
      <c r="O113">
        <f>K113+L113+M113+N113</f>
        <v/>
      </c>
      <c r="P113">
        <f>K113+ROUND(AC113*Premissas!$D$24,0)+M113+N113</f>
        <v/>
      </c>
      <c r="Q113">
        <f>ROUND(IF(A113-1-Premissas!$D$21&gt;=0,OFFSET($P$4,A113-1-Premissas!$D$21,0),0)*(1-Premissas!$D$20/100),0)</f>
        <v/>
      </c>
      <c r="R113">
        <f>ROUND(F113*Premissas!$D$11+N113*Premissas!$D$31/100,0)+ROUND((E113+B113)*Premissas!$D$10,0)+ROUND(Q113*Premissas!$D$8/100,0)+ROUND(Premissas!$D$35+(B113+C113)*Premissas!$D$36,0)</f>
        <v/>
      </c>
      <c r="S113">
        <f>O113-R113</f>
        <v/>
      </c>
      <c r="T113">
        <f>ROUND(O113*Premissas!$D$9/100,0)</f>
        <v/>
      </c>
      <c r="U113">
        <f>ROUND(AB113*Premissas!$D$33,0)</f>
        <v/>
      </c>
      <c r="V113">
        <f>Premissas!$D$37+ROUND(Premissas!$D$12*Premissas!$D$38+D113*Premissas!$D$27,0)</f>
        <v/>
      </c>
      <c r="W113">
        <f>Premissas!$D$39</f>
        <v/>
      </c>
      <c r="X113">
        <f>S113-T113-ROUND(Premissas!$D$12*Premissas!$D$38+D113*Premissas!$D$27,0)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Premissas!$D$32+(B113+C113)/Premissas!$D$34</f>
        <v/>
      </c>
      <c r="AC113">
        <f>D113+AC101*(1-Premissas!$D$26/12)^12</f>
        <v/>
      </c>
    </row>
    <row r="114">
      <c r="A114" t="n">
        <v>111</v>
      </c>
      <c r="B114">
        <f>B113*(1-Premissas!$D$18/12)+Premissas!$D$12</f>
        <v/>
      </c>
      <c r="C114">
        <f>IF($B$2=1,C113*(1-Premissas!$D$26/12)+D114,0)</f>
        <v/>
      </c>
      <c r="D114">
        <f>IF(AND($B$2=1,A114&gt;=Premissas!$D$23),Premissas!$D$22,0)</f>
        <v/>
      </c>
      <c r="E114">
        <f>B114*Premissas!$D$28</f>
        <v/>
      </c>
      <c r="F114">
        <f>B114*Premissas!$D$13/12*MIN(1,A114/Premissas!$D$17)</f>
        <v/>
      </c>
      <c r="G114">
        <f>F114*Premissas!$D$14</f>
        <v/>
      </c>
      <c r="H114">
        <f>IF(IF(A114-1-Premissas!$D$16&gt;=0,OFFSET($J$4,A114-1-Premissas!$D$16,0),0)&gt;0,ROUND(IF(A114-1-Premissas!$D$16&gt;=0,OFFSET($J$4,A114-1-Premissas!$D$16,0),0)*10000/Premissas!$D$5*Premissas!$D$15,0),0)</f>
        <v/>
      </c>
      <c r="I114">
        <f>ROUND(G114*Premissas!$D$6/10000,0)</f>
        <v/>
      </c>
      <c r="J114">
        <f>ROUND(G114*Premissas!$D$5/10000,0)</f>
        <v/>
      </c>
      <c r="K114">
        <f>IF(IF(A114-1-Premissas!$D$16&gt;=0,OFFSET($A$4,A114-1-Premissas!$D$16,0)&gt;=Premissas!$D$19,FALSE),ROUND(IF(A114-1-Premissas!$D$16&gt;=0,OFFSET($J$4,A114-1-Premissas!$D$16,0),0)*Premissas!$D$15,0),0)</f>
        <v/>
      </c>
      <c r="L114">
        <f>ROUND(C114*Premissas!$D$24/12,0)</f>
        <v/>
      </c>
      <c r="M114">
        <f>ROUND(D114*Premissas!$D$25,0)</f>
        <v/>
      </c>
      <c r="N114">
        <f>ROUND(E114*Premissas!$D$29+B114*Premissas!$D$30,0)</f>
        <v/>
      </c>
      <c r="O114">
        <f>K114+L114+M114+N114</f>
        <v/>
      </c>
      <c r="P114">
        <f>K114+ROUND(AC114*Premissas!$D$24,0)+M114+N114</f>
        <v/>
      </c>
      <c r="Q114">
        <f>ROUND(IF(A114-1-Premissas!$D$21&gt;=0,OFFSET($P$4,A114-1-Premissas!$D$21,0),0)*(1-Premissas!$D$20/100),0)</f>
        <v/>
      </c>
      <c r="R114">
        <f>ROUND(F114*Premissas!$D$11+N114*Premissas!$D$31/100,0)+ROUND((E114+B114)*Premissas!$D$10,0)+ROUND(Q114*Premissas!$D$8/100,0)+ROUND(Premissas!$D$35+(B114+C114)*Premissas!$D$36,0)</f>
        <v/>
      </c>
      <c r="S114">
        <f>O114-R114</f>
        <v/>
      </c>
      <c r="T114">
        <f>ROUND(O114*Premissas!$D$9/100,0)</f>
        <v/>
      </c>
      <c r="U114">
        <f>ROUND(AB114*Premissas!$D$33,0)</f>
        <v/>
      </c>
      <c r="V114">
        <f>Premissas!$D$37+ROUND(Premissas!$D$12*Premissas!$D$38+D114*Premissas!$D$27,0)</f>
        <v/>
      </c>
      <c r="W114">
        <f>Premissas!$D$39</f>
        <v/>
      </c>
      <c r="X114">
        <f>S114-T114-ROUND(Premissas!$D$12*Premissas!$D$38+D114*Premissas!$D$27,0)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Premissas!$D$32+(B114+C114)/Premissas!$D$34</f>
        <v/>
      </c>
      <c r="AC114">
        <f>D114+AC102*(1-Premissas!$D$26/12)^12</f>
        <v/>
      </c>
    </row>
    <row r="115">
      <c r="A115" t="n">
        <v>112</v>
      </c>
      <c r="B115">
        <f>B114*(1-Premissas!$D$18/12)+Premissas!$D$12</f>
        <v/>
      </c>
      <c r="C115">
        <f>IF($B$2=1,C114*(1-Premissas!$D$26/12)+D115,0)</f>
        <v/>
      </c>
      <c r="D115">
        <f>IF(AND($B$2=1,A115&gt;=Premissas!$D$23),Premissas!$D$22,0)</f>
        <v/>
      </c>
      <c r="E115">
        <f>B115*Premissas!$D$28</f>
        <v/>
      </c>
      <c r="F115">
        <f>B115*Premissas!$D$13/12*MIN(1,A115/Premissas!$D$17)</f>
        <v/>
      </c>
      <c r="G115">
        <f>F115*Premissas!$D$14</f>
        <v/>
      </c>
      <c r="H115">
        <f>IF(IF(A115-1-Premissas!$D$16&gt;=0,OFFSET($J$4,A115-1-Premissas!$D$16,0),0)&gt;0,ROUND(IF(A115-1-Premissas!$D$16&gt;=0,OFFSET($J$4,A115-1-Premissas!$D$16,0),0)*10000/Premissas!$D$5*Premissas!$D$15,0),0)</f>
        <v/>
      </c>
      <c r="I115">
        <f>ROUND(G115*Premissas!$D$6/10000,0)</f>
        <v/>
      </c>
      <c r="J115">
        <f>ROUND(G115*Premissas!$D$5/10000,0)</f>
        <v/>
      </c>
      <c r="K115">
        <f>IF(IF(A115-1-Premissas!$D$16&gt;=0,OFFSET($A$4,A115-1-Premissas!$D$16,0)&gt;=Premissas!$D$19,FALSE),ROUND(IF(A115-1-Premissas!$D$16&gt;=0,OFFSET($J$4,A115-1-Premissas!$D$16,0),0)*Premissas!$D$15,0),0)</f>
        <v/>
      </c>
      <c r="L115">
        <f>ROUND(C115*Premissas!$D$24/12,0)</f>
        <v/>
      </c>
      <c r="M115">
        <f>ROUND(D115*Premissas!$D$25,0)</f>
        <v/>
      </c>
      <c r="N115">
        <f>ROUND(E115*Premissas!$D$29+B115*Premissas!$D$30,0)</f>
        <v/>
      </c>
      <c r="O115">
        <f>K115+L115+M115+N115</f>
        <v/>
      </c>
      <c r="P115">
        <f>K115+ROUND(AC115*Premissas!$D$24,0)+M115+N115</f>
        <v/>
      </c>
      <c r="Q115">
        <f>ROUND(IF(A115-1-Premissas!$D$21&gt;=0,OFFSET($P$4,A115-1-Premissas!$D$21,0),0)*(1-Premissas!$D$20/100),0)</f>
        <v/>
      </c>
      <c r="R115">
        <f>ROUND(F115*Premissas!$D$11+N115*Premissas!$D$31/100,0)+ROUND((E115+B115)*Premissas!$D$10,0)+ROUND(Q115*Premissas!$D$8/100,0)+ROUND(Premissas!$D$35+(B115+C115)*Premissas!$D$36,0)</f>
        <v/>
      </c>
      <c r="S115">
        <f>O115-R115</f>
        <v/>
      </c>
      <c r="T115">
        <f>ROUND(O115*Premissas!$D$9/100,0)</f>
        <v/>
      </c>
      <c r="U115">
        <f>ROUND(AB115*Premissas!$D$33,0)</f>
        <v/>
      </c>
      <c r="V115">
        <f>Premissas!$D$37+ROUND(Premissas!$D$12*Premissas!$D$38+D115*Premissas!$D$27,0)</f>
        <v/>
      </c>
      <c r="W115">
        <f>Premissas!$D$39</f>
        <v/>
      </c>
      <c r="X115">
        <f>S115-T115-ROUND(Premissas!$D$12*Premissas!$D$38+D115*Premissas!$D$27,0)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Premissas!$D$32+(B115+C115)/Premissas!$D$34</f>
        <v/>
      </c>
      <c r="AC115">
        <f>D115+AC103*(1-Premissas!$D$26/12)^12</f>
        <v/>
      </c>
    </row>
    <row r="116">
      <c r="A116" t="n">
        <v>113</v>
      </c>
      <c r="B116">
        <f>B115*(1-Premissas!$D$18/12)+Premissas!$D$12</f>
        <v/>
      </c>
      <c r="C116">
        <f>IF($B$2=1,C115*(1-Premissas!$D$26/12)+D116,0)</f>
        <v/>
      </c>
      <c r="D116">
        <f>IF(AND($B$2=1,A116&gt;=Premissas!$D$23),Premissas!$D$22,0)</f>
        <v/>
      </c>
      <c r="E116">
        <f>B116*Premissas!$D$28</f>
        <v/>
      </c>
      <c r="F116">
        <f>B116*Premissas!$D$13/12*MIN(1,A116/Premissas!$D$17)</f>
        <v/>
      </c>
      <c r="G116">
        <f>F116*Premissas!$D$14</f>
        <v/>
      </c>
      <c r="H116">
        <f>IF(IF(A116-1-Premissas!$D$16&gt;=0,OFFSET($J$4,A116-1-Premissas!$D$16,0),0)&gt;0,ROUND(IF(A116-1-Premissas!$D$16&gt;=0,OFFSET($J$4,A116-1-Premissas!$D$16,0),0)*10000/Premissas!$D$5*Premissas!$D$15,0),0)</f>
        <v/>
      </c>
      <c r="I116">
        <f>ROUND(G116*Premissas!$D$6/10000,0)</f>
        <v/>
      </c>
      <c r="J116">
        <f>ROUND(G116*Premissas!$D$5/10000,0)</f>
        <v/>
      </c>
      <c r="K116">
        <f>IF(IF(A116-1-Premissas!$D$16&gt;=0,OFFSET($A$4,A116-1-Premissas!$D$16,0)&gt;=Premissas!$D$19,FALSE),ROUND(IF(A116-1-Premissas!$D$16&gt;=0,OFFSET($J$4,A116-1-Premissas!$D$16,0),0)*Premissas!$D$15,0),0)</f>
        <v/>
      </c>
      <c r="L116">
        <f>ROUND(C116*Premissas!$D$24/12,0)</f>
        <v/>
      </c>
      <c r="M116">
        <f>ROUND(D116*Premissas!$D$25,0)</f>
        <v/>
      </c>
      <c r="N116">
        <f>ROUND(E116*Premissas!$D$29+B116*Premissas!$D$30,0)</f>
        <v/>
      </c>
      <c r="O116">
        <f>K116+L116+M116+N116</f>
        <v/>
      </c>
      <c r="P116">
        <f>K116+ROUND(AC116*Premissas!$D$24,0)+M116+N116</f>
        <v/>
      </c>
      <c r="Q116">
        <f>ROUND(IF(A116-1-Premissas!$D$21&gt;=0,OFFSET($P$4,A116-1-Premissas!$D$21,0),0)*(1-Premissas!$D$20/100),0)</f>
        <v/>
      </c>
      <c r="R116">
        <f>ROUND(F116*Premissas!$D$11+N116*Premissas!$D$31/100,0)+ROUND((E116+B116)*Premissas!$D$10,0)+ROUND(Q116*Premissas!$D$8/100,0)+ROUND(Premissas!$D$35+(B116+C116)*Premissas!$D$36,0)</f>
        <v/>
      </c>
      <c r="S116">
        <f>O116-R116</f>
        <v/>
      </c>
      <c r="T116">
        <f>ROUND(O116*Premissas!$D$9/100,0)</f>
        <v/>
      </c>
      <c r="U116">
        <f>ROUND(AB116*Premissas!$D$33,0)</f>
        <v/>
      </c>
      <c r="V116">
        <f>Premissas!$D$37+ROUND(Premissas!$D$12*Premissas!$D$38+D116*Premissas!$D$27,0)</f>
        <v/>
      </c>
      <c r="W116">
        <f>Premissas!$D$39</f>
        <v/>
      </c>
      <c r="X116">
        <f>S116-T116-ROUND(Premissas!$D$12*Premissas!$D$38+D116*Premissas!$D$27,0)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Premissas!$D$32+(B116+C116)/Premissas!$D$34</f>
        <v/>
      </c>
      <c r="AC116">
        <f>D116+AC104*(1-Premissas!$D$26/12)^12</f>
        <v/>
      </c>
    </row>
    <row r="117">
      <c r="A117" t="n">
        <v>114</v>
      </c>
      <c r="B117">
        <f>B116*(1-Premissas!$D$18/12)+Premissas!$D$12</f>
        <v/>
      </c>
      <c r="C117">
        <f>IF($B$2=1,C116*(1-Premissas!$D$26/12)+D117,0)</f>
        <v/>
      </c>
      <c r="D117">
        <f>IF(AND($B$2=1,A117&gt;=Premissas!$D$23),Premissas!$D$22,0)</f>
        <v/>
      </c>
      <c r="E117">
        <f>B117*Premissas!$D$28</f>
        <v/>
      </c>
      <c r="F117">
        <f>B117*Premissas!$D$13/12*MIN(1,A117/Premissas!$D$17)</f>
        <v/>
      </c>
      <c r="G117">
        <f>F117*Premissas!$D$14</f>
        <v/>
      </c>
      <c r="H117">
        <f>IF(IF(A117-1-Premissas!$D$16&gt;=0,OFFSET($J$4,A117-1-Premissas!$D$16,0),0)&gt;0,ROUND(IF(A117-1-Premissas!$D$16&gt;=0,OFFSET($J$4,A117-1-Premissas!$D$16,0),0)*10000/Premissas!$D$5*Premissas!$D$15,0),0)</f>
        <v/>
      </c>
      <c r="I117">
        <f>ROUND(G117*Premissas!$D$6/10000,0)</f>
        <v/>
      </c>
      <c r="J117">
        <f>ROUND(G117*Premissas!$D$5/10000,0)</f>
        <v/>
      </c>
      <c r="K117">
        <f>IF(IF(A117-1-Premissas!$D$16&gt;=0,OFFSET($A$4,A117-1-Premissas!$D$16,0)&gt;=Premissas!$D$19,FALSE),ROUND(IF(A117-1-Premissas!$D$16&gt;=0,OFFSET($J$4,A117-1-Premissas!$D$16,0),0)*Premissas!$D$15,0),0)</f>
        <v/>
      </c>
      <c r="L117">
        <f>ROUND(C117*Premissas!$D$24/12,0)</f>
        <v/>
      </c>
      <c r="M117">
        <f>ROUND(D117*Premissas!$D$25,0)</f>
        <v/>
      </c>
      <c r="N117">
        <f>ROUND(E117*Premissas!$D$29+B117*Premissas!$D$30,0)</f>
        <v/>
      </c>
      <c r="O117">
        <f>K117+L117+M117+N117</f>
        <v/>
      </c>
      <c r="P117">
        <f>K117+ROUND(AC117*Premissas!$D$24,0)+M117+N117</f>
        <v/>
      </c>
      <c r="Q117">
        <f>ROUND(IF(A117-1-Premissas!$D$21&gt;=0,OFFSET($P$4,A117-1-Premissas!$D$21,0),0)*(1-Premissas!$D$20/100),0)</f>
        <v/>
      </c>
      <c r="R117">
        <f>ROUND(F117*Premissas!$D$11+N117*Premissas!$D$31/100,0)+ROUND((E117+B117)*Premissas!$D$10,0)+ROUND(Q117*Premissas!$D$8/100,0)+ROUND(Premissas!$D$35+(B117+C117)*Premissas!$D$36,0)</f>
        <v/>
      </c>
      <c r="S117">
        <f>O117-R117</f>
        <v/>
      </c>
      <c r="T117">
        <f>ROUND(O117*Premissas!$D$9/100,0)</f>
        <v/>
      </c>
      <c r="U117">
        <f>ROUND(AB117*Premissas!$D$33,0)</f>
        <v/>
      </c>
      <c r="V117">
        <f>Premissas!$D$37+ROUND(Premissas!$D$12*Premissas!$D$38+D117*Premissas!$D$27,0)</f>
        <v/>
      </c>
      <c r="W117">
        <f>Premissas!$D$39</f>
        <v/>
      </c>
      <c r="X117">
        <f>S117-T117-ROUND(Premissas!$D$12*Premissas!$D$38+D117*Premissas!$D$27,0)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Premissas!$D$32+(B117+C117)/Premissas!$D$34</f>
        <v/>
      </c>
      <c r="AC117">
        <f>D117+AC105*(1-Premissas!$D$26/12)^12</f>
        <v/>
      </c>
    </row>
    <row r="118">
      <c r="A118" t="n">
        <v>115</v>
      </c>
      <c r="B118">
        <f>B117*(1-Premissas!$D$18/12)+Premissas!$D$12</f>
        <v/>
      </c>
      <c r="C118">
        <f>IF($B$2=1,C117*(1-Premissas!$D$26/12)+D118,0)</f>
        <v/>
      </c>
      <c r="D118">
        <f>IF(AND($B$2=1,A118&gt;=Premissas!$D$23),Premissas!$D$22,0)</f>
        <v/>
      </c>
      <c r="E118">
        <f>B118*Premissas!$D$28</f>
        <v/>
      </c>
      <c r="F118">
        <f>B118*Premissas!$D$13/12*MIN(1,A118/Premissas!$D$17)</f>
        <v/>
      </c>
      <c r="G118">
        <f>F118*Premissas!$D$14</f>
        <v/>
      </c>
      <c r="H118">
        <f>IF(IF(A118-1-Premissas!$D$16&gt;=0,OFFSET($J$4,A118-1-Premissas!$D$16,0),0)&gt;0,ROUND(IF(A118-1-Premissas!$D$16&gt;=0,OFFSET($J$4,A118-1-Premissas!$D$16,0),0)*10000/Premissas!$D$5*Premissas!$D$15,0),0)</f>
        <v/>
      </c>
      <c r="I118">
        <f>ROUND(G118*Premissas!$D$6/10000,0)</f>
        <v/>
      </c>
      <c r="J118">
        <f>ROUND(G118*Premissas!$D$5/10000,0)</f>
        <v/>
      </c>
      <c r="K118">
        <f>IF(IF(A118-1-Premissas!$D$16&gt;=0,OFFSET($A$4,A118-1-Premissas!$D$16,0)&gt;=Premissas!$D$19,FALSE),ROUND(IF(A118-1-Premissas!$D$16&gt;=0,OFFSET($J$4,A118-1-Premissas!$D$16,0),0)*Premissas!$D$15,0),0)</f>
        <v/>
      </c>
      <c r="L118">
        <f>ROUND(C118*Premissas!$D$24/12,0)</f>
        <v/>
      </c>
      <c r="M118">
        <f>ROUND(D118*Premissas!$D$25,0)</f>
        <v/>
      </c>
      <c r="N118">
        <f>ROUND(E118*Premissas!$D$29+B118*Premissas!$D$30,0)</f>
        <v/>
      </c>
      <c r="O118">
        <f>K118+L118+M118+N118</f>
        <v/>
      </c>
      <c r="P118">
        <f>K118+ROUND(AC118*Premissas!$D$24,0)+M118+N118</f>
        <v/>
      </c>
      <c r="Q118">
        <f>ROUND(IF(A118-1-Premissas!$D$21&gt;=0,OFFSET($P$4,A118-1-Premissas!$D$21,0),0)*(1-Premissas!$D$20/100),0)</f>
        <v/>
      </c>
      <c r="R118">
        <f>ROUND(F118*Premissas!$D$11+N118*Premissas!$D$31/100,0)+ROUND((E118+B118)*Premissas!$D$10,0)+ROUND(Q118*Premissas!$D$8/100,0)+ROUND(Premissas!$D$35+(B118+C118)*Premissas!$D$36,0)</f>
        <v/>
      </c>
      <c r="S118">
        <f>O118-R118</f>
        <v/>
      </c>
      <c r="T118">
        <f>ROUND(O118*Premissas!$D$9/100,0)</f>
        <v/>
      </c>
      <c r="U118">
        <f>ROUND(AB118*Premissas!$D$33,0)</f>
        <v/>
      </c>
      <c r="V118">
        <f>Premissas!$D$37+ROUND(Premissas!$D$12*Premissas!$D$38+D118*Premissas!$D$27,0)</f>
        <v/>
      </c>
      <c r="W118">
        <f>Premissas!$D$39</f>
        <v/>
      </c>
      <c r="X118">
        <f>S118-T118-ROUND(Premissas!$D$12*Premissas!$D$38+D118*Premissas!$D$27,0)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Premissas!$D$32+(B118+C118)/Premissas!$D$34</f>
        <v/>
      </c>
      <c r="AC118">
        <f>D118+AC106*(1-Premissas!$D$26/12)^12</f>
        <v/>
      </c>
    </row>
    <row r="119">
      <c r="A119" t="n">
        <v>116</v>
      </c>
      <c r="B119">
        <f>B118*(1-Premissas!$D$18/12)+Premissas!$D$12</f>
        <v/>
      </c>
      <c r="C119">
        <f>IF($B$2=1,C118*(1-Premissas!$D$26/12)+D119,0)</f>
        <v/>
      </c>
      <c r="D119">
        <f>IF(AND($B$2=1,A119&gt;=Premissas!$D$23),Premissas!$D$22,0)</f>
        <v/>
      </c>
      <c r="E119">
        <f>B119*Premissas!$D$28</f>
        <v/>
      </c>
      <c r="F119">
        <f>B119*Premissas!$D$13/12*MIN(1,A119/Premissas!$D$17)</f>
        <v/>
      </c>
      <c r="G119">
        <f>F119*Premissas!$D$14</f>
        <v/>
      </c>
      <c r="H119">
        <f>IF(IF(A119-1-Premissas!$D$16&gt;=0,OFFSET($J$4,A119-1-Premissas!$D$16,0),0)&gt;0,ROUND(IF(A119-1-Premissas!$D$16&gt;=0,OFFSET($J$4,A119-1-Premissas!$D$16,0),0)*10000/Premissas!$D$5*Premissas!$D$15,0),0)</f>
        <v/>
      </c>
      <c r="I119">
        <f>ROUND(G119*Premissas!$D$6/10000,0)</f>
        <v/>
      </c>
      <c r="J119">
        <f>ROUND(G119*Premissas!$D$5/10000,0)</f>
        <v/>
      </c>
      <c r="K119">
        <f>IF(IF(A119-1-Premissas!$D$16&gt;=0,OFFSET($A$4,A119-1-Premissas!$D$16,0)&gt;=Premissas!$D$19,FALSE),ROUND(IF(A119-1-Premissas!$D$16&gt;=0,OFFSET($J$4,A119-1-Premissas!$D$16,0),0)*Premissas!$D$15,0),0)</f>
        <v/>
      </c>
      <c r="L119">
        <f>ROUND(C119*Premissas!$D$24/12,0)</f>
        <v/>
      </c>
      <c r="M119">
        <f>ROUND(D119*Premissas!$D$25,0)</f>
        <v/>
      </c>
      <c r="N119">
        <f>ROUND(E119*Premissas!$D$29+B119*Premissas!$D$30,0)</f>
        <v/>
      </c>
      <c r="O119">
        <f>K119+L119+M119+N119</f>
        <v/>
      </c>
      <c r="P119">
        <f>K119+ROUND(AC119*Premissas!$D$24,0)+M119+N119</f>
        <v/>
      </c>
      <c r="Q119">
        <f>ROUND(IF(A119-1-Premissas!$D$21&gt;=0,OFFSET($P$4,A119-1-Premissas!$D$21,0),0)*(1-Premissas!$D$20/100),0)</f>
        <v/>
      </c>
      <c r="R119">
        <f>ROUND(F119*Premissas!$D$11+N119*Premissas!$D$31/100,0)+ROUND((E119+B119)*Premissas!$D$10,0)+ROUND(Q119*Premissas!$D$8/100,0)+ROUND(Premissas!$D$35+(B119+C119)*Premissas!$D$36,0)</f>
        <v/>
      </c>
      <c r="S119">
        <f>O119-R119</f>
        <v/>
      </c>
      <c r="T119">
        <f>ROUND(O119*Premissas!$D$9/100,0)</f>
        <v/>
      </c>
      <c r="U119">
        <f>ROUND(AB119*Premissas!$D$33,0)</f>
        <v/>
      </c>
      <c r="V119">
        <f>Premissas!$D$37+ROUND(Premissas!$D$12*Premissas!$D$38+D119*Premissas!$D$27,0)</f>
        <v/>
      </c>
      <c r="W119">
        <f>Premissas!$D$39</f>
        <v/>
      </c>
      <c r="X119">
        <f>S119-T119-ROUND(Premissas!$D$12*Premissas!$D$38+D119*Premissas!$D$27,0)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Premissas!$D$32+(B119+C119)/Premissas!$D$34</f>
        <v/>
      </c>
      <c r="AC119">
        <f>D119+AC107*(1-Premissas!$D$26/12)^12</f>
        <v/>
      </c>
    </row>
    <row r="120">
      <c r="A120" t="n">
        <v>117</v>
      </c>
      <c r="B120">
        <f>B119*(1-Premissas!$D$18/12)+Premissas!$D$12</f>
        <v/>
      </c>
      <c r="C120">
        <f>IF($B$2=1,C119*(1-Premissas!$D$26/12)+D120,0)</f>
        <v/>
      </c>
      <c r="D120">
        <f>IF(AND($B$2=1,A120&gt;=Premissas!$D$23),Premissas!$D$22,0)</f>
        <v/>
      </c>
      <c r="E120">
        <f>B120*Premissas!$D$28</f>
        <v/>
      </c>
      <c r="F120">
        <f>B120*Premissas!$D$13/12*MIN(1,A120/Premissas!$D$17)</f>
        <v/>
      </c>
      <c r="G120">
        <f>F120*Premissas!$D$14</f>
        <v/>
      </c>
      <c r="H120">
        <f>IF(IF(A120-1-Premissas!$D$16&gt;=0,OFFSET($J$4,A120-1-Premissas!$D$16,0),0)&gt;0,ROUND(IF(A120-1-Premissas!$D$16&gt;=0,OFFSET($J$4,A120-1-Premissas!$D$16,0),0)*10000/Premissas!$D$5*Premissas!$D$15,0),0)</f>
        <v/>
      </c>
      <c r="I120">
        <f>ROUND(G120*Premissas!$D$6/10000,0)</f>
        <v/>
      </c>
      <c r="J120">
        <f>ROUND(G120*Premissas!$D$5/10000,0)</f>
        <v/>
      </c>
      <c r="K120">
        <f>IF(IF(A120-1-Premissas!$D$16&gt;=0,OFFSET($A$4,A120-1-Premissas!$D$16,0)&gt;=Premissas!$D$19,FALSE),ROUND(IF(A120-1-Premissas!$D$16&gt;=0,OFFSET($J$4,A120-1-Premissas!$D$16,0),0)*Premissas!$D$15,0),0)</f>
        <v/>
      </c>
      <c r="L120">
        <f>ROUND(C120*Premissas!$D$24/12,0)</f>
        <v/>
      </c>
      <c r="M120">
        <f>ROUND(D120*Premissas!$D$25,0)</f>
        <v/>
      </c>
      <c r="N120">
        <f>ROUND(E120*Premissas!$D$29+B120*Premissas!$D$30,0)</f>
        <v/>
      </c>
      <c r="O120">
        <f>K120+L120+M120+N120</f>
        <v/>
      </c>
      <c r="P120">
        <f>K120+ROUND(AC120*Premissas!$D$24,0)+M120+N120</f>
        <v/>
      </c>
      <c r="Q120">
        <f>ROUND(IF(A120-1-Premissas!$D$21&gt;=0,OFFSET($P$4,A120-1-Premissas!$D$21,0),0)*(1-Premissas!$D$20/100),0)</f>
        <v/>
      </c>
      <c r="R120">
        <f>ROUND(F120*Premissas!$D$11+N120*Premissas!$D$31/100,0)+ROUND((E120+B120)*Premissas!$D$10,0)+ROUND(Q120*Premissas!$D$8/100,0)+ROUND(Premissas!$D$35+(B120+C120)*Premissas!$D$36,0)</f>
        <v/>
      </c>
      <c r="S120">
        <f>O120-R120</f>
        <v/>
      </c>
      <c r="T120">
        <f>ROUND(O120*Premissas!$D$9/100,0)</f>
        <v/>
      </c>
      <c r="U120">
        <f>ROUND(AB120*Premissas!$D$33,0)</f>
        <v/>
      </c>
      <c r="V120">
        <f>Premissas!$D$37+ROUND(Premissas!$D$12*Premissas!$D$38+D120*Premissas!$D$27,0)</f>
        <v/>
      </c>
      <c r="W120">
        <f>Premissas!$D$39</f>
        <v/>
      </c>
      <c r="X120">
        <f>S120-T120-ROUND(Premissas!$D$12*Premissas!$D$38+D120*Premissas!$D$27,0)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Premissas!$D$32+(B120+C120)/Premissas!$D$34</f>
        <v/>
      </c>
      <c r="AC120">
        <f>D120+AC108*(1-Premissas!$D$26/12)^12</f>
        <v/>
      </c>
    </row>
    <row r="121">
      <c r="A121" t="n">
        <v>118</v>
      </c>
      <c r="B121">
        <f>B120*(1-Premissas!$D$18/12)+Premissas!$D$12</f>
        <v/>
      </c>
      <c r="C121">
        <f>IF($B$2=1,C120*(1-Premissas!$D$26/12)+D121,0)</f>
        <v/>
      </c>
      <c r="D121">
        <f>IF(AND($B$2=1,A121&gt;=Premissas!$D$23),Premissas!$D$22,0)</f>
        <v/>
      </c>
      <c r="E121">
        <f>B121*Premissas!$D$28</f>
        <v/>
      </c>
      <c r="F121">
        <f>B121*Premissas!$D$13/12*MIN(1,A121/Premissas!$D$17)</f>
        <v/>
      </c>
      <c r="G121">
        <f>F121*Premissas!$D$14</f>
        <v/>
      </c>
      <c r="H121">
        <f>IF(IF(A121-1-Premissas!$D$16&gt;=0,OFFSET($J$4,A121-1-Premissas!$D$16,0),0)&gt;0,ROUND(IF(A121-1-Premissas!$D$16&gt;=0,OFFSET($J$4,A121-1-Premissas!$D$16,0),0)*10000/Premissas!$D$5*Premissas!$D$15,0),0)</f>
        <v/>
      </c>
      <c r="I121">
        <f>ROUND(G121*Premissas!$D$6/10000,0)</f>
        <v/>
      </c>
      <c r="J121">
        <f>ROUND(G121*Premissas!$D$5/10000,0)</f>
        <v/>
      </c>
      <c r="K121">
        <f>IF(IF(A121-1-Premissas!$D$16&gt;=0,OFFSET($A$4,A121-1-Premissas!$D$16,0)&gt;=Premissas!$D$19,FALSE),ROUND(IF(A121-1-Premissas!$D$16&gt;=0,OFFSET($J$4,A121-1-Premissas!$D$16,0),0)*Premissas!$D$15,0),0)</f>
        <v/>
      </c>
      <c r="L121">
        <f>ROUND(C121*Premissas!$D$24/12,0)</f>
        <v/>
      </c>
      <c r="M121">
        <f>ROUND(D121*Premissas!$D$25,0)</f>
        <v/>
      </c>
      <c r="N121">
        <f>ROUND(E121*Premissas!$D$29+B121*Premissas!$D$30,0)</f>
        <v/>
      </c>
      <c r="O121">
        <f>K121+L121+M121+N121</f>
        <v/>
      </c>
      <c r="P121">
        <f>K121+ROUND(AC121*Premissas!$D$24,0)+M121+N121</f>
        <v/>
      </c>
      <c r="Q121">
        <f>ROUND(IF(A121-1-Premissas!$D$21&gt;=0,OFFSET($P$4,A121-1-Premissas!$D$21,0),0)*(1-Premissas!$D$20/100),0)</f>
        <v/>
      </c>
      <c r="R121">
        <f>ROUND(F121*Premissas!$D$11+N121*Premissas!$D$31/100,0)+ROUND((E121+B121)*Premissas!$D$10,0)+ROUND(Q121*Premissas!$D$8/100,0)+ROUND(Premissas!$D$35+(B121+C121)*Premissas!$D$36,0)</f>
        <v/>
      </c>
      <c r="S121">
        <f>O121-R121</f>
        <v/>
      </c>
      <c r="T121">
        <f>ROUND(O121*Premissas!$D$9/100,0)</f>
        <v/>
      </c>
      <c r="U121">
        <f>ROUND(AB121*Premissas!$D$33,0)</f>
        <v/>
      </c>
      <c r="V121">
        <f>Premissas!$D$37+ROUND(Premissas!$D$12*Premissas!$D$38+D121*Premissas!$D$27,0)</f>
        <v/>
      </c>
      <c r="W121">
        <f>Premissas!$D$39</f>
        <v/>
      </c>
      <c r="X121">
        <f>S121-T121-ROUND(Premissas!$D$12*Premissas!$D$38+D121*Premissas!$D$27,0)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Premissas!$D$32+(B121+C121)/Premissas!$D$34</f>
        <v/>
      </c>
      <c r="AC121">
        <f>D121+AC109*(1-Premissas!$D$26/12)^12</f>
        <v/>
      </c>
    </row>
    <row r="122">
      <c r="A122" t="n">
        <v>119</v>
      </c>
      <c r="B122">
        <f>B121*(1-Premissas!$D$18/12)+Premissas!$D$12</f>
        <v/>
      </c>
      <c r="C122">
        <f>IF($B$2=1,C121*(1-Premissas!$D$26/12)+D122,0)</f>
        <v/>
      </c>
      <c r="D122">
        <f>IF(AND($B$2=1,A122&gt;=Premissas!$D$23),Premissas!$D$22,0)</f>
        <v/>
      </c>
      <c r="E122">
        <f>B122*Premissas!$D$28</f>
        <v/>
      </c>
      <c r="F122">
        <f>B122*Premissas!$D$13/12*MIN(1,A122/Premissas!$D$17)</f>
        <v/>
      </c>
      <c r="G122">
        <f>F122*Premissas!$D$14</f>
        <v/>
      </c>
      <c r="H122">
        <f>IF(IF(A122-1-Premissas!$D$16&gt;=0,OFFSET($J$4,A122-1-Premissas!$D$16,0),0)&gt;0,ROUND(IF(A122-1-Premissas!$D$16&gt;=0,OFFSET($J$4,A122-1-Premissas!$D$16,0),0)*10000/Premissas!$D$5*Premissas!$D$15,0),0)</f>
        <v/>
      </c>
      <c r="I122">
        <f>ROUND(G122*Premissas!$D$6/10000,0)</f>
        <v/>
      </c>
      <c r="J122">
        <f>ROUND(G122*Premissas!$D$5/10000,0)</f>
        <v/>
      </c>
      <c r="K122">
        <f>IF(IF(A122-1-Premissas!$D$16&gt;=0,OFFSET($A$4,A122-1-Premissas!$D$16,0)&gt;=Premissas!$D$19,FALSE),ROUND(IF(A122-1-Premissas!$D$16&gt;=0,OFFSET($J$4,A122-1-Premissas!$D$16,0),0)*Premissas!$D$15,0),0)</f>
        <v/>
      </c>
      <c r="L122">
        <f>ROUND(C122*Premissas!$D$24/12,0)</f>
        <v/>
      </c>
      <c r="M122">
        <f>ROUND(D122*Premissas!$D$25,0)</f>
        <v/>
      </c>
      <c r="N122">
        <f>ROUND(E122*Premissas!$D$29+B122*Premissas!$D$30,0)</f>
        <v/>
      </c>
      <c r="O122">
        <f>K122+L122+M122+N122</f>
        <v/>
      </c>
      <c r="P122">
        <f>K122+ROUND(AC122*Premissas!$D$24,0)+M122+N122</f>
        <v/>
      </c>
      <c r="Q122">
        <f>ROUND(IF(A122-1-Premissas!$D$21&gt;=0,OFFSET($P$4,A122-1-Premissas!$D$21,0),0)*(1-Premissas!$D$20/100),0)</f>
        <v/>
      </c>
      <c r="R122">
        <f>ROUND(F122*Premissas!$D$11+N122*Premissas!$D$31/100,0)+ROUND((E122+B122)*Premissas!$D$10,0)+ROUND(Q122*Premissas!$D$8/100,0)+ROUND(Premissas!$D$35+(B122+C122)*Premissas!$D$36,0)</f>
        <v/>
      </c>
      <c r="S122">
        <f>O122-R122</f>
        <v/>
      </c>
      <c r="T122">
        <f>ROUND(O122*Premissas!$D$9/100,0)</f>
        <v/>
      </c>
      <c r="U122">
        <f>ROUND(AB122*Premissas!$D$33,0)</f>
        <v/>
      </c>
      <c r="V122">
        <f>Premissas!$D$37+ROUND(Premissas!$D$12*Premissas!$D$38+D122*Premissas!$D$27,0)</f>
        <v/>
      </c>
      <c r="W122">
        <f>Premissas!$D$39</f>
        <v/>
      </c>
      <c r="X122">
        <f>S122-T122-ROUND(Premissas!$D$12*Premissas!$D$38+D122*Premissas!$D$27,0)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Premissas!$D$32+(B122+C122)/Premissas!$D$34</f>
        <v/>
      </c>
      <c r="AC122">
        <f>D122+AC110*(1-Premissas!$D$26/12)^12</f>
        <v/>
      </c>
    </row>
    <row r="123">
      <c r="A123" t="n">
        <v>120</v>
      </c>
      <c r="B123">
        <f>B122*(1-Premissas!$D$18/12)+Premissas!$D$12</f>
        <v/>
      </c>
      <c r="C123">
        <f>IF($B$2=1,C122*(1-Premissas!$D$26/12)+D123,0)</f>
        <v/>
      </c>
      <c r="D123">
        <f>IF(AND($B$2=1,A123&gt;=Premissas!$D$23),Premissas!$D$22,0)</f>
        <v/>
      </c>
      <c r="E123">
        <f>B123*Premissas!$D$28</f>
        <v/>
      </c>
      <c r="F123">
        <f>B123*Premissas!$D$13/12*MIN(1,A123/Premissas!$D$17)</f>
        <v/>
      </c>
      <c r="G123">
        <f>F123*Premissas!$D$14</f>
        <v/>
      </c>
      <c r="H123">
        <f>IF(IF(A123-1-Premissas!$D$16&gt;=0,OFFSET($J$4,A123-1-Premissas!$D$16,0),0)&gt;0,ROUND(IF(A123-1-Premissas!$D$16&gt;=0,OFFSET($J$4,A123-1-Premissas!$D$16,0),0)*10000/Premissas!$D$5*Premissas!$D$15,0),0)</f>
        <v/>
      </c>
      <c r="I123">
        <f>ROUND(G123*Premissas!$D$6/10000,0)</f>
        <v/>
      </c>
      <c r="J123">
        <f>ROUND(G123*Premissas!$D$5/10000,0)</f>
        <v/>
      </c>
      <c r="K123">
        <f>IF(IF(A123-1-Premissas!$D$16&gt;=0,OFFSET($A$4,A123-1-Premissas!$D$16,0)&gt;=Premissas!$D$19,FALSE),ROUND(IF(A123-1-Premissas!$D$16&gt;=0,OFFSET($J$4,A123-1-Premissas!$D$16,0),0)*Premissas!$D$15,0),0)</f>
        <v/>
      </c>
      <c r="L123">
        <f>ROUND(C123*Premissas!$D$24/12,0)</f>
        <v/>
      </c>
      <c r="M123">
        <f>ROUND(D123*Premissas!$D$25,0)</f>
        <v/>
      </c>
      <c r="N123">
        <f>ROUND(E123*Premissas!$D$29+B123*Premissas!$D$30,0)</f>
        <v/>
      </c>
      <c r="O123">
        <f>K123+L123+M123+N123</f>
        <v/>
      </c>
      <c r="P123">
        <f>K123+ROUND(AC123*Premissas!$D$24,0)+M123+N123</f>
        <v/>
      </c>
      <c r="Q123">
        <f>ROUND(IF(A123-1-Premissas!$D$21&gt;=0,OFFSET($P$4,A123-1-Premissas!$D$21,0),0)*(1-Premissas!$D$20/100),0)</f>
        <v/>
      </c>
      <c r="R123">
        <f>ROUND(F123*Premissas!$D$11+N123*Premissas!$D$31/100,0)+ROUND((E123+B123)*Premissas!$D$10,0)+ROUND(Q123*Premissas!$D$8/100,0)+ROUND(Premissas!$D$35+(B123+C123)*Premissas!$D$36,0)</f>
        <v/>
      </c>
      <c r="S123">
        <f>O123-R123</f>
        <v/>
      </c>
      <c r="T123">
        <f>ROUND(O123*Premissas!$D$9/100,0)</f>
        <v/>
      </c>
      <c r="U123">
        <f>ROUND(AB123*Premissas!$D$33,0)</f>
        <v/>
      </c>
      <c r="V123">
        <f>Premissas!$D$37+ROUND(Premissas!$D$12*Premissas!$D$38+D123*Premissas!$D$27,0)</f>
        <v/>
      </c>
      <c r="W123">
        <f>Premissas!$D$39</f>
        <v/>
      </c>
      <c r="X123">
        <f>S123-T123-ROUND(Premissas!$D$12*Premissas!$D$38+D123*Premissas!$D$27,0)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Premissas!$D$32+(B123+C123)/Premissas!$D$34</f>
        <v/>
      </c>
      <c r="AC123">
        <f>D123+AC111*(1-Premissas!$D$26/12)^12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agressivo · desenho Atual (0 = sem contratos institucionais; 1 = com) · valores em CENTAVOS · fórmulas abertas</t>
        </is>
      </c>
    </row>
    <row r="2">
      <c r="A2" t="inlineStr">
        <is>
          <t>hybrid</t>
        </is>
      </c>
      <c r="B2" t="n">
        <v>0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0*(1-Premissas!$E$18/12)+Premissas!$E$12</f>
        <v/>
      </c>
      <c r="C4">
        <f>IF($B$2=1,0*(1-Premissas!$E$26/12)+D4,0)</f>
        <v/>
      </c>
      <c r="D4">
        <f>IF(AND($B$2=1,A4&gt;=Premissas!$E$23),Premissas!$E$22,0)</f>
        <v/>
      </c>
      <c r="E4">
        <f>B4*Premissas!$E$28</f>
        <v/>
      </c>
      <c r="F4">
        <f>B4*Premissas!$E$13/12*MIN(1,A4/Premissas!$E$17)</f>
        <v/>
      </c>
      <c r="G4">
        <f>F4*Premissas!$E$14</f>
        <v/>
      </c>
      <c r="H4">
        <f>IF(IF(A4-1-Premissas!$E$16&gt;=0,OFFSET($J$4,A4-1-Premissas!$E$16,0),0)&gt;0,ROUND(IF(A4-1-Premissas!$E$16&gt;=0,OFFSET($J$4,A4-1-Premissas!$E$16,0),0)*10000/Premissas!$E$5*Premissas!$E$15,0),0)</f>
        <v/>
      </c>
      <c r="I4">
        <f>ROUND(G4*Premissas!$E$6/10000,0)</f>
        <v/>
      </c>
      <c r="J4">
        <f>ROUND(G4*Premissas!$E$5/10000,0)</f>
        <v/>
      </c>
      <c r="K4">
        <f>IF(IF(A4-1-Premissas!$E$16&gt;=0,OFFSET($A$4,A4-1-Premissas!$E$16,0)&gt;=Premissas!$E$19,FALSE),ROUND(IF(A4-1-Premissas!$E$16&gt;=0,OFFSET($J$4,A4-1-Premissas!$E$16,0),0)*Premissas!$E$15,0),0)</f>
        <v/>
      </c>
      <c r="L4">
        <f>ROUND(C4*Premissas!$E$24/12,0)</f>
        <v/>
      </c>
      <c r="M4">
        <f>ROUND(D4*Premissas!$E$25,0)</f>
        <v/>
      </c>
      <c r="N4">
        <f>ROUND(E4*Premissas!$E$29+B4*Premissas!$E$30,0)</f>
        <v/>
      </c>
      <c r="O4">
        <f>K4+L4+M4+N4</f>
        <v/>
      </c>
      <c r="P4">
        <f>K4+ROUND(AC4*Premissas!$E$24,0)+M4+N4</f>
        <v/>
      </c>
      <c r="Q4">
        <f>ROUND(IF(A4-1-Premissas!$E$21&gt;=0,OFFSET($P$4,A4-1-Premissas!$E$21,0),0)*(1-Premissas!$E$20/100),0)</f>
        <v/>
      </c>
      <c r="R4">
        <f>ROUND(F4*Premissas!$E$11+N4*Premissas!$E$31/100,0)+ROUND((E4+B4)*Premissas!$E$10,0)+ROUND(Q4*Premissas!$E$8/100,0)+ROUND(Premissas!$E$35+(B4+C4)*Premissas!$E$36,0)</f>
        <v/>
      </c>
      <c r="S4">
        <f>O4-R4</f>
        <v/>
      </c>
      <c r="T4">
        <f>ROUND(O4*Premissas!$E$9/100,0)</f>
        <v/>
      </c>
      <c r="U4">
        <f>ROUND(AB4*Premissas!$E$33,0)</f>
        <v/>
      </c>
      <c r="V4">
        <f>Premissas!$E$37+ROUND(Premissas!$E$12*Premissas!$E$38+D4*Premissas!$E$27,0)</f>
        <v/>
      </c>
      <c r="W4">
        <f>Premissas!$E$39</f>
        <v/>
      </c>
      <c r="X4">
        <f>S4-T4-ROUND(Premissas!$E$12*Premissas!$E$38+D4*Premissas!$E$27,0)</f>
        <v/>
      </c>
      <c r="Y4">
        <f>O4-R4-T4-U4-V4-W4</f>
        <v/>
      </c>
      <c r="Z4">
        <f>Q4-R4-T4-U4-V4-W4</f>
        <v/>
      </c>
      <c r="AA4">
        <f>Premissas!$E$40+Z4</f>
        <v/>
      </c>
      <c r="AB4">
        <f>Premissas!$E$32+(B4+C4)/Premissas!$E$34</f>
        <v/>
      </c>
      <c r="AC4">
        <f>D4</f>
        <v/>
      </c>
    </row>
    <row r="5">
      <c r="A5" t="n">
        <v>2</v>
      </c>
      <c r="B5">
        <f>B4*(1-Premissas!$E$18/12)+Premissas!$E$12</f>
        <v/>
      </c>
      <c r="C5">
        <f>IF($B$2=1,C4*(1-Premissas!$E$26/12)+D5,0)</f>
        <v/>
      </c>
      <c r="D5">
        <f>IF(AND($B$2=1,A5&gt;=Premissas!$E$23),Premissas!$E$22,0)</f>
        <v/>
      </c>
      <c r="E5">
        <f>B5*Premissas!$E$28</f>
        <v/>
      </c>
      <c r="F5">
        <f>B5*Premissas!$E$13/12*MIN(1,A5/Premissas!$E$17)</f>
        <v/>
      </c>
      <c r="G5">
        <f>F5*Premissas!$E$14</f>
        <v/>
      </c>
      <c r="H5">
        <f>IF(IF(A5-1-Premissas!$E$16&gt;=0,OFFSET($J$4,A5-1-Premissas!$E$16,0),0)&gt;0,ROUND(IF(A5-1-Premissas!$E$16&gt;=0,OFFSET($J$4,A5-1-Premissas!$E$16,0),0)*10000/Premissas!$E$5*Premissas!$E$15,0),0)</f>
        <v/>
      </c>
      <c r="I5">
        <f>ROUND(G5*Premissas!$E$6/10000,0)</f>
        <v/>
      </c>
      <c r="J5">
        <f>ROUND(G5*Premissas!$E$5/10000,0)</f>
        <v/>
      </c>
      <c r="K5">
        <f>IF(IF(A5-1-Premissas!$E$16&gt;=0,OFFSET($A$4,A5-1-Premissas!$E$16,0)&gt;=Premissas!$E$19,FALSE),ROUND(IF(A5-1-Premissas!$E$16&gt;=0,OFFSET($J$4,A5-1-Premissas!$E$16,0),0)*Premissas!$E$15,0),0)</f>
        <v/>
      </c>
      <c r="L5">
        <f>ROUND(C5*Premissas!$E$24/12,0)</f>
        <v/>
      </c>
      <c r="M5">
        <f>ROUND(D5*Premissas!$E$25,0)</f>
        <v/>
      </c>
      <c r="N5">
        <f>ROUND(E5*Premissas!$E$29+B5*Premissas!$E$30,0)</f>
        <v/>
      </c>
      <c r="O5">
        <f>K5+L5+M5+N5</f>
        <v/>
      </c>
      <c r="P5">
        <f>K5+ROUND(AC5*Premissas!$E$24,0)+M5+N5</f>
        <v/>
      </c>
      <c r="Q5">
        <f>ROUND(IF(A5-1-Premissas!$E$21&gt;=0,OFFSET($P$4,A5-1-Premissas!$E$21,0),0)*(1-Premissas!$E$20/100),0)</f>
        <v/>
      </c>
      <c r="R5">
        <f>ROUND(F5*Premissas!$E$11+N5*Premissas!$E$31/100,0)+ROUND((E5+B5)*Premissas!$E$10,0)+ROUND(Q5*Premissas!$E$8/100,0)+ROUND(Premissas!$E$35+(B5+C5)*Premissas!$E$36,0)</f>
        <v/>
      </c>
      <c r="S5">
        <f>O5-R5</f>
        <v/>
      </c>
      <c r="T5">
        <f>ROUND(O5*Premissas!$E$9/100,0)</f>
        <v/>
      </c>
      <c r="U5">
        <f>ROUND(AB5*Premissas!$E$33,0)</f>
        <v/>
      </c>
      <c r="V5">
        <f>Premissas!$E$37+ROUND(Premissas!$E$12*Premissas!$E$38+D5*Premissas!$E$27,0)</f>
        <v/>
      </c>
      <c r="W5">
        <f>Premissas!$E$39</f>
        <v/>
      </c>
      <c r="X5">
        <f>S5-T5-ROUND(Premissas!$E$12*Premissas!$E$38+D5*Premissas!$E$27,0)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Premissas!$E$32+(B5+C5)/Premissas!$E$34</f>
        <v/>
      </c>
      <c r="AC5">
        <f>D5</f>
        <v/>
      </c>
    </row>
    <row r="6">
      <c r="A6" t="n">
        <v>3</v>
      </c>
      <c r="B6">
        <f>B5*(1-Premissas!$E$18/12)+Premissas!$E$12</f>
        <v/>
      </c>
      <c r="C6">
        <f>IF($B$2=1,C5*(1-Premissas!$E$26/12)+D6,0)</f>
        <v/>
      </c>
      <c r="D6">
        <f>IF(AND($B$2=1,A6&gt;=Premissas!$E$23),Premissas!$E$22,0)</f>
        <v/>
      </c>
      <c r="E6">
        <f>B6*Premissas!$E$28</f>
        <v/>
      </c>
      <c r="F6">
        <f>B6*Premissas!$E$13/12*MIN(1,A6/Premissas!$E$17)</f>
        <v/>
      </c>
      <c r="G6">
        <f>F6*Premissas!$E$14</f>
        <v/>
      </c>
      <c r="H6">
        <f>IF(IF(A6-1-Premissas!$E$16&gt;=0,OFFSET($J$4,A6-1-Premissas!$E$16,0),0)&gt;0,ROUND(IF(A6-1-Premissas!$E$16&gt;=0,OFFSET($J$4,A6-1-Premissas!$E$16,0),0)*10000/Premissas!$E$5*Premissas!$E$15,0),0)</f>
        <v/>
      </c>
      <c r="I6">
        <f>ROUND(G6*Premissas!$E$6/10000,0)</f>
        <v/>
      </c>
      <c r="J6">
        <f>ROUND(G6*Premissas!$E$5/10000,0)</f>
        <v/>
      </c>
      <c r="K6">
        <f>IF(IF(A6-1-Premissas!$E$16&gt;=0,OFFSET($A$4,A6-1-Premissas!$E$16,0)&gt;=Premissas!$E$19,FALSE),ROUND(IF(A6-1-Premissas!$E$16&gt;=0,OFFSET($J$4,A6-1-Premissas!$E$16,0),0)*Premissas!$E$15,0),0)</f>
        <v/>
      </c>
      <c r="L6">
        <f>ROUND(C6*Premissas!$E$24/12,0)</f>
        <v/>
      </c>
      <c r="M6">
        <f>ROUND(D6*Premissas!$E$25,0)</f>
        <v/>
      </c>
      <c r="N6">
        <f>ROUND(E6*Premissas!$E$29+B6*Premissas!$E$30,0)</f>
        <v/>
      </c>
      <c r="O6">
        <f>K6+L6+M6+N6</f>
        <v/>
      </c>
      <c r="P6">
        <f>K6+ROUND(AC6*Premissas!$E$24,0)+M6+N6</f>
        <v/>
      </c>
      <c r="Q6">
        <f>ROUND(IF(A6-1-Premissas!$E$21&gt;=0,OFFSET($P$4,A6-1-Premissas!$E$21,0),0)*(1-Premissas!$E$20/100),0)</f>
        <v/>
      </c>
      <c r="R6">
        <f>ROUND(F6*Premissas!$E$11+N6*Premissas!$E$31/100,0)+ROUND((E6+B6)*Premissas!$E$10,0)+ROUND(Q6*Premissas!$E$8/100,0)+ROUND(Premissas!$E$35+(B6+C6)*Premissas!$E$36,0)</f>
        <v/>
      </c>
      <c r="S6">
        <f>O6-R6</f>
        <v/>
      </c>
      <c r="T6">
        <f>ROUND(O6*Premissas!$E$9/100,0)</f>
        <v/>
      </c>
      <c r="U6">
        <f>ROUND(AB6*Premissas!$E$33,0)</f>
        <v/>
      </c>
      <c r="V6">
        <f>Premissas!$E$37+ROUND(Premissas!$E$12*Premissas!$E$38+D6*Premissas!$E$27,0)</f>
        <v/>
      </c>
      <c r="W6">
        <f>Premissas!$E$39</f>
        <v/>
      </c>
      <c r="X6">
        <f>S6-T6-ROUND(Premissas!$E$12*Premissas!$E$38+D6*Premissas!$E$27,0)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Premissas!$E$32+(B6+C6)/Premissas!$E$34</f>
        <v/>
      </c>
      <c r="AC6">
        <f>D6</f>
        <v/>
      </c>
    </row>
    <row r="7">
      <c r="A7" t="n">
        <v>4</v>
      </c>
      <c r="B7">
        <f>B6*(1-Premissas!$E$18/12)+Premissas!$E$12</f>
        <v/>
      </c>
      <c r="C7">
        <f>IF($B$2=1,C6*(1-Premissas!$E$26/12)+D7,0)</f>
        <v/>
      </c>
      <c r="D7">
        <f>IF(AND($B$2=1,A7&gt;=Premissas!$E$23),Premissas!$E$22,0)</f>
        <v/>
      </c>
      <c r="E7">
        <f>B7*Premissas!$E$28</f>
        <v/>
      </c>
      <c r="F7">
        <f>B7*Premissas!$E$13/12*MIN(1,A7/Premissas!$E$17)</f>
        <v/>
      </c>
      <c r="G7">
        <f>F7*Premissas!$E$14</f>
        <v/>
      </c>
      <c r="H7">
        <f>IF(IF(A7-1-Premissas!$E$16&gt;=0,OFFSET($J$4,A7-1-Premissas!$E$16,0),0)&gt;0,ROUND(IF(A7-1-Premissas!$E$16&gt;=0,OFFSET($J$4,A7-1-Premissas!$E$16,0),0)*10000/Premissas!$E$5*Premissas!$E$15,0),0)</f>
        <v/>
      </c>
      <c r="I7">
        <f>ROUND(G7*Premissas!$E$6/10000,0)</f>
        <v/>
      </c>
      <c r="J7">
        <f>ROUND(G7*Premissas!$E$5/10000,0)</f>
        <v/>
      </c>
      <c r="K7">
        <f>IF(IF(A7-1-Premissas!$E$16&gt;=0,OFFSET($A$4,A7-1-Premissas!$E$16,0)&gt;=Premissas!$E$19,FALSE),ROUND(IF(A7-1-Premissas!$E$16&gt;=0,OFFSET($J$4,A7-1-Premissas!$E$16,0),0)*Premissas!$E$15,0),0)</f>
        <v/>
      </c>
      <c r="L7">
        <f>ROUND(C7*Premissas!$E$24/12,0)</f>
        <v/>
      </c>
      <c r="M7">
        <f>ROUND(D7*Premissas!$E$25,0)</f>
        <v/>
      </c>
      <c r="N7">
        <f>ROUND(E7*Premissas!$E$29+B7*Premissas!$E$30,0)</f>
        <v/>
      </c>
      <c r="O7">
        <f>K7+L7+M7+N7</f>
        <v/>
      </c>
      <c r="P7">
        <f>K7+ROUND(AC7*Premissas!$E$24,0)+M7+N7</f>
        <v/>
      </c>
      <c r="Q7">
        <f>ROUND(IF(A7-1-Premissas!$E$21&gt;=0,OFFSET($P$4,A7-1-Premissas!$E$21,0),0)*(1-Premissas!$E$20/100),0)</f>
        <v/>
      </c>
      <c r="R7">
        <f>ROUND(F7*Premissas!$E$11+N7*Premissas!$E$31/100,0)+ROUND((E7+B7)*Premissas!$E$10,0)+ROUND(Q7*Premissas!$E$8/100,0)+ROUND(Premissas!$E$35+(B7+C7)*Premissas!$E$36,0)</f>
        <v/>
      </c>
      <c r="S7">
        <f>O7-R7</f>
        <v/>
      </c>
      <c r="T7">
        <f>ROUND(O7*Premissas!$E$9/100,0)</f>
        <v/>
      </c>
      <c r="U7">
        <f>ROUND(AB7*Premissas!$E$33,0)</f>
        <v/>
      </c>
      <c r="V7">
        <f>Premissas!$E$37+ROUND(Premissas!$E$12*Premissas!$E$38+D7*Premissas!$E$27,0)</f>
        <v/>
      </c>
      <c r="W7">
        <f>Premissas!$E$39</f>
        <v/>
      </c>
      <c r="X7">
        <f>S7-T7-ROUND(Premissas!$E$12*Premissas!$E$38+D7*Premissas!$E$27,0)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Premissas!$E$32+(B7+C7)/Premissas!$E$34</f>
        <v/>
      </c>
      <c r="AC7">
        <f>D7</f>
        <v/>
      </c>
    </row>
    <row r="8">
      <c r="A8" t="n">
        <v>5</v>
      </c>
      <c r="B8">
        <f>B7*(1-Premissas!$E$18/12)+Premissas!$E$12</f>
        <v/>
      </c>
      <c r="C8">
        <f>IF($B$2=1,C7*(1-Premissas!$E$26/12)+D8,0)</f>
        <v/>
      </c>
      <c r="D8">
        <f>IF(AND($B$2=1,A8&gt;=Premissas!$E$23),Premissas!$E$22,0)</f>
        <v/>
      </c>
      <c r="E8">
        <f>B8*Premissas!$E$28</f>
        <v/>
      </c>
      <c r="F8">
        <f>B8*Premissas!$E$13/12*MIN(1,A8/Premissas!$E$17)</f>
        <v/>
      </c>
      <c r="G8">
        <f>F8*Premissas!$E$14</f>
        <v/>
      </c>
      <c r="H8">
        <f>IF(IF(A8-1-Premissas!$E$16&gt;=0,OFFSET($J$4,A8-1-Premissas!$E$16,0),0)&gt;0,ROUND(IF(A8-1-Premissas!$E$16&gt;=0,OFFSET($J$4,A8-1-Premissas!$E$16,0),0)*10000/Premissas!$E$5*Premissas!$E$15,0),0)</f>
        <v/>
      </c>
      <c r="I8">
        <f>ROUND(G8*Premissas!$E$6/10000,0)</f>
        <v/>
      </c>
      <c r="J8">
        <f>ROUND(G8*Premissas!$E$5/10000,0)</f>
        <v/>
      </c>
      <c r="K8">
        <f>IF(IF(A8-1-Premissas!$E$16&gt;=0,OFFSET($A$4,A8-1-Premissas!$E$16,0)&gt;=Premissas!$E$19,FALSE),ROUND(IF(A8-1-Premissas!$E$16&gt;=0,OFFSET($J$4,A8-1-Premissas!$E$16,0),0)*Premissas!$E$15,0),0)</f>
        <v/>
      </c>
      <c r="L8">
        <f>ROUND(C8*Premissas!$E$24/12,0)</f>
        <v/>
      </c>
      <c r="M8">
        <f>ROUND(D8*Premissas!$E$25,0)</f>
        <v/>
      </c>
      <c r="N8">
        <f>ROUND(E8*Premissas!$E$29+B8*Premissas!$E$30,0)</f>
        <v/>
      </c>
      <c r="O8">
        <f>K8+L8+M8+N8</f>
        <v/>
      </c>
      <c r="P8">
        <f>K8+ROUND(AC8*Premissas!$E$24,0)+M8+N8</f>
        <v/>
      </c>
      <c r="Q8">
        <f>ROUND(IF(A8-1-Premissas!$E$21&gt;=0,OFFSET($P$4,A8-1-Premissas!$E$21,0),0)*(1-Premissas!$E$20/100),0)</f>
        <v/>
      </c>
      <c r="R8">
        <f>ROUND(F8*Premissas!$E$11+N8*Premissas!$E$31/100,0)+ROUND((E8+B8)*Premissas!$E$10,0)+ROUND(Q8*Premissas!$E$8/100,0)+ROUND(Premissas!$E$35+(B8+C8)*Premissas!$E$36,0)</f>
        <v/>
      </c>
      <c r="S8">
        <f>O8-R8</f>
        <v/>
      </c>
      <c r="T8">
        <f>ROUND(O8*Premissas!$E$9/100,0)</f>
        <v/>
      </c>
      <c r="U8">
        <f>ROUND(AB8*Premissas!$E$33,0)</f>
        <v/>
      </c>
      <c r="V8">
        <f>Premissas!$E$37+ROUND(Premissas!$E$12*Premissas!$E$38+D8*Premissas!$E$27,0)</f>
        <v/>
      </c>
      <c r="W8">
        <f>Premissas!$E$39</f>
        <v/>
      </c>
      <c r="X8">
        <f>S8-T8-ROUND(Premissas!$E$12*Premissas!$E$38+D8*Premissas!$E$27,0)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Premissas!$E$32+(B8+C8)/Premissas!$E$34</f>
        <v/>
      </c>
      <c r="AC8">
        <f>D8</f>
        <v/>
      </c>
    </row>
    <row r="9">
      <c r="A9" t="n">
        <v>6</v>
      </c>
      <c r="B9">
        <f>B8*(1-Premissas!$E$18/12)+Premissas!$E$12</f>
        <v/>
      </c>
      <c r="C9">
        <f>IF($B$2=1,C8*(1-Premissas!$E$26/12)+D9,0)</f>
        <v/>
      </c>
      <c r="D9">
        <f>IF(AND($B$2=1,A9&gt;=Premissas!$E$23),Premissas!$E$22,0)</f>
        <v/>
      </c>
      <c r="E9">
        <f>B9*Premissas!$E$28</f>
        <v/>
      </c>
      <c r="F9">
        <f>B9*Premissas!$E$13/12*MIN(1,A9/Premissas!$E$17)</f>
        <v/>
      </c>
      <c r="G9">
        <f>F9*Premissas!$E$14</f>
        <v/>
      </c>
      <c r="H9">
        <f>IF(IF(A9-1-Premissas!$E$16&gt;=0,OFFSET($J$4,A9-1-Premissas!$E$16,0),0)&gt;0,ROUND(IF(A9-1-Premissas!$E$16&gt;=0,OFFSET($J$4,A9-1-Premissas!$E$16,0),0)*10000/Premissas!$E$5*Premissas!$E$15,0),0)</f>
        <v/>
      </c>
      <c r="I9">
        <f>ROUND(G9*Premissas!$E$6/10000,0)</f>
        <v/>
      </c>
      <c r="J9">
        <f>ROUND(G9*Premissas!$E$5/10000,0)</f>
        <v/>
      </c>
      <c r="K9">
        <f>IF(IF(A9-1-Premissas!$E$16&gt;=0,OFFSET($A$4,A9-1-Premissas!$E$16,0)&gt;=Premissas!$E$19,FALSE),ROUND(IF(A9-1-Premissas!$E$16&gt;=0,OFFSET($J$4,A9-1-Premissas!$E$16,0),0)*Premissas!$E$15,0),0)</f>
        <v/>
      </c>
      <c r="L9">
        <f>ROUND(C9*Premissas!$E$24/12,0)</f>
        <v/>
      </c>
      <c r="M9">
        <f>ROUND(D9*Premissas!$E$25,0)</f>
        <v/>
      </c>
      <c r="N9">
        <f>ROUND(E9*Premissas!$E$29+B9*Premissas!$E$30,0)</f>
        <v/>
      </c>
      <c r="O9">
        <f>K9+L9+M9+N9</f>
        <v/>
      </c>
      <c r="P9">
        <f>K9+ROUND(AC9*Premissas!$E$24,0)+M9+N9</f>
        <v/>
      </c>
      <c r="Q9">
        <f>ROUND(IF(A9-1-Premissas!$E$21&gt;=0,OFFSET($P$4,A9-1-Premissas!$E$21,0),0)*(1-Premissas!$E$20/100),0)</f>
        <v/>
      </c>
      <c r="R9">
        <f>ROUND(F9*Premissas!$E$11+N9*Premissas!$E$31/100,0)+ROUND((E9+B9)*Premissas!$E$10,0)+ROUND(Q9*Premissas!$E$8/100,0)+ROUND(Premissas!$E$35+(B9+C9)*Premissas!$E$36,0)</f>
        <v/>
      </c>
      <c r="S9">
        <f>O9-R9</f>
        <v/>
      </c>
      <c r="T9">
        <f>ROUND(O9*Premissas!$E$9/100,0)</f>
        <v/>
      </c>
      <c r="U9">
        <f>ROUND(AB9*Premissas!$E$33,0)</f>
        <v/>
      </c>
      <c r="V9">
        <f>Premissas!$E$37+ROUND(Premissas!$E$12*Premissas!$E$38+D9*Premissas!$E$27,0)</f>
        <v/>
      </c>
      <c r="W9">
        <f>Premissas!$E$39</f>
        <v/>
      </c>
      <c r="X9">
        <f>S9-T9-ROUND(Premissas!$E$12*Premissas!$E$38+D9*Premissas!$E$27,0)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Premissas!$E$32+(B9+C9)/Premissas!$E$34</f>
        <v/>
      </c>
      <c r="AC9">
        <f>D9</f>
        <v/>
      </c>
    </row>
    <row r="10">
      <c r="A10" t="n">
        <v>7</v>
      </c>
      <c r="B10">
        <f>B9*(1-Premissas!$E$18/12)+Premissas!$E$12</f>
        <v/>
      </c>
      <c r="C10">
        <f>IF($B$2=1,C9*(1-Premissas!$E$26/12)+D10,0)</f>
        <v/>
      </c>
      <c r="D10">
        <f>IF(AND($B$2=1,A10&gt;=Premissas!$E$23),Premissas!$E$22,0)</f>
        <v/>
      </c>
      <c r="E10">
        <f>B10*Premissas!$E$28</f>
        <v/>
      </c>
      <c r="F10">
        <f>B10*Premissas!$E$13/12*MIN(1,A10/Premissas!$E$17)</f>
        <v/>
      </c>
      <c r="G10">
        <f>F10*Premissas!$E$14</f>
        <v/>
      </c>
      <c r="H10">
        <f>IF(IF(A10-1-Premissas!$E$16&gt;=0,OFFSET($J$4,A10-1-Premissas!$E$16,0),0)&gt;0,ROUND(IF(A10-1-Premissas!$E$16&gt;=0,OFFSET($J$4,A10-1-Premissas!$E$16,0),0)*10000/Premissas!$E$5*Premissas!$E$15,0),0)</f>
        <v/>
      </c>
      <c r="I10">
        <f>ROUND(G10*Premissas!$E$6/10000,0)</f>
        <v/>
      </c>
      <c r="J10">
        <f>ROUND(G10*Premissas!$E$5/10000,0)</f>
        <v/>
      </c>
      <c r="K10">
        <f>IF(IF(A10-1-Premissas!$E$16&gt;=0,OFFSET($A$4,A10-1-Premissas!$E$16,0)&gt;=Premissas!$E$19,FALSE),ROUND(IF(A10-1-Premissas!$E$16&gt;=0,OFFSET($J$4,A10-1-Premissas!$E$16,0),0)*Premissas!$E$15,0),0)</f>
        <v/>
      </c>
      <c r="L10">
        <f>ROUND(C10*Premissas!$E$24/12,0)</f>
        <v/>
      </c>
      <c r="M10">
        <f>ROUND(D10*Premissas!$E$25,0)</f>
        <v/>
      </c>
      <c r="N10">
        <f>ROUND(E10*Premissas!$E$29+B10*Premissas!$E$30,0)</f>
        <v/>
      </c>
      <c r="O10">
        <f>K10+L10+M10+N10</f>
        <v/>
      </c>
      <c r="P10">
        <f>K10+ROUND(AC10*Premissas!$E$24,0)+M10+N10</f>
        <v/>
      </c>
      <c r="Q10">
        <f>ROUND(IF(A10-1-Premissas!$E$21&gt;=0,OFFSET($P$4,A10-1-Premissas!$E$21,0),0)*(1-Premissas!$E$20/100),0)</f>
        <v/>
      </c>
      <c r="R10">
        <f>ROUND(F10*Premissas!$E$11+N10*Premissas!$E$31/100,0)+ROUND((E10+B10)*Premissas!$E$10,0)+ROUND(Q10*Premissas!$E$8/100,0)+ROUND(Premissas!$E$35+(B10+C10)*Premissas!$E$36,0)</f>
        <v/>
      </c>
      <c r="S10">
        <f>O10-R10</f>
        <v/>
      </c>
      <c r="T10">
        <f>ROUND(O10*Premissas!$E$9/100,0)</f>
        <v/>
      </c>
      <c r="U10">
        <f>ROUND(AB10*Premissas!$E$33,0)</f>
        <v/>
      </c>
      <c r="V10">
        <f>Premissas!$E$37+ROUND(Premissas!$E$12*Premissas!$E$38+D10*Premissas!$E$27,0)</f>
        <v/>
      </c>
      <c r="W10">
        <f>Premissas!$E$39</f>
        <v/>
      </c>
      <c r="X10">
        <f>S10-T10-ROUND(Premissas!$E$12*Premissas!$E$38+D10*Premissas!$E$27,0)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Premissas!$E$32+(B10+C10)/Premissas!$E$34</f>
        <v/>
      </c>
      <c r="AC10">
        <f>D10</f>
        <v/>
      </c>
    </row>
    <row r="11">
      <c r="A11" t="n">
        <v>8</v>
      </c>
      <c r="B11">
        <f>B10*(1-Premissas!$E$18/12)+Premissas!$E$12</f>
        <v/>
      </c>
      <c r="C11">
        <f>IF($B$2=1,C10*(1-Premissas!$E$26/12)+D11,0)</f>
        <v/>
      </c>
      <c r="D11">
        <f>IF(AND($B$2=1,A11&gt;=Premissas!$E$23),Premissas!$E$22,0)</f>
        <v/>
      </c>
      <c r="E11">
        <f>B11*Premissas!$E$28</f>
        <v/>
      </c>
      <c r="F11">
        <f>B11*Premissas!$E$13/12*MIN(1,A11/Premissas!$E$17)</f>
        <v/>
      </c>
      <c r="G11">
        <f>F11*Premissas!$E$14</f>
        <v/>
      </c>
      <c r="H11">
        <f>IF(IF(A11-1-Premissas!$E$16&gt;=0,OFFSET($J$4,A11-1-Premissas!$E$16,0),0)&gt;0,ROUND(IF(A11-1-Premissas!$E$16&gt;=0,OFFSET($J$4,A11-1-Premissas!$E$16,0),0)*10000/Premissas!$E$5*Premissas!$E$15,0),0)</f>
        <v/>
      </c>
      <c r="I11">
        <f>ROUND(G11*Premissas!$E$6/10000,0)</f>
        <v/>
      </c>
      <c r="J11">
        <f>ROUND(G11*Premissas!$E$5/10000,0)</f>
        <v/>
      </c>
      <c r="K11">
        <f>IF(IF(A11-1-Premissas!$E$16&gt;=0,OFFSET($A$4,A11-1-Premissas!$E$16,0)&gt;=Premissas!$E$19,FALSE),ROUND(IF(A11-1-Premissas!$E$16&gt;=0,OFFSET($J$4,A11-1-Premissas!$E$16,0),0)*Premissas!$E$15,0),0)</f>
        <v/>
      </c>
      <c r="L11">
        <f>ROUND(C11*Premissas!$E$24/12,0)</f>
        <v/>
      </c>
      <c r="M11">
        <f>ROUND(D11*Premissas!$E$25,0)</f>
        <v/>
      </c>
      <c r="N11">
        <f>ROUND(E11*Premissas!$E$29+B11*Premissas!$E$30,0)</f>
        <v/>
      </c>
      <c r="O11">
        <f>K11+L11+M11+N11</f>
        <v/>
      </c>
      <c r="P11">
        <f>K11+ROUND(AC11*Premissas!$E$24,0)+M11+N11</f>
        <v/>
      </c>
      <c r="Q11">
        <f>ROUND(IF(A11-1-Premissas!$E$21&gt;=0,OFFSET($P$4,A11-1-Premissas!$E$21,0),0)*(1-Premissas!$E$20/100),0)</f>
        <v/>
      </c>
      <c r="R11">
        <f>ROUND(F11*Premissas!$E$11+N11*Premissas!$E$31/100,0)+ROUND((E11+B11)*Premissas!$E$10,0)+ROUND(Q11*Premissas!$E$8/100,0)+ROUND(Premissas!$E$35+(B11+C11)*Premissas!$E$36,0)</f>
        <v/>
      </c>
      <c r="S11">
        <f>O11-R11</f>
        <v/>
      </c>
      <c r="T11">
        <f>ROUND(O11*Premissas!$E$9/100,0)</f>
        <v/>
      </c>
      <c r="U11">
        <f>ROUND(AB11*Premissas!$E$33,0)</f>
        <v/>
      </c>
      <c r="V11">
        <f>Premissas!$E$37+ROUND(Premissas!$E$12*Premissas!$E$38+D11*Premissas!$E$27,0)</f>
        <v/>
      </c>
      <c r="W11">
        <f>Premissas!$E$39</f>
        <v/>
      </c>
      <c r="X11">
        <f>S11-T11-ROUND(Premissas!$E$12*Premissas!$E$38+D11*Premissas!$E$27,0)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Premissas!$E$32+(B11+C11)/Premissas!$E$34</f>
        <v/>
      </c>
      <c r="AC11">
        <f>D11</f>
        <v/>
      </c>
    </row>
    <row r="12">
      <c r="A12" t="n">
        <v>9</v>
      </c>
      <c r="B12">
        <f>B11*(1-Premissas!$E$18/12)+Premissas!$E$12</f>
        <v/>
      </c>
      <c r="C12">
        <f>IF($B$2=1,C11*(1-Premissas!$E$26/12)+D12,0)</f>
        <v/>
      </c>
      <c r="D12">
        <f>IF(AND($B$2=1,A12&gt;=Premissas!$E$23),Premissas!$E$22,0)</f>
        <v/>
      </c>
      <c r="E12">
        <f>B12*Premissas!$E$28</f>
        <v/>
      </c>
      <c r="F12">
        <f>B12*Premissas!$E$13/12*MIN(1,A12/Premissas!$E$17)</f>
        <v/>
      </c>
      <c r="G12">
        <f>F12*Premissas!$E$14</f>
        <v/>
      </c>
      <c r="H12">
        <f>IF(IF(A12-1-Premissas!$E$16&gt;=0,OFFSET($J$4,A12-1-Premissas!$E$16,0),0)&gt;0,ROUND(IF(A12-1-Premissas!$E$16&gt;=0,OFFSET($J$4,A12-1-Premissas!$E$16,0),0)*10000/Premissas!$E$5*Premissas!$E$15,0),0)</f>
        <v/>
      </c>
      <c r="I12">
        <f>ROUND(G12*Premissas!$E$6/10000,0)</f>
        <v/>
      </c>
      <c r="J12">
        <f>ROUND(G12*Premissas!$E$5/10000,0)</f>
        <v/>
      </c>
      <c r="K12">
        <f>IF(IF(A12-1-Premissas!$E$16&gt;=0,OFFSET($A$4,A12-1-Premissas!$E$16,0)&gt;=Premissas!$E$19,FALSE),ROUND(IF(A12-1-Premissas!$E$16&gt;=0,OFFSET($J$4,A12-1-Premissas!$E$16,0),0)*Premissas!$E$15,0),0)</f>
        <v/>
      </c>
      <c r="L12">
        <f>ROUND(C12*Premissas!$E$24/12,0)</f>
        <v/>
      </c>
      <c r="M12">
        <f>ROUND(D12*Premissas!$E$25,0)</f>
        <v/>
      </c>
      <c r="N12">
        <f>ROUND(E12*Premissas!$E$29+B12*Premissas!$E$30,0)</f>
        <v/>
      </c>
      <c r="O12">
        <f>K12+L12+M12+N12</f>
        <v/>
      </c>
      <c r="P12">
        <f>K12+ROUND(AC12*Premissas!$E$24,0)+M12+N12</f>
        <v/>
      </c>
      <c r="Q12">
        <f>ROUND(IF(A12-1-Premissas!$E$21&gt;=0,OFFSET($P$4,A12-1-Premissas!$E$21,0),0)*(1-Premissas!$E$20/100),0)</f>
        <v/>
      </c>
      <c r="R12">
        <f>ROUND(F12*Premissas!$E$11+N12*Premissas!$E$31/100,0)+ROUND((E12+B12)*Premissas!$E$10,0)+ROUND(Q12*Premissas!$E$8/100,0)+ROUND(Premissas!$E$35+(B12+C12)*Premissas!$E$36,0)</f>
        <v/>
      </c>
      <c r="S12">
        <f>O12-R12</f>
        <v/>
      </c>
      <c r="T12">
        <f>ROUND(O12*Premissas!$E$9/100,0)</f>
        <v/>
      </c>
      <c r="U12">
        <f>ROUND(AB12*Premissas!$E$33,0)</f>
        <v/>
      </c>
      <c r="V12">
        <f>Premissas!$E$37+ROUND(Premissas!$E$12*Premissas!$E$38+D12*Premissas!$E$27,0)</f>
        <v/>
      </c>
      <c r="W12">
        <f>Premissas!$E$39</f>
        <v/>
      </c>
      <c r="X12">
        <f>S12-T12-ROUND(Premissas!$E$12*Premissas!$E$38+D12*Premissas!$E$27,0)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Premissas!$E$32+(B12+C12)/Premissas!$E$34</f>
        <v/>
      </c>
      <c r="AC12">
        <f>D12</f>
        <v/>
      </c>
    </row>
    <row r="13">
      <c r="A13" t="n">
        <v>10</v>
      </c>
      <c r="B13">
        <f>B12*(1-Premissas!$E$18/12)+Premissas!$E$12</f>
        <v/>
      </c>
      <c r="C13">
        <f>IF($B$2=1,C12*(1-Premissas!$E$26/12)+D13,0)</f>
        <v/>
      </c>
      <c r="D13">
        <f>IF(AND($B$2=1,A13&gt;=Premissas!$E$23),Premissas!$E$22,0)</f>
        <v/>
      </c>
      <c r="E13">
        <f>B13*Premissas!$E$28</f>
        <v/>
      </c>
      <c r="F13">
        <f>B13*Premissas!$E$13/12*MIN(1,A13/Premissas!$E$17)</f>
        <v/>
      </c>
      <c r="G13">
        <f>F13*Premissas!$E$14</f>
        <v/>
      </c>
      <c r="H13">
        <f>IF(IF(A13-1-Premissas!$E$16&gt;=0,OFFSET($J$4,A13-1-Premissas!$E$16,0),0)&gt;0,ROUND(IF(A13-1-Premissas!$E$16&gt;=0,OFFSET($J$4,A13-1-Premissas!$E$16,0),0)*10000/Premissas!$E$5*Premissas!$E$15,0),0)</f>
        <v/>
      </c>
      <c r="I13">
        <f>ROUND(G13*Premissas!$E$6/10000,0)</f>
        <v/>
      </c>
      <c r="J13">
        <f>ROUND(G13*Premissas!$E$5/10000,0)</f>
        <v/>
      </c>
      <c r="K13">
        <f>IF(IF(A13-1-Premissas!$E$16&gt;=0,OFFSET($A$4,A13-1-Premissas!$E$16,0)&gt;=Premissas!$E$19,FALSE),ROUND(IF(A13-1-Premissas!$E$16&gt;=0,OFFSET($J$4,A13-1-Premissas!$E$16,0),0)*Premissas!$E$15,0),0)</f>
        <v/>
      </c>
      <c r="L13">
        <f>ROUND(C13*Premissas!$E$24/12,0)</f>
        <v/>
      </c>
      <c r="M13">
        <f>ROUND(D13*Premissas!$E$25,0)</f>
        <v/>
      </c>
      <c r="N13">
        <f>ROUND(E13*Premissas!$E$29+B13*Premissas!$E$30,0)</f>
        <v/>
      </c>
      <c r="O13">
        <f>K13+L13+M13+N13</f>
        <v/>
      </c>
      <c r="P13">
        <f>K13+ROUND(AC13*Premissas!$E$24,0)+M13+N13</f>
        <v/>
      </c>
      <c r="Q13">
        <f>ROUND(IF(A13-1-Premissas!$E$21&gt;=0,OFFSET($P$4,A13-1-Premissas!$E$21,0),0)*(1-Premissas!$E$20/100),0)</f>
        <v/>
      </c>
      <c r="R13">
        <f>ROUND(F13*Premissas!$E$11+N13*Premissas!$E$31/100,0)+ROUND((E13+B13)*Premissas!$E$10,0)+ROUND(Q13*Premissas!$E$8/100,0)+ROUND(Premissas!$E$35+(B13+C13)*Premissas!$E$36,0)</f>
        <v/>
      </c>
      <c r="S13">
        <f>O13-R13</f>
        <v/>
      </c>
      <c r="T13">
        <f>ROUND(O13*Premissas!$E$9/100,0)</f>
        <v/>
      </c>
      <c r="U13">
        <f>ROUND(AB13*Premissas!$E$33,0)</f>
        <v/>
      </c>
      <c r="V13">
        <f>Premissas!$E$37+ROUND(Premissas!$E$12*Premissas!$E$38+D13*Premissas!$E$27,0)</f>
        <v/>
      </c>
      <c r="W13">
        <f>Premissas!$E$39</f>
        <v/>
      </c>
      <c r="X13">
        <f>S13-T13-ROUND(Premissas!$E$12*Premissas!$E$38+D13*Premissas!$E$27,0)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Premissas!$E$32+(B13+C13)/Premissas!$E$34</f>
        <v/>
      </c>
      <c r="AC13">
        <f>D13</f>
        <v/>
      </c>
    </row>
    <row r="14">
      <c r="A14" t="n">
        <v>11</v>
      </c>
      <c r="B14">
        <f>B13*(1-Premissas!$E$18/12)+Premissas!$E$12</f>
        <v/>
      </c>
      <c r="C14">
        <f>IF($B$2=1,C13*(1-Premissas!$E$26/12)+D14,0)</f>
        <v/>
      </c>
      <c r="D14">
        <f>IF(AND($B$2=1,A14&gt;=Premissas!$E$23),Premissas!$E$22,0)</f>
        <v/>
      </c>
      <c r="E14">
        <f>B14*Premissas!$E$28</f>
        <v/>
      </c>
      <c r="F14">
        <f>B14*Premissas!$E$13/12*MIN(1,A14/Premissas!$E$17)</f>
        <v/>
      </c>
      <c r="G14">
        <f>F14*Premissas!$E$14</f>
        <v/>
      </c>
      <c r="H14">
        <f>IF(IF(A14-1-Premissas!$E$16&gt;=0,OFFSET($J$4,A14-1-Premissas!$E$16,0),0)&gt;0,ROUND(IF(A14-1-Premissas!$E$16&gt;=0,OFFSET($J$4,A14-1-Premissas!$E$16,0),0)*10000/Premissas!$E$5*Premissas!$E$15,0),0)</f>
        <v/>
      </c>
      <c r="I14">
        <f>ROUND(G14*Premissas!$E$6/10000,0)</f>
        <v/>
      </c>
      <c r="J14">
        <f>ROUND(G14*Premissas!$E$5/10000,0)</f>
        <v/>
      </c>
      <c r="K14">
        <f>IF(IF(A14-1-Premissas!$E$16&gt;=0,OFFSET($A$4,A14-1-Premissas!$E$16,0)&gt;=Premissas!$E$19,FALSE),ROUND(IF(A14-1-Premissas!$E$16&gt;=0,OFFSET($J$4,A14-1-Premissas!$E$16,0),0)*Premissas!$E$15,0),0)</f>
        <v/>
      </c>
      <c r="L14">
        <f>ROUND(C14*Premissas!$E$24/12,0)</f>
        <v/>
      </c>
      <c r="M14">
        <f>ROUND(D14*Premissas!$E$25,0)</f>
        <v/>
      </c>
      <c r="N14">
        <f>ROUND(E14*Premissas!$E$29+B14*Premissas!$E$30,0)</f>
        <v/>
      </c>
      <c r="O14">
        <f>K14+L14+M14+N14</f>
        <v/>
      </c>
      <c r="P14">
        <f>K14+ROUND(AC14*Premissas!$E$24,0)+M14+N14</f>
        <v/>
      </c>
      <c r="Q14">
        <f>ROUND(IF(A14-1-Premissas!$E$21&gt;=0,OFFSET($P$4,A14-1-Premissas!$E$21,0),0)*(1-Premissas!$E$20/100),0)</f>
        <v/>
      </c>
      <c r="R14">
        <f>ROUND(F14*Premissas!$E$11+N14*Premissas!$E$31/100,0)+ROUND((E14+B14)*Premissas!$E$10,0)+ROUND(Q14*Premissas!$E$8/100,0)+ROUND(Premissas!$E$35+(B14+C14)*Premissas!$E$36,0)</f>
        <v/>
      </c>
      <c r="S14">
        <f>O14-R14</f>
        <v/>
      </c>
      <c r="T14">
        <f>ROUND(O14*Premissas!$E$9/100,0)</f>
        <v/>
      </c>
      <c r="U14">
        <f>ROUND(AB14*Premissas!$E$33,0)</f>
        <v/>
      </c>
      <c r="V14">
        <f>Premissas!$E$37+ROUND(Premissas!$E$12*Premissas!$E$38+D14*Premissas!$E$27,0)</f>
        <v/>
      </c>
      <c r="W14">
        <f>Premissas!$E$39</f>
        <v/>
      </c>
      <c r="X14">
        <f>S14-T14-ROUND(Premissas!$E$12*Premissas!$E$38+D14*Premissas!$E$27,0)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Premissas!$E$32+(B14+C14)/Premissas!$E$34</f>
        <v/>
      </c>
      <c r="AC14">
        <f>D14</f>
        <v/>
      </c>
    </row>
    <row r="15">
      <c r="A15" t="n">
        <v>12</v>
      </c>
      <c r="B15">
        <f>B14*(1-Premissas!$E$18/12)+Premissas!$E$12</f>
        <v/>
      </c>
      <c r="C15">
        <f>IF($B$2=1,C14*(1-Premissas!$E$26/12)+D15,0)</f>
        <v/>
      </c>
      <c r="D15">
        <f>IF(AND($B$2=1,A15&gt;=Premissas!$E$23),Premissas!$E$22,0)</f>
        <v/>
      </c>
      <c r="E15">
        <f>B15*Premissas!$E$28</f>
        <v/>
      </c>
      <c r="F15">
        <f>B15*Premissas!$E$13/12*MIN(1,A15/Premissas!$E$17)</f>
        <v/>
      </c>
      <c r="G15">
        <f>F15*Premissas!$E$14</f>
        <v/>
      </c>
      <c r="H15">
        <f>IF(IF(A15-1-Premissas!$E$16&gt;=0,OFFSET($J$4,A15-1-Premissas!$E$16,0),0)&gt;0,ROUND(IF(A15-1-Premissas!$E$16&gt;=0,OFFSET($J$4,A15-1-Premissas!$E$16,0),0)*10000/Premissas!$E$5*Premissas!$E$15,0),0)</f>
        <v/>
      </c>
      <c r="I15">
        <f>ROUND(G15*Premissas!$E$6/10000,0)</f>
        <v/>
      </c>
      <c r="J15">
        <f>ROUND(G15*Premissas!$E$5/10000,0)</f>
        <v/>
      </c>
      <c r="K15">
        <f>IF(IF(A15-1-Premissas!$E$16&gt;=0,OFFSET($A$4,A15-1-Premissas!$E$16,0)&gt;=Premissas!$E$19,FALSE),ROUND(IF(A15-1-Premissas!$E$16&gt;=0,OFFSET($J$4,A15-1-Premissas!$E$16,0),0)*Premissas!$E$15,0),0)</f>
        <v/>
      </c>
      <c r="L15">
        <f>ROUND(C15*Premissas!$E$24/12,0)</f>
        <v/>
      </c>
      <c r="M15">
        <f>ROUND(D15*Premissas!$E$25,0)</f>
        <v/>
      </c>
      <c r="N15">
        <f>ROUND(E15*Premissas!$E$29+B15*Premissas!$E$30,0)</f>
        <v/>
      </c>
      <c r="O15">
        <f>K15+L15+M15+N15</f>
        <v/>
      </c>
      <c r="P15">
        <f>K15+ROUND(AC15*Premissas!$E$24,0)+M15+N15</f>
        <v/>
      </c>
      <c r="Q15">
        <f>ROUND(IF(A15-1-Premissas!$E$21&gt;=0,OFFSET($P$4,A15-1-Premissas!$E$21,0),0)*(1-Premissas!$E$20/100),0)</f>
        <v/>
      </c>
      <c r="R15">
        <f>ROUND(F15*Premissas!$E$11+N15*Premissas!$E$31/100,0)+ROUND((E15+B15)*Premissas!$E$10,0)+ROUND(Q15*Premissas!$E$8/100,0)+ROUND(Premissas!$E$35+(B15+C15)*Premissas!$E$36,0)</f>
        <v/>
      </c>
      <c r="S15">
        <f>O15-R15</f>
        <v/>
      </c>
      <c r="T15">
        <f>ROUND(O15*Premissas!$E$9/100,0)</f>
        <v/>
      </c>
      <c r="U15">
        <f>ROUND(AB15*Premissas!$E$33,0)</f>
        <v/>
      </c>
      <c r="V15">
        <f>Premissas!$E$37+ROUND(Premissas!$E$12*Premissas!$E$38+D15*Premissas!$E$27,0)</f>
        <v/>
      </c>
      <c r="W15">
        <f>Premissas!$E$39</f>
        <v/>
      </c>
      <c r="X15">
        <f>S15-T15-ROUND(Premissas!$E$12*Premissas!$E$38+D15*Premissas!$E$27,0)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Premissas!$E$32+(B15+C15)/Premissas!$E$34</f>
        <v/>
      </c>
      <c r="AC15">
        <f>D15</f>
        <v/>
      </c>
    </row>
    <row r="16">
      <c r="A16" t="n">
        <v>13</v>
      </c>
      <c r="B16">
        <f>B15*(1-Premissas!$E$18/12)+Premissas!$E$12</f>
        <v/>
      </c>
      <c r="C16">
        <f>IF($B$2=1,C15*(1-Premissas!$E$26/12)+D16,0)</f>
        <v/>
      </c>
      <c r="D16">
        <f>IF(AND($B$2=1,A16&gt;=Premissas!$E$23),Premissas!$E$22,0)</f>
        <v/>
      </c>
      <c r="E16">
        <f>B16*Premissas!$E$28</f>
        <v/>
      </c>
      <c r="F16">
        <f>B16*Premissas!$E$13/12*MIN(1,A16/Premissas!$E$17)</f>
        <v/>
      </c>
      <c r="G16">
        <f>F16*Premissas!$E$14</f>
        <v/>
      </c>
      <c r="H16">
        <f>IF(IF(A16-1-Premissas!$E$16&gt;=0,OFFSET($J$4,A16-1-Premissas!$E$16,0),0)&gt;0,ROUND(IF(A16-1-Premissas!$E$16&gt;=0,OFFSET($J$4,A16-1-Premissas!$E$16,0),0)*10000/Premissas!$E$5*Premissas!$E$15,0),0)</f>
        <v/>
      </c>
      <c r="I16">
        <f>ROUND(G16*Premissas!$E$6/10000,0)</f>
        <v/>
      </c>
      <c r="J16">
        <f>ROUND(G16*Premissas!$E$5/10000,0)</f>
        <v/>
      </c>
      <c r="K16">
        <f>IF(IF(A16-1-Premissas!$E$16&gt;=0,OFFSET($A$4,A16-1-Premissas!$E$16,0)&gt;=Premissas!$E$19,FALSE),ROUND(IF(A16-1-Premissas!$E$16&gt;=0,OFFSET($J$4,A16-1-Premissas!$E$16,0),0)*Premissas!$E$15,0),0)</f>
        <v/>
      </c>
      <c r="L16">
        <f>ROUND(C16*Premissas!$E$24/12,0)</f>
        <v/>
      </c>
      <c r="M16">
        <f>ROUND(D16*Premissas!$E$25,0)</f>
        <v/>
      </c>
      <c r="N16">
        <f>ROUND(E16*Premissas!$E$29+B16*Premissas!$E$30,0)</f>
        <v/>
      </c>
      <c r="O16">
        <f>K16+L16+M16+N16</f>
        <v/>
      </c>
      <c r="P16">
        <f>K16+ROUND(AC16*Premissas!$E$24,0)+M16+N16</f>
        <v/>
      </c>
      <c r="Q16">
        <f>ROUND(IF(A16-1-Premissas!$E$21&gt;=0,OFFSET($P$4,A16-1-Premissas!$E$21,0),0)*(1-Premissas!$E$20/100),0)</f>
        <v/>
      </c>
      <c r="R16">
        <f>ROUND(F16*Premissas!$E$11+N16*Premissas!$E$31/100,0)+ROUND((E16+B16)*Premissas!$E$10,0)+ROUND(Q16*Premissas!$E$8/100,0)+ROUND(Premissas!$E$35+(B16+C16)*Premissas!$E$36,0)</f>
        <v/>
      </c>
      <c r="S16">
        <f>O16-R16</f>
        <v/>
      </c>
      <c r="T16">
        <f>ROUND(O16*Premissas!$E$9/100,0)</f>
        <v/>
      </c>
      <c r="U16">
        <f>ROUND(AB16*Premissas!$E$33,0)</f>
        <v/>
      </c>
      <c r="V16">
        <f>Premissas!$E$37+ROUND(Premissas!$E$12*Premissas!$E$38+D16*Premissas!$E$27,0)</f>
        <v/>
      </c>
      <c r="W16">
        <f>Premissas!$E$39</f>
        <v/>
      </c>
      <c r="X16">
        <f>S16-T16-ROUND(Premissas!$E$12*Premissas!$E$38+D16*Premissas!$E$27,0)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Premissas!$E$32+(B16+C16)/Premissas!$E$34</f>
        <v/>
      </c>
      <c r="AC16">
        <f>D16+AC4*(1-Premissas!$E$26/12)^12</f>
        <v/>
      </c>
    </row>
    <row r="17">
      <c r="A17" t="n">
        <v>14</v>
      </c>
      <c r="B17">
        <f>B16*(1-Premissas!$E$18/12)+Premissas!$E$12</f>
        <v/>
      </c>
      <c r="C17">
        <f>IF($B$2=1,C16*(1-Premissas!$E$26/12)+D17,0)</f>
        <v/>
      </c>
      <c r="D17">
        <f>IF(AND($B$2=1,A17&gt;=Premissas!$E$23),Premissas!$E$22,0)</f>
        <v/>
      </c>
      <c r="E17">
        <f>B17*Premissas!$E$28</f>
        <v/>
      </c>
      <c r="F17">
        <f>B17*Premissas!$E$13/12*MIN(1,A17/Premissas!$E$17)</f>
        <v/>
      </c>
      <c r="G17">
        <f>F17*Premissas!$E$14</f>
        <v/>
      </c>
      <c r="H17">
        <f>IF(IF(A17-1-Premissas!$E$16&gt;=0,OFFSET($J$4,A17-1-Premissas!$E$16,0),0)&gt;0,ROUND(IF(A17-1-Premissas!$E$16&gt;=0,OFFSET($J$4,A17-1-Premissas!$E$16,0),0)*10000/Premissas!$E$5*Premissas!$E$15,0),0)</f>
        <v/>
      </c>
      <c r="I17">
        <f>ROUND(G17*Premissas!$E$6/10000,0)</f>
        <v/>
      </c>
      <c r="J17">
        <f>ROUND(G17*Premissas!$E$5/10000,0)</f>
        <v/>
      </c>
      <c r="K17">
        <f>IF(IF(A17-1-Premissas!$E$16&gt;=0,OFFSET($A$4,A17-1-Premissas!$E$16,0)&gt;=Premissas!$E$19,FALSE),ROUND(IF(A17-1-Premissas!$E$16&gt;=0,OFFSET($J$4,A17-1-Premissas!$E$16,0),0)*Premissas!$E$15,0),0)</f>
        <v/>
      </c>
      <c r="L17">
        <f>ROUND(C17*Premissas!$E$24/12,0)</f>
        <v/>
      </c>
      <c r="M17">
        <f>ROUND(D17*Premissas!$E$25,0)</f>
        <v/>
      </c>
      <c r="N17">
        <f>ROUND(E17*Premissas!$E$29+B17*Premissas!$E$30,0)</f>
        <v/>
      </c>
      <c r="O17">
        <f>K17+L17+M17+N17</f>
        <v/>
      </c>
      <c r="P17">
        <f>K17+ROUND(AC17*Premissas!$E$24,0)+M17+N17</f>
        <v/>
      </c>
      <c r="Q17">
        <f>ROUND(IF(A17-1-Premissas!$E$21&gt;=0,OFFSET($P$4,A17-1-Premissas!$E$21,0),0)*(1-Premissas!$E$20/100),0)</f>
        <v/>
      </c>
      <c r="R17">
        <f>ROUND(F17*Premissas!$E$11+N17*Premissas!$E$31/100,0)+ROUND((E17+B17)*Premissas!$E$10,0)+ROUND(Q17*Premissas!$E$8/100,0)+ROUND(Premissas!$E$35+(B17+C17)*Premissas!$E$36,0)</f>
        <v/>
      </c>
      <c r="S17">
        <f>O17-R17</f>
        <v/>
      </c>
      <c r="T17">
        <f>ROUND(O17*Premissas!$E$9/100,0)</f>
        <v/>
      </c>
      <c r="U17">
        <f>ROUND(AB17*Premissas!$E$33,0)</f>
        <v/>
      </c>
      <c r="V17">
        <f>Premissas!$E$37+ROUND(Premissas!$E$12*Premissas!$E$38+D17*Premissas!$E$27,0)</f>
        <v/>
      </c>
      <c r="W17">
        <f>Premissas!$E$39</f>
        <v/>
      </c>
      <c r="X17">
        <f>S17-T17-ROUND(Premissas!$E$12*Premissas!$E$38+D17*Premissas!$E$27,0)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Premissas!$E$32+(B17+C17)/Premissas!$E$34</f>
        <v/>
      </c>
      <c r="AC17">
        <f>D17+AC5*(1-Premissas!$E$26/12)^12</f>
        <v/>
      </c>
    </row>
    <row r="18">
      <c r="A18" t="n">
        <v>15</v>
      </c>
      <c r="B18">
        <f>B17*(1-Premissas!$E$18/12)+Premissas!$E$12</f>
        <v/>
      </c>
      <c r="C18">
        <f>IF($B$2=1,C17*(1-Premissas!$E$26/12)+D18,0)</f>
        <v/>
      </c>
      <c r="D18">
        <f>IF(AND($B$2=1,A18&gt;=Premissas!$E$23),Premissas!$E$22,0)</f>
        <v/>
      </c>
      <c r="E18">
        <f>B18*Premissas!$E$28</f>
        <v/>
      </c>
      <c r="F18">
        <f>B18*Premissas!$E$13/12*MIN(1,A18/Premissas!$E$17)</f>
        <v/>
      </c>
      <c r="G18">
        <f>F18*Premissas!$E$14</f>
        <v/>
      </c>
      <c r="H18">
        <f>IF(IF(A18-1-Premissas!$E$16&gt;=0,OFFSET($J$4,A18-1-Premissas!$E$16,0),0)&gt;0,ROUND(IF(A18-1-Premissas!$E$16&gt;=0,OFFSET($J$4,A18-1-Premissas!$E$16,0),0)*10000/Premissas!$E$5*Premissas!$E$15,0),0)</f>
        <v/>
      </c>
      <c r="I18">
        <f>ROUND(G18*Premissas!$E$6/10000,0)</f>
        <v/>
      </c>
      <c r="J18">
        <f>ROUND(G18*Premissas!$E$5/10000,0)</f>
        <v/>
      </c>
      <c r="K18">
        <f>IF(IF(A18-1-Premissas!$E$16&gt;=0,OFFSET($A$4,A18-1-Premissas!$E$16,0)&gt;=Premissas!$E$19,FALSE),ROUND(IF(A18-1-Premissas!$E$16&gt;=0,OFFSET($J$4,A18-1-Premissas!$E$16,0),0)*Premissas!$E$15,0),0)</f>
        <v/>
      </c>
      <c r="L18">
        <f>ROUND(C18*Premissas!$E$24/12,0)</f>
        <v/>
      </c>
      <c r="M18">
        <f>ROUND(D18*Premissas!$E$25,0)</f>
        <v/>
      </c>
      <c r="N18">
        <f>ROUND(E18*Premissas!$E$29+B18*Premissas!$E$30,0)</f>
        <v/>
      </c>
      <c r="O18">
        <f>K18+L18+M18+N18</f>
        <v/>
      </c>
      <c r="P18">
        <f>K18+ROUND(AC18*Premissas!$E$24,0)+M18+N18</f>
        <v/>
      </c>
      <c r="Q18">
        <f>ROUND(IF(A18-1-Premissas!$E$21&gt;=0,OFFSET($P$4,A18-1-Premissas!$E$21,0),0)*(1-Premissas!$E$20/100),0)</f>
        <v/>
      </c>
      <c r="R18">
        <f>ROUND(F18*Premissas!$E$11+N18*Premissas!$E$31/100,0)+ROUND((E18+B18)*Premissas!$E$10,0)+ROUND(Q18*Premissas!$E$8/100,0)+ROUND(Premissas!$E$35+(B18+C18)*Premissas!$E$36,0)</f>
        <v/>
      </c>
      <c r="S18">
        <f>O18-R18</f>
        <v/>
      </c>
      <c r="T18">
        <f>ROUND(O18*Premissas!$E$9/100,0)</f>
        <v/>
      </c>
      <c r="U18">
        <f>ROUND(AB18*Premissas!$E$33,0)</f>
        <v/>
      </c>
      <c r="V18">
        <f>Premissas!$E$37+ROUND(Premissas!$E$12*Premissas!$E$38+D18*Premissas!$E$27,0)</f>
        <v/>
      </c>
      <c r="W18">
        <f>Premissas!$E$39</f>
        <v/>
      </c>
      <c r="X18">
        <f>S18-T18-ROUND(Premissas!$E$12*Premissas!$E$38+D18*Premissas!$E$27,0)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Premissas!$E$32+(B18+C18)/Premissas!$E$34</f>
        <v/>
      </c>
      <c r="AC18">
        <f>D18+AC6*(1-Premissas!$E$26/12)^12</f>
        <v/>
      </c>
    </row>
    <row r="19">
      <c r="A19" t="n">
        <v>16</v>
      </c>
      <c r="B19">
        <f>B18*(1-Premissas!$E$18/12)+Premissas!$E$12</f>
        <v/>
      </c>
      <c r="C19">
        <f>IF($B$2=1,C18*(1-Premissas!$E$26/12)+D19,0)</f>
        <v/>
      </c>
      <c r="D19">
        <f>IF(AND($B$2=1,A19&gt;=Premissas!$E$23),Premissas!$E$22,0)</f>
        <v/>
      </c>
      <c r="E19">
        <f>B19*Premissas!$E$28</f>
        <v/>
      </c>
      <c r="F19">
        <f>B19*Premissas!$E$13/12*MIN(1,A19/Premissas!$E$17)</f>
        <v/>
      </c>
      <c r="G19">
        <f>F19*Premissas!$E$14</f>
        <v/>
      </c>
      <c r="H19">
        <f>IF(IF(A19-1-Premissas!$E$16&gt;=0,OFFSET($J$4,A19-1-Premissas!$E$16,0),0)&gt;0,ROUND(IF(A19-1-Premissas!$E$16&gt;=0,OFFSET($J$4,A19-1-Premissas!$E$16,0),0)*10000/Premissas!$E$5*Premissas!$E$15,0),0)</f>
        <v/>
      </c>
      <c r="I19">
        <f>ROUND(G19*Premissas!$E$6/10000,0)</f>
        <v/>
      </c>
      <c r="J19">
        <f>ROUND(G19*Premissas!$E$5/10000,0)</f>
        <v/>
      </c>
      <c r="K19">
        <f>IF(IF(A19-1-Premissas!$E$16&gt;=0,OFFSET($A$4,A19-1-Premissas!$E$16,0)&gt;=Premissas!$E$19,FALSE),ROUND(IF(A19-1-Premissas!$E$16&gt;=0,OFFSET($J$4,A19-1-Premissas!$E$16,0),0)*Premissas!$E$15,0),0)</f>
        <v/>
      </c>
      <c r="L19">
        <f>ROUND(C19*Premissas!$E$24/12,0)</f>
        <v/>
      </c>
      <c r="M19">
        <f>ROUND(D19*Premissas!$E$25,0)</f>
        <v/>
      </c>
      <c r="N19">
        <f>ROUND(E19*Premissas!$E$29+B19*Premissas!$E$30,0)</f>
        <v/>
      </c>
      <c r="O19">
        <f>K19+L19+M19+N19</f>
        <v/>
      </c>
      <c r="P19">
        <f>K19+ROUND(AC19*Premissas!$E$24,0)+M19+N19</f>
        <v/>
      </c>
      <c r="Q19">
        <f>ROUND(IF(A19-1-Premissas!$E$21&gt;=0,OFFSET($P$4,A19-1-Premissas!$E$21,0),0)*(1-Premissas!$E$20/100),0)</f>
        <v/>
      </c>
      <c r="R19">
        <f>ROUND(F19*Premissas!$E$11+N19*Premissas!$E$31/100,0)+ROUND((E19+B19)*Premissas!$E$10,0)+ROUND(Q19*Premissas!$E$8/100,0)+ROUND(Premissas!$E$35+(B19+C19)*Premissas!$E$36,0)</f>
        <v/>
      </c>
      <c r="S19">
        <f>O19-R19</f>
        <v/>
      </c>
      <c r="T19">
        <f>ROUND(O19*Premissas!$E$9/100,0)</f>
        <v/>
      </c>
      <c r="U19">
        <f>ROUND(AB19*Premissas!$E$33,0)</f>
        <v/>
      </c>
      <c r="V19">
        <f>Premissas!$E$37+ROUND(Premissas!$E$12*Premissas!$E$38+D19*Premissas!$E$27,0)</f>
        <v/>
      </c>
      <c r="W19">
        <f>Premissas!$E$39</f>
        <v/>
      </c>
      <c r="X19">
        <f>S19-T19-ROUND(Premissas!$E$12*Premissas!$E$38+D19*Premissas!$E$27,0)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Premissas!$E$32+(B19+C19)/Premissas!$E$34</f>
        <v/>
      </c>
      <c r="AC19">
        <f>D19+AC7*(1-Premissas!$E$26/12)^12</f>
        <v/>
      </c>
    </row>
    <row r="20">
      <c r="A20" t="n">
        <v>17</v>
      </c>
      <c r="B20">
        <f>B19*(1-Premissas!$E$18/12)+Premissas!$E$12</f>
        <v/>
      </c>
      <c r="C20">
        <f>IF($B$2=1,C19*(1-Premissas!$E$26/12)+D20,0)</f>
        <v/>
      </c>
      <c r="D20">
        <f>IF(AND($B$2=1,A20&gt;=Premissas!$E$23),Premissas!$E$22,0)</f>
        <v/>
      </c>
      <c r="E20">
        <f>B20*Premissas!$E$28</f>
        <v/>
      </c>
      <c r="F20">
        <f>B20*Premissas!$E$13/12*MIN(1,A20/Premissas!$E$17)</f>
        <v/>
      </c>
      <c r="G20">
        <f>F20*Premissas!$E$14</f>
        <v/>
      </c>
      <c r="H20">
        <f>IF(IF(A20-1-Premissas!$E$16&gt;=0,OFFSET($J$4,A20-1-Premissas!$E$16,0),0)&gt;0,ROUND(IF(A20-1-Premissas!$E$16&gt;=0,OFFSET($J$4,A20-1-Premissas!$E$16,0),0)*10000/Premissas!$E$5*Premissas!$E$15,0),0)</f>
        <v/>
      </c>
      <c r="I20">
        <f>ROUND(G20*Premissas!$E$6/10000,0)</f>
        <v/>
      </c>
      <c r="J20">
        <f>ROUND(G20*Premissas!$E$5/10000,0)</f>
        <v/>
      </c>
      <c r="K20">
        <f>IF(IF(A20-1-Premissas!$E$16&gt;=0,OFFSET($A$4,A20-1-Premissas!$E$16,0)&gt;=Premissas!$E$19,FALSE),ROUND(IF(A20-1-Premissas!$E$16&gt;=0,OFFSET($J$4,A20-1-Premissas!$E$16,0),0)*Premissas!$E$15,0),0)</f>
        <v/>
      </c>
      <c r="L20">
        <f>ROUND(C20*Premissas!$E$24/12,0)</f>
        <v/>
      </c>
      <c r="M20">
        <f>ROUND(D20*Premissas!$E$25,0)</f>
        <v/>
      </c>
      <c r="N20">
        <f>ROUND(E20*Premissas!$E$29+B20*Premissas!$E$30,0)</f>
        <v/>
      </c>
      <c r="O20">
        <f>K20+L20+M20+N20</f>
        <v/>
      </c>
      <c r="P20">
        <f>K20+ROUND(AC20*Premissas!$E$24,0)+M20+N20</f>
        <v/>
      </c>
      <c r="Q20">
        <f>ROUND(IF(A20-1-Premissas!$E$21&gt;=0,OFFSET($P$4,A20-1-Premissas!$E$21,0),0)*(1-Premissas!$E$20/100),0)</f>
        <v/>
      </c>
      <c r="R20">
        <f>ROUND(F20*Premissas!$E$11+N20*Premissas!$E$31/100,0)+ROUND((E20+B20)*Premissas!$E$10,0)+ROUND(Q20*Premissas!$E$8/100,0)+ROUND(Premissas!$E$35+(B20+C20)*Premissas!$E$36,0)</f>
        <v/>
      </c>
      <c r="S20">
        <f>O20-R20</f>
        <v/>
      </c>
      <c r="T20">
        <f>ROUND(O20*Premissas!$E$9/100,0)</f>
        <v/>
      </c>
      <c r="U20">
        <f>ROUND(AB20*Premissas!$E$33,0)</f>
        <v/>
      </c>
      <c r="V20">
        <f>Premissas!$E$37+ROUND(Premissas!$E$12*Premissas!$E$38+D20*Premissas!$E$27,0)</f>
        <v/>
      </c>
      <c r="W20">
        <f>Premissas!$E$39</f>
        <v/>
      </c>
      <c r="X20">
        <f>S20-T20-ROUND(Premissas!$E$12*Premissas!$E$38+D20*Premissas!$E$27,0)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Premissas!$E$32+(B20+C20)/Premissas!$E$34</f>
        <v/>
      </c>
      <c r="AC20">
        <f>D20+AC8*(1-Premissas!$E$26/12)^12</f>
        <v/>
      </c>
    </row>
    <row r="21">
      <c r="A21" t="n">
        <v>18</v>
      </c>
      <c r="B21">
        <f>B20*(1-Premissas!$E$18/12)+Premissas!$E$12</f>
        <v/>
      </c>
      <c r="C21">
        <f>IF($B$2=1,C20*(1-Premissas!$E$26/12)+D21,0)</f>
        <v/>
      </c>
      <c r="D21">
        <f>IF(AND($B$2=1,A21&gt;=Premissas!$E$23),Premissas!$E$22,0)</f>
        <v/>
      </c>
      <c r="E21">
        <f>B21*Premissas!$E$28</f>
        <v/>
      </c>
      <c r="F21">
        <f>B21*Premissas!$E$13/12*MIN(1,A21/Premissas!$E$17)</f>
        <v/>
      </c>
      <c r="G21">
        <f>F21*Premissas!$E$14</f>
        <v/>
      </c>
      <c r="H21">
        <f>IF(IF(A21-1-Premissas!$E$16&gt;=0,OFFSET($J$4,A21-1-Premissas!$E$16,0),0)&gt;0,ROUND(IF(A21-1-Premissas!$E$16&gt;=0,OFFSET($J$4,A21-1-Premissas!$E$16,0),0)*10000/Premissas!$E$5*Premissas!$E$15,0),0)</f>
        <v/>
      </c>
      <c r="I21">
        <f>ROUND(G21*Premissas!$E$6/10000,0)</f>
        <v/>
      </c>
      <c r="J21">
        <f>ROUND(G21*Premissas!$E$5/10000,0)</f>
        <v/>
      </c>
      <c r="K21">
        <f>IF(IF(A21-1-Premissas!$E$16&gt;=0,OFFSET($A$4,A21-1-Premissas!$E$16,0)&gt;=Premissas!$E$19,FALSE),ROUND(IF(A21-1-Premissas!$E$16&gt;=0,OFFSET($J$4,A21-1-Premissas!$E$16,0),0)*Premissas!$E$15,0),0)</f>
        <v/>
      </c>
      <c r="L21">
        <f>ROUND(C21*Premissas!$E$24/12,0)</f>
        <v/>
      </c>
      <c r="M21">
        <f>ROUND(D21*Premissas!$E$25,0)</f>
        <v/>
      </c>
      <c r="N21">
        <f>ROUND(E21*Premissas!$E$29+B21*Premissas!$E$30,0)</f>
        <v/>
      </c>
      <c r="O21">
        <f>K21+L21+M21+N21</f>
        <v/>
      </c>
      <c r="P21">
        <f>K21+ROUND(AC21*Premissas!$E$24,0)+M21+N21</f>
        <v/>
      </c>
      <c r="Q21">
        <f>ROUND(IF(A21-1-Premissas!$E$21&gt;=0,OFFSET($P$4,A21-1-Premissas!$E$21,0),0)*(1-Premissas!$E$20/100),0)</f>
        <v/>
      </c>
      <c r="R21">
        <f>ROUND(F21*Premissas!$E$11+N21*Premissas!$E$31/100,0)+ROUND((E21+B21)*Premissas!$E$10,0)+ROUND(Q21*Premissas!$E$8/100,0)+ROUND(Premissas!$E$35+(B21+C21)*Premissas!$E$36,0)</f>
        <v/>
      </c>
      <c r="S21">
        <f>O21-R21</f>
        <v/>
      </c>
      <c r="T21">
        <f>ROUND(O21*Premissas!$E$9/100,0)</f>
        <v/>
      </c>
      <c r="U21">
        <f>ROUND(AB21*Premissas!$E$33,0)</f>
        <v/>
      </c>
      <c r="V21">
        <f>Premissas!$E$37+ROUND(Premissas!$E$12*Premissas!$E$38+D21*Premissas!$E$27,0)</f>
        <v/>
      </c>
      <c r="W21">
        <f>Premissas!$E$39</f>
        <v/>
      </c>
      <c r="X21">
        <f>S21-T21-ROUND(Premissas!$E$12*Premissas!$E$38+D21*Premissas!$E$27,0)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Premissas!$E$32+(B21+C21)/Premissas!$E$34</f>
        <v/>
      </c>
      <c r="AC21">
        <f>D21+AC9*(1-Premissas!$E$26/12)^12</f>
        <v/>
      </c>
    </row>
    <row r="22">
      <c r="A22" t="n">
        <v>19</v>
      </c>
      <c r="B22">
        <f>B21*(1-Premissas!$E$18/12)+Premissas!$E$12</f>
        <v/>
      </c>
      <c r="C22">
        <f>IF($B$2=1,C21*(1-Premissas!$E$26/12)+D22,0)</f>
        <v/>
      </c>
      <c r="D22">
        <f>IF(AND($B$2=1,A22&gt;=Premissas!$E$23),Premissas!$E$22,0)</f>
        <v/>
      </c>
      <c r="E22">
        <f>B22*Premissas!$E$28</f>
        <v/>
      </c>
      <c r="F22">
        <f>B22*Premissas!$E$13/12*MIN(1,A22/Premissas!$E$17)</f>
        <v/>
      </c>
      <c r="G22">
        <f>F22*Premissas!$E$14</f>
        <v/>
      </c>
      <c r="H22">
        <f>IF(IF(A22-1-Premissas!$E$16&gt;=0,OFFSET($J$4,A22-1-Premissas!$E$16,0),0)&gt;0,ROUND(IF(A22-1-Premissas!$E$16&gt;=0,OFFSET($J$4,A22-1-Premissas!$E$16,0),0)*10000/Premissas!$E$5*Premissas!$E$15,0),0)</f>
        <v/>
      </c>
      <c r="I22">
        <f>ROUND(G22*Premissas!$E$6/10000,0)</f>
        <v/>
      </c>
      <c r="J22">
        <f>ROUND(G22*Premissas!$E$5/10000,0)</f>
        <v/>
      </c>
      <c r="K22">
        <f>IF(IF(A22-1-Premissas!$E$16&gt;=0,OFFSET($A$4,A22-1-Premissas!$E$16,0)&gt;=Premissas!$E$19,FALSE),ROUND(IF(A22-1-Premissas!$E$16&gt;=0,OFFSET($J$4,A22-1-Premissas!$E$16,0),0)*Premissas!$E$15,0),0)</f>
        <v/>
      </c>
      <c r="L22">
        <f>ROUND(C22*Premissas!$E$24/12,0)</f>
        <v/>
      </c>
      <c r="M22">
        <f>ROUND(D22*Premissas!$E$25,0)</f>
        <v/>
      </c>
      <c r="N22">
        <f>ROUND(E22*Premissas!$E$29+B22*Premissas!$E$30,0)</f>
        <v/>
      </c>
      <c r="O22">
        <f>K22+L22+M22+N22</f>
        <v/>
      </c>
      <c r="P22">
        <f>K22+ROUND(AC22*Premissas!$E$24,0)+M22+N22</f>
        <v/>
      </c>
      <c r="Q22">
        <f>ROUND(IF(A22-1-Premissas!$E$21&gt;=0,OFFSET($P$4,A22-1-Premissas!$E$21,0),0)*(1-Premissas!$E$20/100),0)</f>
        <v/>
      </c>
      <c r="R22">
        <f>ROUND(F22*Premissas!$E$11+N22*Premissas!$E$31/100,0)+ROUND((E22+B22)*Premissas!$E$10,0)+ROUND(Q22*Premissas!$E$8/100,0)+ROUND(Premissas!$E$35+(B22+C22)*Premissas!$E$36,0)</f>
        <v/>
      </c>
      <c r="S22">
        <f>O22-R22</f>
        <v/>
      </c>
      <c r="T22">
        <f>ROUND(O22*Premissas!$E$9/100,0)</f>
        <v/>
      </c>
      <c r="U22">
        <f>ROUND(AB22*Premissas!$E$33,0)</f>
        <v/>
      </c>
      <c r="V22">
        <f>Premissas!$E$37+ROUND(Premissas!$E$12*Premissas!$E$38+D22*Premissas!$E$27,0)</f>
        <v/>
      </c>
      <c r="W22">
        <f>Premissas!$E$39</f>
        <v/>
      </c>
      <c r="X22">
        <f>S22-T22-ROUND(Premissas!$E$12*Premissas!$E$38+D22*Premissas!$E$27,0)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Premissas!$E$32+(B22+C22)/Premissas!$E$34</f>
        <v/>
      </c>
      <c r="AC22">
        <f>D22+AC10*(1-Premissas!$E$26/12)^12</f>
        <v/>
      </c>
    </row>
    <row r="23">
      <c r="A23" t="n">
        <v>20</v>
      </c>
      <c r="B23">
        <f>B22*(1-Premissas!$E$18/12)+Premissas!$E$12</f>
        <v/>
      </c>
      <c r="C23">
        <f>IF($B$2=1,C22*(1-Premissas!$E$26/12)+D23,0)</f>
        <v/>
      </c>
      <c r="D23">
        <f>IF(AND($B$2=1,A23&gt;=Premissas!$E$23),Premissas!$E$22,0)</f>
        <v/>
      </c>
      <c r="E23">
        <f>B23*Premissas!$E$28</f>
        <v/>
      </c>
      <c r="F23">
        <f>B23*Premissas!$E$13/12*MIN(1,A23/Premissas!$E$17)</f>
        <v/>
      </c>
      <c r="G23">
        <f>F23*Premissas!$E$14</f>
        <v/>
      </c>
      <c r="H23">
        <f>IF(IF(A23-1-Premissas!$E$16&gt;=0,OFFSET($J$4,A23-1-Premissas!$E$16,0),0)&gt;0,ROUND(IF(A23-1-Premissas!$E$16&gt;=0,OFFSET($J$4,A23-1-Premissas!$E$16,0),0)*10000/Premissas!$E$5*Premissas!$E$15,0),0)</f>
        <v/>
      </c>
      <c r="I23">
        <f>ROUND(G23*Premissas!$E$6/10000,0)</f>
        <v/>
      </c>
      <c r="J23">
        <f>ROUND(G23*Premissas!$E$5/10000,0)</f>
        <v/>
      </c>
      <c r="K23">
        <f>IF(IF(A23-1-Premissas!$E$16&gt;=0,OFFSET($A$4,A23-1-Premissas!$E$16,0)&gt;=Premissas!$E$19,FALSE),ROUND(IF(A23-1-Premissas!$E$16&gt;=0,OFFSET($J$4,A23-1-Premissas!$E$16,0),0)*Premissas!$E$15,0),0)</f>
        <v/>
      </c>
      <c r="L23">
        <f>ROUND(C23*Premissas!$E$24/12,0)</f>
        <v/>
      </c>
      <c r="M23">
        <f>ROUND(D23*Premissas!$E$25,0)</f>
        <v/>
      </c>
      <c r="N23">
        <f>ROUND(E23*Premissas!$E$29+B23*Premissas!$E$30,0)</f>
        <v/>
      </c>
      <c r="O23">
        <f>K23+L23+M23+N23</f>
        <v/>
      </c>
      <c r="P23">
        <f>K23+ROUND(AC23*Premissas!$E$24,0)+M23+N23</f>
        <v/>
      </c>
      <c r="Q23">
        <f>ROUND(IF(A23-1-Premissas!$E$21&gt;=0,OFFSET($P$4,A23-1-Premissas!$E$21,0),0)*(1-Premissas!$E$20/100),0)</f>
        <v/>
      </c>
      <c r="R23">
        <f>ROUND(F23*Premissas!$E$11+N23*Premissas!$E$31/100,0)+ROUND((E23+B23)*Premissas!$E$10,0)+ROUND(Q23*Premissas!$E$8/100,0)+ROUND(Premissas!$E$35+(B23+C23)*Premissas!$E$36,0)</f>
        <v/>
      </c>
      <c r="S23">
        <f>O23-R23</f>
        <v/>
      </c>
      <c r="T23">
        <f>ROUND(O23*Premissas!$E$9/100,0)</f>
        <v/>
      </c>
      <c r="U23">
        <f>ROUND(AB23*Premissas!$E$33,0)</f>
        <v/>
      </c>
      <c r="V23">
        <f>Premissas!$E$37+ROUND(Premissas!$E$12*Premissas!$E$38+D23*Premissas!$E$27,0)</f>
        <v/>
      </c>
      <c r="W23">
        <f>Premissas!$E$39</f>
        <v/>
      </c>
      <c r="X23">
        <f>S23-T23-ROUND(Premissas!$E$12*Premissas!$E$38+D23*Premissas!$E$27,0)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Premissas!$E$32+(B23+C23)/Premissas!$E$34</f>
        <v/>
      </c>
      <c r="AC23">
        <f>D23+AC11*(1-Premissas!$E$26/12)^12</f>
        <v/>
      </c>
    </row>
    <row r="24">
      <c r="A24" t="n">
        <v>21</v>
      </c>
      <c r="B24">
        <f>B23*(1-Premissas!$E$18/12)+Premissas!$E$12</f>
        <v/>
      </c>
      <c r="C24">
        <f>IF($B$2=1,C23*(1-Premissas!$E$26/12)+D24,0)</f>
        <v/>
      </c>
      <c r="D24">
        <f>IF(AND($B$2=1,A24&gt;=Premissas!$E$23),Premissas!$E$22,0)</f>
        <v/>
      </c>
      <c r="E24">
        <f>B24*Premissas!$E$28</f>
        <v/>
      </c>
      <c r="F24">
        <f>B24*Premissas!$E$13/12*MIN(1,A24/Premissas!$E$17)</f>
        <v/>
      </c>
      <c r="G24">
        <f>F24*Premissas!$E$14</f>
        <v/>
      </c>
      <c r="H24">
        <f>IF(IF(A24-1-Premissas!$E$16&gt;=0,OFFSET($J$4,A24-1-Premissas!$E$16,0),0)&gt;0,ROUND(IF(A24-1-Premissas!$E$16&gt;=0,OFFSET($J$4,A24-1-Premissas!$E$16,0),0)*10000/Premissas!$E$5*Premissas!$E$15,0),0)</f>
        <v/>
      </c>
      <c r="I24">
        <f>ROUND(G24*Premissas!$E$6/10000,0)</f>
        <v/>
      </c>
      <c r="J24">
        <f>ROUND(G24*Premissas!$E$5/10000,0)</f>
        <v/>
      </c>
      <c r="K24">
        <f>IF(IF(A24-1-Premissas!$E$16&gt;=0,OFFSET($A$4,A24-1-Premissas!$E$16,0)&gt;=Premissas!$E$19,FALSE),ROUND(IF(A24-1-Premissas!$E$16&gt;=0,OFFSET($J$4,A24-1-Premissas!$E$16,0),0)*Premissas!$E$15,0),0)</f>
        <v/>
      </c>
      <c r="L24">
        <f>ROUND(C24*Premissas!$E$24/12,0)</f>
        <v/>
      </c>
      <c r="M24">
        <f>ROUND(D24*Premissas!$E$25,0)</f>
        <v/>
      </c>
      <c r="N24">
        <f>ROUND(E24*Premissas!$E$29+B24*Premissas!$E$30,0)</f>
        <v/>
      </c>
      <c r="O24">
        <f>K24+L24+M24+N24</f>
        <v/>
      </c>
      <c r="P24">
        <f>K24+ROUND(AC24*Premissas!$E$24,0)+M24+N24</f>
        <v/>
      </c>
      <c r="Q24">
        <f>ROUND(IF(A24-1-Premissas!$E$21&gt;=0,OFFSET($P$4,A24-1-Premissas!$E$21,0),0)*(1-Premissas!$E$20/100),0)</f>
        <v/>
      </c>
      <c r="R24">
        <f>ROUND(F24*Premissas!$E$11+N24*Premissas!$E$31/100,0)+ROUND((E24+B24)*Premissas!$E$10,0)+ROUND(Q24*Premissas!$E$8/100,0)+ROUND(Premissas!$E$35+(B24+C24)*Premissas!$E$36,0)</f>
        <v/>
      </c>
      <c r="S24">
        <f>O24-R24</f>
        <v/>
      </c>
      <c r="T24">
        <f>ROUND(O24*Premissas!$E$9/100,0)</f>
        <v/>
      </c>
      <c r="U24">
        <f>ROUND(AB24*Premissas!$E$33,0)</f>
        <v/>
      </c>
      <c r="V24">
        <f>Premissas!$E$37+ROUND(Premissas!$E$12*Premissas!$E$38+D24*Premissas!$E$27,0)</f>
        <v/>
      </c>
      <c r="W24">
        <f>Premissas!$E$39</f>
        <v/>
      </c>
      <c r="X24">
        <f>S24-T24-ROUND(Premissas!$E$12*Premissas!$E$38+D24*Premissas!$E$27,0)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Premissas!$E$32+(B24+C24)/Premissas!$E$34</f>
        <v/>
      </c>
      <c r="AC24">
        <f>D24+AC12*(1-Premissas!$E$26/12)^12</f>
        <v/>
      </c>
    </row>
    <row r="25">
      <c r="A25" t="n">
        <v>22</v>
      </c>
      <c r="B25">
        <f>B24*(1-Premissas!$E$18/12)+Premissas!$E$12</f>
        <v/>
      </c>
      <c r="C25">
        <f>IF($B$2=1,C24*(1-Premissas!$E$26/12)+D25,0)</f>
        <v/>
      </c>
      <c r="D25">
        <f>IF(AND($B$2=1,A25&gt;=Premissas!$E$23),Premissas!$E$22,0)</f>
        <v/>
      </c>
      <c r="E25">
        <f>B25*Premissas!$E$28</f>
        <v/>
      </c>
      <c r="F25">
        <f>B25*Premissas!$E$13/12*MIN(1,A25/Premissas!$E$17)</f>
        <v/>
      </c>
      <c r="G25">
        <f>F25*Premissas!$E$14</f>
        <v/>
      </c>
      <c r="H25">
        <f>IF(IF(A25-1-Premissas!$E$16&gt;=0,OFFSET($J$4,A25-1-Premissas!$E$16,0),0)&gt;0,ROUND(IF(A25-1-Premissas!$E$16&gt;=0,OFFSET($J$4,A25-1-Premissas!$E$16,0),0)*10000/Premissas!$E$5*Premissas!$E$15,0),0)</f>
        <v/>
      </c>
      <c r="I25">
        <f>ROUND(G25*Premissas!$E$6/10000,0)</f>
        <v/>
      </c>
      <c r="J25">
        <f>ROUND(G25*Premissas!$E$5/10000,0)</f>
        <v/>
      </c>
      <c r="K25">
        <f>IF(IF(A25-1-Premissas!$E$16&gt;=0,OFFSET($A$4,A25-1-Premissas!$E$16,0)&gt;=Premissas!$E$19,FALSE),ROUND(IF(A25-1-Premissas!$E$16&gt;=0,OFFSET($J$4,A25-1-Premissas!$E$16,0),0)*Premissas!$E$15,0),0)</f>
        <v/>
      </c>
      <c r="L25">
        <f>ROUND(C25*Premissas!$E$24/12,0)</f>
        <v/>
      </c>
      <c r="M25">
        <f>ROUND(D25*Premissas!$E$25,0)</f>
        <v/>
      </c>
      <c r="N25">
        <f>ROUND(E25*Premissas!$E$29+B25*Premissas!$E$30,0)</f>
        <v/>
      </c>
      <c r="O25">
        <f>K25+L25+M25+N25</f>
        <v/>
      </c>
      <c r="P25">
        <f>K25+ROUND(AC25*Premissas!$E$24,0)+M25+N25</f>
        <v/>
      </c>
      <c r="Q25">
        <f>ROUND(IF(A25-1-Premissas!$E$21&gt;=0,OFFSET($P$4,A25-1-Premissas!$E$21,0),0)*(1-Premissas!$E$20/100),0)</f>
        <v/>
      </c>
      <c r="R25">
        <f>ROUND(F25*Premissas!$E$11+N25*Premissas!$E$31/100,0)+ROUND((E25+B25)*Premissas!$E$10,0)+ROUND(Q25*Premissas!$E$8/100,0)+ROUND(Premissas!$E$35+(B25+C25)*Premissas!$E$36,0)</f>
        <v/>
      </c>
      <c r="S25">
        <f>O25-R25</f>
        <v/>
      </c>
      <c r="T25">
        <f>ROUND(O25*Premissas!$E$9/100,0)</f>
        <v/>
      </c>
      <c r="U25">
        <f>ROUND(AB25*Premissas!$E$33,0)</f>
        <v/>
      </c>
      <c r="V25">
        <f>Premissas!$E$37+ROUND(Premissas!$E$12*Premissas!$E$38+D25*Premissas!$E$27,0)</f>
        <v/>
      </c>
      <c r="W25">
        <f>Premissas!$E$39</f>
        <v/>
      </c>
      <c r="X25">
        <f>S25-T25-ROUND(Premissas!$E$12*Premissas!$E$38+D25*Premissas!$E$27,0)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Premissas!$E$32+(B25+C25)/Premissas!$E$34</f>
        <v/>
      </c>
      <c r="AC25">
        <f>D25+AC13*(1-Premissas!$E$26/12)^12</f>
        <v/>
      </c>
    </row>
    <row r="26">
      <c r="A26" t="n">
        <v>23</v>
      </c>
      <c r="B26">
        <f>B25*(1-Premissas!$E$18/12)+Premissas!$E$12</f>
        <v/>
      </c>
      <c r="C26">
        <f>IF($B$2=1,C25*(1-Premissas!$E$26/12)+D26,0)</f>
        <v/>
      </c>
      <c r="D26">
        <f>IF(AND($B$2=1,A26&gt;=Premissas!$E$23),Premissas!$E$22,0)</f>
        <v/>
      </c>
      <c r="E26">
        <f>B26*Premissas!$E$28</f>
        <v/>
      </c>
      <c r="F26">
        <f>B26*Premissas!$E$13/12*MIN(1,A26/Premissas!$E$17)</f>
        <v/>
      </c>
      <c r="G26">
        <f>F26*Premissas!$E$14</f>
        <v/>
      </c>
      <c r="H26">
        <f>IF(IF(A26-1-Premissas!$E$16&gt;=0,OFFSET($J$4,A26-1-Premissas!$E$16,0),0)&gt;0,ROUND(IF(A26-1-Premissas!$E$16&gt;=0,OFFSET($J$4,A26-1-Premissas!$E$16,0),0)*10000/Premissas!$E$5*Premissas!$E$15,0),0)</f>
        <v/>
      </c>
      <c r="I26">
        <f>ROUND(G26*Premissas!$E$6/10000,0)</f>
        <v/>
      </c>
      <c r="J26">
        <f>ROUND(G26*Premissas!$E$5/10000,0)</f>
        <v/>
      </c>
      <c r="K26">
        <f>IF(IF(A26-1-Premissas!$E$16&gt;=0,OFFSET($A$4,A26-1-Premissas!$E$16,0)&gt;=Premissas!$E$19,FALSE),ROUND(IF(A26-1-Premissas!$E$16&gt;=0,OFFSET($J$4,A26-1-Premissas!$E$16,0),0)*Premissas!$E$15,0),0)</f>
        <v/>
      </c>
      <c r="L26">
        <f>ROUND(C26*Premissas!$E$24/12,0)</f>
        <v/>
      </c>
      <c r="M26">
        <f>ROUND(D26*Premissas!$E$25,0)</f>
        <v/>
      </c>
      <c r="N26">
        <f>ROUND(E26*Premissas!$E$29+B26*Premissas!$E$30,0)</f>
        <v/>
      </c>
      <c r="O26">
        <f>K26+L26+M26+N26</f>
        <v/>
      </c>
      <c r="P26">
        <f>K26+ROUND(AC26*Premissas!$E$24,0)+M26+N26</f>
        <v/>
      </c>
      <c r="Q26">
        <f>ROUND(IF(A26-1-Premissas!$E$21&gt;=0,OFFSET($P$4,A26-1-Premissas!$E$21,0),0)*(1-Premissas!$E$20/100),0)</f>
        <v/>
      </c>
      <c r="R26">
        <f>ROUND(F26*Premissas!$E$11+N26*Premissas!$E$31/100,0)+ROUND((E26+B26)*Premissas!$E$10,0)+ROUND(Q26*Premissas!$E$8/100,0)+ROUND(Premissas!$E$35+(B26+C26)*Premissas!$E$36,0)</f>
        <v/>
      </c>
      <c r="S26">
        <f>O26-R26</f>
        <v/>
      </c>
      <c r="T26">
        <f>ROUND(O26*Premissas!$E$9/100,0)</f>
        <v/>
      </c>
      <c r="U26">
        <f>ROUND(AB26*Premissas!$E$33,0)</f>
        <v/>
      </c>
      <c r="V26">
        <f>Premissas!$E$37+ROUND(Premissas!$E$12*Premissas!$E$38+D26*Premissas!$E$27,0)</f>
        <v/>
      </c>
      <c r="W26">
        <f>Premissas!$E$39</f>
        <v/>
      </c>
      <c r="X26">
        <f>S26-T26-ROUND(Premissas!$E$12*Premissas!$E$38+D26*Premissas!$E$27,0)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Premissas!$E$32+(B26+C26)/Premissas!$E$34</f>
        <v/>
      </c>
      <c r="AC26">
        <f>D26+AC14*(1-Premissas!$E$26/12)^12</f>
        <v/>
      </c>
    </row>
    <row r="27">
      <c r="A27" t="n">
        <v>24</v>
      </c>
      <c r="B27">
        <f>B26*(1-Premissas!$E$18/12)+Premissas!$E$12</f>
        <v/>
      </c>
      <c r="C27">
        <f>IF($B$2=1,C26*(1-Premissas!$E$26/12)+D27,0)</f>
        <v/>
      </c>
      <c r="D27">
        <f>IF(AND($B$2=1,A27&gt;=Premissas!$E$23),Premissas!$E$22,0)</f>
        <v/>
      </c>
      <c r="E27">
        <f>B27*Premissas!$E$28</f>
        <v/>
      </c>
      <c r="F27">
        <f>B27*Premissas!$E$13/12*MIN(1,A27/Premissas!$E$17)</f>
        <v/>
      </c>
      <c r="G27">
        <f>F27*Premissas!$E$14</f>
        <v/>
      </c>
      <c r="H27">
        <f>IF(IF(A27-1-Premissas!$E$16&gt;=0,OFFSET($J$4,A27-1-Premissas!$E$16,0),0)&gt;0,ROUND(IF(A27-1-Premissas!$E$16&gt;=0,OFFSET($J$4,A27-1-Premissas!$E$16,0),0)*10000/Premissas!$E$5*Premissas!$E$15,0),0)</f>
        <v/>
      </c>
      <c r="I27">
        <f>ROUND(G27*Premissas!$E$6/10000,0)</f>
        <v/>
      </c>
      <c r="J27">
        <f>ROUND(G27*Premissas!$E$5/10000,0)</f>
        <v/>
      </c>
      <c r="K27">
        <f>IF(IF(A27-1-Premissas!$E$16&gt;=0,OFFSET($A$4,A27-1-Premissas!$E$16,0)&gt;=Premissas!$E$19,FALSE),ROUND(IF(A27-1-Premissas!$E$16&gt;=0,OFFSET($J$4,A27-1-Premissas!$E$16,0),0)*Premissas!$E$15,0),0)</f>
        <v/>
      </c>
      <c r="L27">
        <f>ROUND(C27*Premissas!$E$24/12,0)</f>
        <v/>
      </c>
      <c r="M27">
        <f>ROUND(D27*Premissas!$E$25,0)</f>
        <v/>
      </c>
      <c r="N27">
        <f>ROUND(E27*Premissas!$E$29+B27*Premissas!$E$30,0)</f>
        <v/>
      </c>
      <c r="O27">
        <f>K27+L27+M27+N27</f>
        <v/>
      </c>
      <c r="P27">
        <f>K27+ROUND(AC27*Premissas!$E$24,0)+M27+N27</f>
        <v/>
      </c>
      <c r="Q27">
        <f>ROUND(IF(A27-1-Premissas!$E$21&gt;=0,OFFSET($P$4,A27-1-Premissas!$E$21,0),0)*(1-Premissas!$E$20/100),0)</f>
        <v/>
      </c>
      <c r="R27">
        <f>ROUND(F27*Premissas!$E$11+N27*Premissas!$E$31/100,0)+ROUND((E27+B27)*Premissas!$E$10,0)+ROUND(Q27*Premissas!$E$8/100,0)+ROUND(Premissas!$E$35+(B27+C27)*Premissas!$E$36,0)</f>
        <v/>
      </c>
      <c r="S27">
        <f>O27-R27</f>
        <v/>
      </c>
      <c r="T27">
        <f>ROUND(O27*Premissas!$E$9/100,0)</f>
        <v/>
      </c>
      <c r="U27">
        <f>ROUND(AB27*Premissas!$E$33,0)</f>
        <v/>
      </c>
      <c r="V27">
        <f>Premissas!$E$37+ROUND(Premissas!$E$12*Premissas!$E$38+D27*Premissas!$E$27,0)</f>
        <v/>
      </c>
      <c r="W27">
        <f>Premissas!$E$39</f>
        <v/>
      </c>
      <c r="X27">
        <f>S27-T27-ROUND(Premissas!$E$12*Premissas!$E$38+D27*Premissas!$E$27,0)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Premissas!$E$32+(B27+C27)/Premissas!$E$34</f>
        <v/>
      </c>
      <c r="AC27">
        <f>D27+AC15*(1-Premissas!$E$26/12)^12</f>
        <v/>
      </c>
    </row>
    <row r="28">
      <c r="A28" t="n">
        <v>25</v>
      </c>
      <c r="B28">
        <f>B27*(1-Premissas!$E$18/12)+Premissas!$E$12</f>
        <v/>
      </c>
      <c r="C28">
        <f>IF($B$2=1,C27*(1-Premissas!$E$26/12)+D28,0)</f>
        <v/>
      </c>
      <c r="D28">
        <f>IF(AND($B$2=1,A28&gt;=Premissas!$E$23),Premissas!$E$22,0)</f>
        <v/>
      </c>
      <c r="E28">
        <f>B28*Premissas!$E$28</f>
        <v/>
      </c>
      <c r="F28">
        <f>B28*Premissas!$E$13/12*MIN(1,A28/Premissas!$E$17)</f>
        <v/>
      </c>
      <c r="G28">
        <f>F28*Premissas!$E$14</f>
        <v/>
      </c>
      <c r="H28">
        <f>IF(IF(A28-1-Premissas!$E$16&gt;=0,OFFSET($J$4,A28-1-Premissas!$E$16,0),0)&gt;0,ROUND(IF(A28-1-Premissas!$E$16&gt;=0,OFFSET($J$4,A28-1-Premissas!$E$16,0),0)*10000/Premissas!$E$5*Premissas!$E$15,0),0)</f>
        <v/>
      </c>
      <c r="I28">
        <f>ROUND(G28*Premissas!$E$6/10000,0)</f>
        <v/>
      </c>
      <c r="J28">
        <f>ROUND(G28*Premissas!$E$5/10000,0)</f>
        <v/>
      </c>
      <c r="K28">
        <f>IF(IF(A28-1-Premissas!$E$16&gt;=0,OFFSET($A$4,A28-1-Premissas!$E$16,0)&gt;=Premissas!$E$19,FALSE),ROUND(IF(A28-1-Premissas!$E$16&gt;=0,OFFSET($J$4,A28-1-Premissas!$E$16,0),0)*Premissas!$E$15,0),0)</f>
        <v/>
      </c>
      <c r="L28">
        <f>ROUND(C28*Premissas!$E$24/12,0)</f>
        <v/>
      </c>
      <c r="M28">
        <f>ROUND(D28*Premissas!$E$25,0)</f>
        <v/>
      </c>
      <c r="N28">
        <f>ROUND(E28*Premissas!$E$29+B28*Premissas!$E$30,0)</f>
        <v/>
      </c>
      <c r="O28">
        <f>K28+L28+M28+N28</f>
        <v/>
      </c>
      <c r="P28">
        <f>K28+ROUND(AC28*Premissas!$E$24,0)+M28+N28</f>
        <v/>
      </c>
      <c r="Q28">
        <f>ROUND(IF(A28-1-Premissas!$E$21&gt;=0,OFFSET($P$4,A28-1-Premissas!$E$21,0),0)*(1-Premissas!$E$20/100),0)</f>
        <v/>
      </c>
      <c r="R28">
        <f>ROUND(F28*Premissas!$E$11+N28*Premissas!$E$31/100,0)+ROUND((E28+B28)*Premissas!$E$10,0)+ROUND(Q28*Premissas!$E$8/100,0)+ROUND(Premissas!$E$35+(B28+C28)*Premissas!$E$36,0)</f>
        <v/>
      </c>
      <c r="S28">
        <f>O28-R28</f>
        <v/>
      </c>
      <c r="T28">
        <f>ROUND(O28*Premissas!$E$9/100,0)</f>
        <v/>
      </c>
      <c r="U28">
        <f>ROUND(AB28*Premissas!$E$33,0)</f>
        <v/>
      </c>
      <c r="V28">
        <f>Premissas!$E$37+ROUND(Premissas!$E$12*Premissas!$E$38+D28*Premissas!$E$27,0)</f>
        <v/>
      </c>
      <c r="W28">
        <f>Premissas!$E$39</f>
        <v/>
      </c>
      <c r="X28">
        <f>S28-T28-ROUND(Premissas!$E$12*Premissas!$E$38+D28*Premissas!$E$27,0)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Premissas!$E$32+(B28+C28)/Premissas!$E$34</f>
        <v/>
      </c>
      <c r="AC28">
        <f>D28+AC16*(1-Premissas!$E$26/12)^12</f>
        <v/>
      </c>
    </row>
    <row r="29">
      <c r="A29" t="n">
        <v>26</v>
      </c>
      <c r="B29">
        <f>B28*(1-Premissas!$E$18/12)+Premissas!$E$12</f>
        <v/>
      </c>
      <c r="C29">
        <f>IF($B$2=1,C28*(1-Premissas!$E$26/12)+D29,0)</f>
        <v/>
      </c>
      <c r="D29">
        <f>IF(AND($B$2=1,A29&gt;=Premissas!$E$23),Premissas!$E$22,0)</f>
        <v/>
      </c>
      <c r="E29">
        <f>B29*Premissas!$E$28</f>
        <v/>
      </c>
      <c r="F29">
        <f>B29*Premissas!$E$13/12*MIN(1,A29/Premissas!$E$17)</f>
        <v/>
      </c>
      <c r="G29">
        <f>F29*Premissas!$E$14</f>
        <v/>
      </c>
      <c r="H29">
        <f>IF(IF(A29-1-Premissas!$E$16&gt;=0,OFFSET($J$4,A29-1-Premissas!$E$16,0),0)&gt;0,ROUND(IF(A29-1-Premissas!$E$16&gt;=0,OFFSET($J$4,A29-1-Premissas!$E$16,0),0)*10000/Premissas!$E$5*Premissas!$E$15,0),0)</f>
        <v/>
      </c>
      <c r="I29">
        <f>ROUND(G29*Premissas!$E$6/10000,0)</f>
        <v/>
      </c>
      <c r="J29">
        <f>ROUND(G29*Premissas!$E$5/10000,0)</f>
        <v/>
      </c>
      <c r="K29">
        <f>IF(IF(A29-1-Premissas!$E$16&gt;=0,OFFSET($A$4,A29-1-Premissas!$E$16,0)&gt;=Premissas!$E$19,FALSE),ROUND(IF(A29-1-Premissas!$E$16&gt;=0,OFFSET($J$4,A29-1-Premissas!$E$16,0),0)*Premissas!$E$15,0),0)</f>
        <v/>
      </c>
      <c r="L29">
        <f>ROUND(C29*Premissas!$E$24/12,0)</f>
        <v/>
      </c>
      <c r="M29">
        <f>ROUND(D29*Premissas!$E$25,0)</f>
        <v/>
      </c>
      <c r="N29">
        <f>ROUND(E29*Premissas!$E$29+B29*Premissas!$E$30,0)</f>
        <v/>
      </c>
      <c r="O29">
        <f>K29+L29+M29+N29</f>
        <v/>
      </c>
      <c r="P29">
        <f>K29+ROUND(AC29*Premissas!$E$24,0)+M29+N29</f>
        <v/>
      </c>
      <c r="Q29">
        <f>ROUND(IF(A29-1-Premissas!$E$21&gt;=0,OFFSET($P$4,A29-1-Premissas!$E$21,0),0)*(1-Premissas!$E$20/100),0)</f>
        <v/>
      </c>
      <c r="R29">
        <f>ROUND(F29*Premissas!$E$11+N29*Premissas!$E$31/100,0)+ROUND((E29+B29)*Premissas!$E$10,0)+ROUND(Q29*Premissas!$E$8/100,0)+ROUND(Premissas!$E$35+(B29+C29)*Premissas!$E$36,0)</f>
        <v/>
      </c>
      <c r="S29">
        <f>O29-R29</f>
        <v/>
      </c>
      <c r="T29">
        <f>ROUND(O29*Premissas!$E$9/100,0)</f>
        <v/>
      </c>
      <c r="U29">
        <f>ROUND(AB29*Premissas!$E$33,0)</f>
        <v/>
      </c>
      <c r="V29">
        <f>Premissas!$E$37+ROUND(Premissas!$E$12*Premissas!$E$38+D29*Premissas!$E$27,0)</f>
        <v/>
      </c>
      <c r="W29">
        <f>Premissas!$E$39</f>
        <v/>
      </c>
      <c r="X29">
        <f>S29-T29-ROUND(Premissas!$E$12*Premissas!$E$38+D29*Premissas!$E$27,0)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Premissas!$E$32+(B29+C29)/Premissas!$E$34</f>
        <v/>
      </c>
      <c r="AC29">
        <f>D29+AC17*(1-Premissas!$E$26/12)^12</f>
        <v/>
      </c>
    </row>
    <row r="30">
      <c r="A30" t="n">
        <v>27</v>
      </c>
      <c r="B30">
        <f>B29*(1-Premissas!$E$18/12)+Premissas!$E$12</f>
        <v/>
      </c>
      <c r="C30">
        <f>IF($B$2=1,C29*(1-Premissas!$E$26/12)+D30,0)</f>
        <v/>
      </c>
      <c r="D30">
        <f>IF(AND($B$2=1,A30&gt;=Premissas!$E$23),Premissas!$E$22,0)</f>
        <v/>
      </c>
      <c r="E30">
        <f>B30*Premissas!$E$28</f>
        <v/>
      </c>
      <c r="F30">
        <f>B30*Premissas!$E$13/12*MIN(1,A30/Premissas!$E$17)</f>
        <v/>
      </c>
      <c r="G30">
        <f>F30*Premissas!$E$14</f>
        <v/>
      </c>
      <c r="H30">
        <f>IF(IF(A30-1-Premissas!$E$16&gt;=0,OFFSET($J$4,A30-1-Premissas!$E$16,0),0)&gt;0,ROUND(IF(A30-1-Premissas!$E$16&gt;=0,OFFSET($J$4,A30-1-Premissas!$E$16,0),0)*10000/Premissas!$E$5*Premissas!$E$15,0),0)</f>
        <v/>
      </c>
      <c r="I30">
        <f>ROUND(G30*Premissas!$E$6/10000,0)</f>
        <v/>
      </c>
      <c r="J30">
        <f>ROUND(G30*Premissas!$E$5/10000,0)</f>
        <v/>
      </c>
      <c r="K30">
        <f>IF(IF(A30-1-Premissas!$E$16&gt;=0,OFFSET($A$4,A30-1-Premissas!$E$16,0)&gt;=Premissas!$E$19,FALSE),ROUND(IF(A30-1-Premissas!$E$16&gt;=0,OFFSET($J$4,A30-1-Premissas!$E$16,0),0)*Premissas!$E$15,0),0)</f>
        <v/>
      </c>
      <c r="L30">
        <f>ROUND(C30*Premissas!$E$24/12,0)</f>
        <v/>
      </c>
      <c r="M30">
        <f>ROUND(D30*Premissas!$E$25,0)</f>
        <v/>
      </c>
      <c r="N30">
        <f>ROUND(E30*Premissas!$E$29+B30*Premissas!$E$30,0)</f>
        <v/>
      </c>
      <c r="O30">
        <f>K30+L30+M30+N30</f>
        <v/>
      </c>
      <c r="P30">
        <f>K30+ROUND(AC30*Premissas!$E$24,0)+M30+N30</f>
        <v/>
      </c>
      <c r="Q30">
        <f>ROUND(IF(A30-1-Premissas!$E$21&gt;=0,OFFSET($P$4,A30-1-Premissas!$E$21,0),0)*(1-Premissas!$E$20/100),0)</f>
        <v/>
      </c>
      <c r="R30">
        <f>ROUND(F30*Premissas!$E$11+N30*Premissas!$E$31/100,0)+ROUND((E30+B30)*Premissas!$E$10,0)+ROUND(Q30*Premissas!$E$8/100,0)+ROUND(Premissas!$E$35+(B30+C30)*Premissas!$E$36,0)</f>
        <v/>
      </c>
      <c r="S30">
        <f>O30-R30</f>
        <v/>
      </c>
      <c r="T30">
        <f>ROUND(O30*Premissas!$E$9/100,0)</f>
        <v/>
      </c>
      <c r="U30">
        <f>ROUND(AB30*Premissas!$E$33,0)</f>
        <v/>
      </c>
      <c r="V30">
        <f>Premissas!$E$37+ROUND(Premissas!$E$12*Premissas!$E$38+D30*Premissas!$E$27,0)</f>
        <v/>
      </c>
      <c r="W30">
        <f>Premissas!$E$39</f>
        <v/>
      </c>
      <c r="X30">
        <f>S30-T30-ROUND(Premissas!$E$12*Premissas!$E$38+D30*Premissas!$E$27,0)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Premissas!$E$32+(B30+C30)/Premissas!$E$34</f>
        <v/>
      </c>
      <c r="AC30">
        <f>D30+AC18*(1-Premissas!$E$26/12)^12</f>
        <v/>
      </c>
    </row>
    <row r="31">
      <c r="A31" t="n">
        <v>28</v>
      </c>
      <c r="B31">
        <f>B30*(1-Premissas!$E$18/12)+Premissas!$E$12</f>
        <v/>
      </c>
      <c r="C31">
        <f>IF($B$2=1,C30*(1-Premissas!$E$26/12)+D31,0)</f>
        <v/>
      </c>
      <c r="D31">
        <f>IF(AND($B$2=1,A31&gt;=Premissas!$E$23),Premissas!$E$22,0)</f>
        <v/>
      </c>
      <c r="E31">
        <f>B31*Premissas!$E$28</f>
        <v/>
      </c>
      <c r="F31">
        <f>B31*Premissas!$E$13/12*MIN(1,A31/Premissas!$E$17)</f>
        <v/>
      </c>
      <c r="G31">
        <f>F31*Premissas!$E$14</f>
        <v/>
      </c>
      <c r="H31">
        <f>IF(IF(A31-1-Premissas!$E$16&gt;=0,OFFSET($J$4,A31-1-Premissas!$E$16,0),0)&gt;0,ROUND(IF(A31-1-Premissas!$E$16&gt;=0,OFFSET($J$4,A31-1-Premissas!$E$16,0),0)*10000/Premissas!$E$5*Premissas!$E$15,0),0)</f>
        <v/>
      </c>
      <c r="I31">
        <f>ROUND(G31*Premissas!$E$6/10000,0)</f>
        <v/>
      </c>
      <c r="J31">
        <f>ROUND(G31*Premissas!$E$5/10000,0)</f>
        <v/>
      </c>
      <c r="K31">
        <f>IF(IF(A31-1-Premissas!$E$16&gt;=0,OFFSET($A$4,A31-1-Premissas!$E$16,0)&gt;=Premissas!$E$19,FALSE),ROUND(IF(A31-1-Premissas!$E$16&gt;=0,OFFSET($J$4,A31-1-Premissas!$E$16,0),0)*Premissas!$E$15,0),0)</f>
        <v/>
      </c>
      <c r="L31">
        <f>ROUND(C31*Premissas!$E$24/12,0)</f>
        <v/>
      </c>
      <c r="M31">
        <f>ROUND(D31*Premissas!$E$25,0)</f>
        <v/>
      </c>
      <c r="N31">
        <f>ROUND(E31*Premissas!$E$29+B31*Premissas!$E$30,0)</f>
        <v/>
      </c>
      <c r="O31">
        <f>K31+L31+M31+N31</f>
        <v/>
      </c>
      <c r="P31">
        <f>K31+ROUND(AC31*Premissas!$E$24,0)+M31+N31</f>
        <v/>
      </c>
      <c r="Q31">
        <f>ROUND(IF(A31-1-Premissas!$E$21&gt;=0,OFFSET($P$4,A31-1-Premissas!$E$21,0),0)*(1-Premissas!$E$20/100),0)</f>
        <v/>
      </c>
      <c r="R31">
        <f>ROUND(F31*Premissas!$E$11+N31*Premissas!$E$31/100,0)+ROUND((E31+B31)*Premissas!$E$10,0)+ROUND(Q31*Premissas!$E$8/100,0)+ROUND(Premissas!$E$35+(B31+C31)*Premissas!$E$36,0)</f>
        <v/>
      </c>
      <c r="S31">
        <f>O31-R31</f>
        <v/>
      </c>
      <c r="T31">
        <f>ROUND(O31*Premissas!$E$9/100,0)</f>
        <v/>
      </c>
      <c r="U31">
        <f>ROUND(AB31*Premissas!$E$33,0)</f>
        <v/>
      </c>
      <c r="V31">
        <f>Premissas!$E$37+ROUND(Premissas!$E$12*Premissas!$E$38+D31*Premissas!$E$27,0)</f>
        <v/>
      </c>
      <c r="W31">
        <f>Premissas!$E$39</f>
        <v/>
      </c>
      <c r="X31">
        <f>S31-T31-ROUND(Premissas!$E$12*Premissas!$E$38+D31*Premissas!$E$27,0)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Premissas!$E$32+(B31+C31)/Premissas!$E$34</f>
        <v/>
      </c>
      <c r="AC31">
        <f>D31+AC19*(1-Premissas!$E$26/12)^12</f>
        <v/>
      </c>
    </row>
    <row r="32">
      <c r="A32" t="n">
        <v>29</v>
      </c>
      <c r="B32">
        <f>B31*(1-Premissas!$E$18/12)+Premissas!$E$12</f>
        <v/>
      </c>
      <c r="C32">
        <f>IF($B$2=1,C31*(1-Premissas!$E$26/12)+D32,0)</f>
        <v/>
      </c>
      <c r="D32">
        <f>IF(AND($B$2=1,A32&gt;=Premissas!$E$23),Premissas!$E$22,0)</f>
        <v/>
      </c>
      <c r="E32">
        <f>B32*Premissas!$E$28</f>
        <v/>
      </c>
      <c r="F32">
        <f>B32*Premissas!$E$13/12*MIN(1,A32/Premissas!$E$17)</f>
        <v/>
      </c>
      <c r="G32">
        <f>F32*Premissas!$E$14</f>
        <v/>
      </c>
      <c r="H32">
        <f>IF(IF(A32-1-Premissas!$E$16&gt;=0,OFFSET($J$4,A32-1-Premissas!$E$16,0),0)&gt;0,ROUND(IF(A32-1-Premissas!$E$16&gt;=0,OFFSET($J$4,A32-1-Premissas!$E$16,0),0)*10000/Premissas!$E$5*Premissas!$E$15,0),0)</f>
        <v/>
      </c>
      <c r="I32">
        <f>ROUND(G32*Premissas!$E$6/10000,0)</f>
        <v/>
      </c>
      <c r="J32">
        <f>ROUND(G32*Premissas!$E$5/10000,0)</f>
        <v/>
      </c>
      <c r="K32">
        <f>IF(IF(A32-1-Premissas!$E$16&gt;=0,OFFSET($A$4,A32-1-Premissas!$E$16,0)&gt;=Premissas!$E$19,FALSE),ROUND(IF(A32-1-Premissas!$E$16&gt;=0,OFFSET($J$4,A32-1-Premissas!$E$16,0),0)*Premissas!$E$15,0),0)</f>
        <v/>
      </c>
      <c r="L32">
        <f>ROUND(C32*Premissas!$E$24/12,0)</f>
        <v/>
      </c>
      <c r="M32">
        <f>ROUND(D32*Premissas!$E$25,0)</f>
        <v/>
      </c>
      <c r="N32">
        <f>ROUND(E32*Premissas!$E$29+B32*Premissas!$E$30,0)</f>
        <v/>
      </c>
      <c r="O32">
        <f>K32+L32+M32+N32</f>
        <v/>
      </c>
      <c r="P32">
        <f>K32+ROUND(AC32*Premissas!$E$24,0)+M32+N32</f>
        <v/>
      </c>
      <c r="Q32">
        <f>ROUND(IF(A32-1-Premissas!$E$21&gt;=0,OFFSET($P$4,A32-1-Premissas!$E$21,0),0)*(1-Premissas!$E$20/100),0)</f>
        <v/>
      </c>
      <c r="R32">
        <f>ROUND(F32*Premissas!$E$11+N32*Premissas!$E$31/100,0)+ROUND((E32+B32)*Premissas!$E$10,0)+ROUND(Q32*Premissas!$E$8/100,0)+ROUND(Premissas!$E$35+(B32+C32)*Premissas!$E$36,0)</f>
        <v/>
      </c>
      <c r="S32">
        <f>O32-R32</f>
        <v/>
      </c>
      <c r="T32">
        <f>ROUND(O32*Premissas!$E$9/100,0)</f>
        <v/>
      </c>
      <c r="U32">
        <f>ROUND(AB32*Premissas!$E$33,0)</f>
        <v/>
      </c>
      <c r="V32">
        <f>Premissas!$E$37+ROUND(Premissas!$E$12*Premissas!$E$38+D32*Premissas!$E$27,0)</f>
        <v/>
      </c>
      <c r="W32">
        <f>Premissas!$E$39</f>
        <v/>
      </c>
      <c r="X32">
        <f>S32-T32-ROUND(Premissas!$E$12*Premissas!$E$38+D32*Premissas!$E$27,0)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Premissas!$E$32+(B32+C32)/Premissas!$E$34</f>
        <v/>
      </c>
      <c r="AC32">
        <f>D32+AC20*(1-Premissas!$E$26/12)^12</f>
        <v/>
      </c>
    </row>
    <row r="33">
      <c r="A33" t="n">
        <v>30</v>
      </c>
      <c r="B33">
        <f>B32*(1-Premissas!$E$18/12)+Premissas!$E$12</f>
        <v/>
      </c>
      <c r="C33">
        <f>IF($B$2=1,C32*(1-Premissas!$E$26/12)+D33,0)</f>
        <v/>
      </c>
      <c r="D33">
        <f>IF(AND($B$2=1,A33&gt;=Premissas!$E$23),Premissas!$E$22,0)</f>
        <v/>
      </c>
      <c r="E33">
        <f>B33*Premissas!$E$28</f>
        <v/>
      </c>
      <c r="F33">
        <f>B33*Premissas!$E$13/12*MIN(1,A33/Premissas!$E$17)</f>
        <v/>
      </c>
      <c r="G33">
        <f>F33*Premissas!$E$14</f>
        <v/>
      </c>
      <c r="H33">
        <f>IF(IF(A33-1-Premissas!$E$16&gt;=0,OFFSET($J$4,A33-1-Premissas!$E$16,0),0)&gt;0,ROUND(IF(A33-1-Premissas!$E$16&gt;=0,OFFSET($J$4,A33-1-Premissas!$E$16,0),0)*10000/Premissas!$E$5*Premissas!$E$15,0),0)</f>
        <v/>
      </c>
      <c r="I33">
        <f>ROUND(G33*Premissas!$E$6/10000,0)</f>
        <v/>
      </c>
      <c r="J33">
        <f>ROUND(G33*Premissas!$E$5/10000,0)</f>
        <v/>
      </c>
      <c r="K33">
        <f>IF(IF(A33-1-Premissas!$E$16&gt;=0,OFFSET($A$4,A33-1-Premissas!$E$16,0)&gt;=Premissas!$E$19,FALSE),ROUND(IF(A33-1-Premissas!$E$16&gt;=0,OFFSET($J$4,A33-1-Premissas!$E$16,0),0)*Premissas!$E$15,0),0)</f>
        <v/>
      </c>
      <c r="L33">
        <f>ROUND(C33*Premissas!$E$24/12,0)</f>
        <v/>
      </c>
      <c r="M33">
        <f>ROUND(D33*Premissas!$E$25,0)</f>
        <v/>
      </c>
      <c r="N33">
        <f>ROUND(E33*Premissas!$E$29+B33*Premissas!$E$30,0)</f>
        <v/>
      </c>
      <c r="O33">
        <f>K33+L33+M33+N33</f>
        <v/>
      </c>
      <c r="P33">
        <f>K33+ROUND(AC33*Premissas!$E$24,0)+M33+N33</f>
        <v/>
      </c>
      <c r="Q33">
        <f>ROUND(IF(A33-1-Premissas!$E$21&gt;=0,OFFSET($P$4,A33-1-Premissas!$E$21,0),0)*(1-Premissas!$E$20/100),0)</f>
        <v/>
      </c>
      <c r="R33">
        <f>ROUND(F33*Premissas!$E$11+N33*Premissas!$E$31/100,0)+ROUND((E33+B33)*Premissas!$E$10,0)+ROUND(Q33*Premissas!$E$8/100,0)+ROUND(Premissas!$E$35+(B33+C33)*Premissas!$E$36,0)</f>
        <v/>
      </c>
      <c r="S33">
        <f>O33-R33</f>
        <v/>
      </c>
      <c r="T33">
        <f>ROUND(O33*Premissas!$E$9/100,0)</f>
        <v/>
      </c>
      <c r="U33">
        <f>ROUND(AB33*Premissas!$E$33,0)</f>
        <v/>
      </c>
      <c r="V33">
        <f>Premissas!$E$37+ROUND(Premissas!$E$12*Premissas!$E$38+D33*Premissas!$E$27,0)</f>
        <v/>
      </c>
      <c r="W33">
        <f>Premissas!$E$39</f>
        <v/>
      </c>
      <c r="X33">
        <f>S33-T33-ROUND(Premissas!$E$12*Premissas!$E$38+D33*Premissas!$E$27,0)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Premissas!$E$32+(B33+C33)/Premissas!$E$34</f>
        <v/>
      </c>
      <c r="AC33">
        <f>D33+AC21*(1-Premissas!$E$26/12)^12</f>
        <v/>
      </c>
    </row>
    <row r="34">
      <c r="A34" t="n">
        <v>31</v>
      </c>
      <c r="B34">
        <f>B33*(1-Premissas!$E$18/12)+Premissas!$E$12</f>
        <v/>
      </c>
      <c r="C34">
        <f>IF($B$2=1,C33*(1-Premissas!$E$26/12)+D34,0)</f>
        <v/>
      </c>
      <c r="D34">
        <f>IF(AND($B$2=1,A34&gt;=Premissas!$E$23),Premissas!$E$22,0)</f>
        <v/>
      </c>
      <c r="E34">
        <f>B34*Premissas!$E$28</f>
        <v/>
      </c>
      <c r="F34">
        <f>B34*Premissas!$E$13/12*MIN(1,A34/Premissas!$E$17)</f>
        <v/>
      </c>
      <c r="G34">
        <f>F34*Premissas!$E$14</f>
        <v/>
      </c>
      <c r="H34">
        <f>IF(IF(A34-1-Premissas!$E$16&gt;=0,OFFSET($J$4,A34-1-Premissas!$E$16,0),0)&gt;0,ROUND(IF(A34-1-Premissas!$E$16&gt;=0,OFFSET($J$4,A34-1-Premissas!$E$16,0),0)*10000/Premissas!$E$5*Premissas!$E$15,0),0)</f>
        <v/>
      </c>
      <c r="I34">
        <f>ROUND(G34*Premissas!$E$6/10000,0)</f>
        <v/>
      </c>
      <c r="J34">
        <f>ROUND(G34*Premissas!$E$5/10000,0)</f>
        <v/>
      </c>
      <c r="K34">
        <f>IF(IF(A34-1-Premissas!$E$16&gt;=0,OFFSET($A$4,A34-1-Premissas!$E$16,0)&gt;=Premissas!$E$19,FALSE),ROUND(IF(A34-1-Premissas!$E$16&gt;=0,OFFSET($J$4,A34-1-Premissas!$E$16,0),0)*Premissas!$E$15,0),0)</f>
        <v/>
      </c>
      <c r="L34">
        <f>ROUND(C34*Premissas!$E$24/12,0)</f>
        <v/>
      </c>
      <c r="M34">
        <f>ROUND(D34*Premissas!$E$25,0)</f>
        <v/>
      </c>
      <c r="N34">
        <f>ROUND(E34*Premissas!$E$29+B34*Premissas!$E$30,0)</f>
        <v/>
      </c>
      <c r="O34">
        <f>K34+L34+M34+N34</f>
        <v/>
      </c>
      <c r="P34">
        <f>K34+ROUND(AC34*Premissas!$E$24,0)+M34+N34</f>
        <v/>
      </c>
      <c r="Q34">
        <f>ROUND(IF(A34-1-Premissas!$E$21&gt;=0,OFFSET($P$4,A34-1-Premissas!$E$21,0),0)*(1-Premissas!$E$20/100),0)</f>
        <v/>
      </c>
      <c r="R34">
        <f>ROUND(F34*Premissas!$E$11+N34*Premissas!$E$31/100,0)+ROUND((E34+B34)*Premissas!$E$10,0)+ROUND(Q34*Premissas!$E$8/100,0)+ROUND(Premissas!$E$35+(B34+C34)*Premissas!$E$36,0)</f>
        <v/>
      </c>
      <c r="S34">
        <f>O34-R34</f>
        <v/>
      </c>
      <c r="T34">
        <f>ROUND(O34*Premissas!$E$9/100,0)</f>
        <v/>
      </c>
      <c r="U34">
        <f>ROUND(AB34*Premissas!$E$33,0)</f>
        <v/>
      </c>
      <c r="V34">
        <f>Premissas!$E$37+ROUND(Premissas!$E$12*Premissas!$E$38+D34*Premissas!$E$27,0)</f>
        <v/>
      </c>
      <c r="W34">
        <f>Premissas!$E$39</f>
        <v/>
      </c>
      <c r="X34">
        <f>S34-T34-ROUND(Premissas!$E$12*Premissas!$E$38+D34*Premissas!$E$27,0)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Premissas!$E$32+(B34+C34)/Premissas!$E$34</f>
        <v/>
      </c>
      <c r="AC34">
        <f>D34+AC22*(1-Premissas!$E$26/12)^12</f>
        <v/>
      </c>
    </row>
    <row r="35">
      <c r="A35" t="n">
        <v>32</v>
      </c>
      <c r="B35">
        <f>B34*(1-Premissas!$E$18/12)+Premissas!$E$12</f>
        <v/>
      </c>
      <c r="C35">
        <f>IF($B$2=1,C34*(1-Premissas!$E$26/12)+D35,0)</f>
        <v/>
      </c>
      <c r="D35">
        <f>IF(AND($B$2=1,A35&gt;=Premissas!$E$23),Premissas!$E$22,0)</f>
        <v/>
      </c>
      <c r="E35">
        <f>B35*Premissas!$E$28</f>
        <v/>
      </c>
      <c r="F35">
        <f>B35*Premissas!$E$13/12*MIN(1,A35/Premissas!$E$17)</f>
        <v/>
      </c>
      <c r="G35">
        <f>F35*Premissas!$E$14</f>
        <v/>
      </c>
      <c r="H35">
        <f>IF(IF(A35-1-Premissas!$E$16&gt;=0,OFFSET($J$4,A35-1-Premissas!$E$16,0),0)&gt;0,ROUND(IF(A35-1-Premissas!$E$16&gt;=0,OFFSET($J$4,A35-1-Premissas!$E$16,0),0)*10000/Premissas!$E$5*Premissas!$E$15,0),0)</f>
        <v/>
      </c>
      <c r="I35">
        <f>ROUND(G35*Premissas!$E$6/10000,0)</f>
        <v/>
      </c>
      <c r="J35">
        <f>ROUND(G35*Premissas!$E$5/10000,0)</f>
        <v/>
      </c>
      <c r="K35">
        <f>IF(IF(A35-1-Premissas!$E$16&gt;=0,OFFSET($A$4,A35-1-Premissas!$E$16,0)&gt;=Premissas!$E$19,FALSE),ROUND(IF(A35-1-Premissas!$E$16&gt;=0,OFFSET($J$4,A35-1-Premissas!$E$16,0),0)*Premissas!$E$15,0),0)</f>
        <v/>
      </c>
      <c r="L35">
        <f>ROUND(C35*Premissas!$E$24/12,0)</f>
        <v/>
      </c>
      <c r="M35">
        <f>ROUND(D35*Premissas!$E$25,0)</f>
        <v/>
      </c>
      <c r="N35">
        <f>ROUND(E35*Premissas!$E$29+B35*Premissas!$E$30,0)</f>
        <v/>
      </c>
      <c r="O35">
        <f>K35+L35+M35+N35</f>
        <v/>
      </c>
      <c r="P35">
        <f>K35+ROUND(AC35*Premissas!$E$24,0)+M35+N35</f>
        <v/>
      </c>
      <c r="Q35">
        <f>ROUND(IF(A35-1-Premissas!$E$21&gt;=0,OFFSET($P$4,A35-1-Premissas!$E$21,0),0)*(1-Premissas!$E$20/100),0)</f>
        <v/>
      </c>
      <c r="R35">
        <f>ROUND(F35*Premissas!$E$11+N35*Premissas!$E$31/100,0)+ROUND((E35+B35)*Premissas!$E$10,0)+ROUND(Q35*Premissas!$E$8/100,0)+ROUND(Premissas!$E$35+(B35+C35)*Premissas!$E$36,0)</f>
        <v/>
      </c>
      <c r="S35">
        <f>O35-R35</f>
        <v/>
      </c>
      <c r="T35">
        <f>ROUND(O35*Premissas!$E$9/100,0)</f>
        <v/>
      </c>
      <c r="U35">
        <f>ROUND(AB35*Premissas!$E$33,0)</f>
        <v/>
      </c>
      <c r="V35">
        <f>Premissas!$E$37+ROUND(Premissas!$E$12*Premissas!$E$38+D35*Premissas!$E$27,0)</f>
        <v/>
      </c>
      <c r="W35">
        <f>Premissas!$E$39</f>
        <v/>
      </c>
      <c r="X35">
        <f>S35-T35-ROUND(Premissas!$E$12*Premissas!$E$38+D35*Premissas!$E$27,0)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Premissas!$E$32+(B35+C35)/Premissas!$E$34</f>
        <v/>
      </c>
      <c r="AC35">
        <f>D35+AC23*(1-Premissas!$E$26/12)^12</f>
        <v/>
      </c>
    </row>
    <row r="36">
      <c r="A36" t="n">
        <v>33</v>
      </c>
      <c r="B36">
        <f>B35*(1-Premissas!$E$18/12)+Premissas!$E$12</f>
        <v/>
      </c>
      <c r="C36">
        <f>IF($B$2=1,C35*(1-Premissas!$E$26/12)+D36,0)</f>
        <v/>
      </c>
      <c r="D36">
        <f>IF(AND($B$2=1,A36&gt;=Premissas!$E$23),Premissas!$E$22,0)</f>
        <v/>
      </c>
      <c r="E36">
        <f>B36*Premissas!$E$28</f>
        <v/>
      </c>
      <c r="F36">
        <f>B36*Premissas!$E$13/12*MIN(1,A36/Premissas!$E$17)</f>
        <v/>
      </c>
      <c r="G36">
        <f>F36*Premissas!$E$14</f>
        <v/>
      </c>
      <c r="H36">
        <f>IF(IF(A36-1-Premissas!$E$16&gt;=0,OFFSET($J$4,A36-1-Premissas!$E$16,0),0)&gt;0,ROUND(IF(A36-1-Premissas!$E$16&gt;=0,OFFSET($J$4,A36-1-Premissas!$E$16,0),0)*10000/Premissas!$E$5*Premissas!$E$15,0),0)</f>
        <v/>
      </c>
      <c r="I36">
        <f>ROUND(G36*Premissas!$E$6/10000,0)</f>
        <v/>
      </c>
      <c r="J36">
        <f>ROUND(G36*Premissas!$E$5/10000,0)</f>
        <v/>
      </c>
      <c r="K36">
        <f>IF(IF(A36-1-Premissas!$E$16&gt;=0,OFFSET($A$4,A36-1-Premissas!$E$16,0)&gt;=Premissas!$E$19,FALSE),ROUND(IF(A36-1-Premissas!$E$16&gt;=0,OFFSET($J$4,A36-1-Premissas!$E$16,0),0)*Premissas!$E$15,0),0)</f>
        <v/>
      </c>
      <c r="L36">
        <f>ROUND(C36*Premissas!$E$24/12,0)</f>
        <v/>
      </c>
      <c r="M36">
        <f>ROUND(D36*Premissas!$E$25,0)</f>
        <v/>
      </c>
      <c r="N36">
        <f>ROUND(E36*Premissas!$E$29+B36*Premissas!$E$30,0)</f>
        <v/>
      </c>
      <c r="O36">
        <f>K36+L36+M36+N36</f>
        <v/>
      </c>
      <c r="P36">
        <f>K36+ROUND(AC36*Premissas!$E$24,0)+M36+N36</f>
        <v/>
      </c>
      <c r="Q36">
        <f>ROUND(IF(A36-1-Premissas!$E$21&gt;=0,OFFSET($P$4,A36-1-Premissas!$E$21,0),0)*(1-Premissas!$E$20/100),0)</f>
        <v/>
      </c>
      <c r="R36">
        <f>ROUND(F36*Premissas!$E$11+N36*Premissas!$E$31/100,0)+ROUND((E36+B36)*Premissas!$E$10,0)+ROUND(Q36*Premissas!$E$8/100,0)+ROUND(Premissas!$E$35+(B36+C36)*Premissas!$E$36,0)</f>
        <v/>
      </c>
      <c r="S36">
        <f>O36-R36</f>
        <v/>
      </c>
      <c r="T36">
        <f>ROUND(O36*Premissas!$E$9/100,0)</f>
        <v/>
      </c>
      <c r="U36">
        <f>ROUND(AB36*Premissas!$E$33,0)</f>
        <v/>
      </c>
      <c r="V36">
        <f>Premissas!$E$37+ROUND(Premissas!$E$12*Premissas!$E$38+D36*Premissas!$E$27,0)</f>
        <v/>
      </c>
      <c r="W36">
        <f>Premissas!$E$39</f>
        <v/>
      </c>
      <c r="X36">
        <f>S36-T36-ROUND(Premissas!$E$12*Premissas!$E$38+D36*Premissas!$E$27,0)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Premissas!$E$32+(B36+C36)/Premissas!$E$34</f>
        <v/>
      </c>
      <c r="AC36">
        <f>D36+AC24*(1-Premissas!$E$26/12)^12</f>
        <v/>
      </c>
    </row>
    <row r="37">
      <c r="A37" t="n">
        <v>34</v>
      </c>
      <c r="B37">
        <f>B36*(1-Premissas!$E$18/12)+Premissas!$E$12</f>
        <v/>
      </c>
      <c r="C37">
        <f>IF($B$2=1,C36*(1-Premissas!$E$26/12)+D37,0)</f>
        <v/>
      </c>
      <c r="D37">
        <f>IF(AND($B$2=1,A37&gt;=Premissas!$E$23),Premissas!$E$22,0)</f>
        <v/>
      </c>
      <c r="E37">
        <f>B37*Premissas!$E$28</f>
        <v/>
      </c>
      <c r="F37">
        <f>B37*Premissas!$E$13/12*MIN(1,A37/Premissas!$E$17)</f>
        <v/>
      </c>
      <c r="G37">
        <f>F37*Premissas!$E$14</f>
        <v/>
      </c>
      <c r="H37">
        <f>IF(IF(A37-1-Premissas!$E$16&gt;=0,OFFSET($J$4,A37-1-Premissas!$E$16,0),0)&gt;0,ROUND(IF(A37-1-Premissas!$E$16&gt;=0,OFFSET($J$4,A37-1-Premissas!$E$16,0),0)*10000/Premissas!$E$5*Premissas!$E$15,0),0)</f>
        <v/>
      </c>
      <c r="I37">
        <f>ROUND(G37*Premissas!$E$6/10000,0)</f>
        <v/>
      </c>
      <c r="J37">
        <f>ROUND(G37*Premissas!$E$5/10000,0)</f>
        <v/>
      </c>
      <c r="K37">
        <f>IF(IF(A37-1-Premissas!$E$16&gt;=0,OFFSET($A$4,A37-1-Premissas!$E$16,0)&gt;=Premissas!$E$19,FALSE),ROUND(IF(A37-1-Premissas!$E$16&gt;=0,OFFSET($J$4,A37-1-Premissas!$E$16,0),0)*Premissas!$E$15,0),0)</f>
        <v/>
      </c>
      <c r="L37">
        <f>ROUND(C37*Premissas!$E$24/12,0)</f>
        <v/>
      </c>
      <c r="M37">
        <f>ROUND(D37*Premissas!$E$25,0)</f>
        <v/>
      </c>
      <c r="N37">
        <f>ROUND(E37*Premissas!$E$29+B37*Premissas!$E$30,0)</f>
        <v/>
      </c>
      <c r="O37">
        <f>K37+L37+M37+N37</f>
        <v/>
      </c>
      <c r="P37">
        <f>K37+ROUND(AC37*Premissas!$E$24,0)+M37+N37</f>
        <v/>
      </c>
      <c r="Q37">
        <f>ROUND(IF(A37-1-Premissas!$E$21&gt;=0,OFFSET($P$4,A37-1-Premissas!$E$21,0),0)*(1-Premissas!$E$20/100),0)</f>
        <v/>
      </c>
      <c r="R37">
        <f>ROUND(F37*Premissas!$E$11+N37*Premissas!$E$31/100,0)+ROUND((E37+B37)*Premissas!$E$10,0)+ROUND(Q37*Premissas!$E$8/100,0)+ROUND(Premissas!$E$35+(B37+C37)*Premissas!$E$36,0)</f>
        <v/>
      </c>
      <c r="S37">
        <f>O37-R37</f>
        <v/>
      </c>
      <c r="T37">
        <f>ROUND(O37*Premissas!$E$9/100,0)</f>
        <v/>
      </c>
      <c r="U37">
        <f>ROUND(AB37*Premissas!$E$33,0)</f>
        <v/>
      </c>
      <c r="V37">
        <f>Premissas!$E$37+ROUND(Premissas!$E$12*Premissas!$E$38+D37*Premissas!$E$27,0)</f>
        <v/>
      </c>
      <c r="W37">
        <f>Premissas!$E$39</f>
        <v/>
      </c>
      <c r="X37">
        <f>S37-T37-ROUND(Premissas!$E$12*Premissas!$E$38+D37*Premissas!$E$27,0)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Premissas!$E$32+(B37+C37)/Premissas!$E$34</f>
        <v/>
      </c>
      <c r="AC37">
        <f>D37+AC25*(1-Premissas!$E$26/12)^12</f>
        <v/>
      </c>
    </row>
    <row r="38">
      <c r="A38" t="n">
        <v>35</v>
      </c>
      <c r="B38">
        <f>B37*(1-Premissas!$E$18/12)+Premissas!$E$12</f>
        <v/>
      </c>
      <c r="C38">
        <f>IF($B$2=1,C37*(1-Premissas!$E$26/12)+D38,0)</f>
        <v/>
      </c>
      <c r="D38">
        <f>IF(AND($B$2=1,A38&gt;=Premissas!$E$23),Premissas!$E$22,0)</f>
        <v/>
      </c>
      <c r="E38">
        <f>B38*Premissas!$E$28</f>
        <v/>
      </c>
      <c r="F38">
        <f>B38*Premissas!$E$13/12*MIN(1,A38/Premissas!$E$17)</f>
        <v/>
      </c>
      <c r="G38">
        <f>F38*Premissas!$E$14</f>
        <v/>
      </c>
      <c r="H38">
        <f>IF(IF(A38-1-Premissas!$E$16&gt;=0,OFFSET($J$4,A38-1-Premissas!$E$16,0),0)&gt;0,ROUND(IF(A38-1-Premissas!$E$16&gt;=0,OFFSET($J$4,A38-1-Premissas!$E$16,0),0)*10000/Premissas!$E$5*Premissas!$E$15,0),0)</f>
        <v/>
      </c>
      <c r="I38">
        <f>ROUND(G38*Premissas!$E$6/10000,0)</f>
        <v/>
      </c>
      <c r="J38">
        <f>ROUND(G38*Premissas!$E$5/10000,0)</f>
        <v/>
      </c>
      <c r="K38">
        <f>IF(IF(A38-1-Premissas!$E$16&gt;=0,OFFSET($A$4,A38-1-Premissas!$E$16,0)&gt;=Premissas!$E$19,FALSE),ROUND(IF(A38-1-Premissas!$E$16&gt;=0,OFFSET($J$4,A38-1-Premissas!$E$16,0),0)*Premissas!$E$15,0),0)</f>
        <v/>
      </c>
      <c r="L38">
        <f>ROUND(C38*Premissas!$E$24/12,0)</f>
        <v/>
      </c>
      <c r="M38">
        <f>ROUND(D38*Premissas!$E$25,0)</f>
        <v/>
      </c>
      <c r="N38">
        <f>ROUND(E38*Premissas!$E$29+B38*Premissas!$E$30,0)</f>
        <v/>
      </c>
      <c r="O38">
        <f>K38+L38+M38+N38</f>
        <v/>
      </c>
      <c r="P38">
        <f>K38+ROUND(AC38*Premissas!$E$24,0)+M38+N38</f>
        <v/>
      </c>
      <c r="Q38">
        <f>ROUND(IF(A38-1-Premissas!$E$21&gt;=0,OFFSET($P$4,A38-1-Premissas!$E$21,0),0)*(1-Premissas!$E$20/100),0)</f>
        <v/>
      </c>
      <c r="R38">
        <f>ROUND(F38*Premissas!$E$11+N38*Premissas!$E$31/100,0)+ROUND((E38+B38)*Premissas!$E$10,0)+ROUND(Q38*Premissas!$E$8/100,0)+ROUND(Premissas!$E$35+(B38+C38)*Premissas!$E$36,0)</f>
        <v/>
      </c>
      <c r="S38">
        <f>O38-R38</f>
        <v/>
      </c>
      <c r="T38">
        <f>ROUND(O38*Premissas!$E$9/100,0)</f>
        <v/>
      </c>
      <c r="U38">
        <f>ROUND(AB38*Premissas!$E$33,0)</f>
        <v/>
      </c>
      <c r="V38">
        <f>Premissas!$E$37+ROUND(Premissas!$E$12*Premissas!$E$38+D38*Premissas!$E$27,0)</f>
        <v/>
      </c>
      <c r="W38">
        <f>Premissas!$E$39</f>
        <v/>
      </c>
      <c r="X38">
        <f>S38-T38-ROUND(Premissas!$E$12*Premissas!$E$38+D38*Premissas!$E$27,0)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Premissas!$E$32+(B38+C38)/Premissas!$E$34</f>
        <v/>
      </c>
      <c r="AC38">
        <f>D38+AC26*(1-Premissas!$E$26/12)^12</f>
        <v/>
      </c>
    </row>
    <row r="39">
      <c r="A39" t="n">
        <v>36</v>
      </c>
      <c r="B39">
        <f>B38*(1-Premissas!$E$18/12)+Premissas!$E$12</f>
        <v/>
      </c>
      <c r="C39">
        <f>IF($B$2=1,C38*(1-Premissas!$E$26/12)+D39,0)</f>
        <v/>
      </c>
      <c r="D39">
        <f>IF(AND($B$2=1,A39&gt;=Premissas!$E$23),Premissas!$E$22,0)</f>
        <v/>
      </c>
      <c r="E39">
        <f>B39*Premissas!$E$28</f>
        <v/>
      </c>
      <c r="F39">
        <f>B39*Premissas!$E$13/12*MIN(1,A39/Premissas!$E$17)</f>
        <v/>
      </c>
      <c r="G39">
        <f>F39*Premissas!$E$14</f>
        <v/>
      </c>
      <c r="H39">
        <f>IF(IF(A39-1-Premissas!$E$16&gt;=0,OFFSET($J$4,A39-1-Premissas!$E$16,0),0)&gt;0,ROUND(IF(A39-1-Premissas!$E$16&gt;=0,OFFSET($J$4,A39-1-Premissas!$E$16,0),0)*10000/Premissas!$E$5*Premissas!$E$15,0),0)</f>
        <v/>
      </c>
      <c r="I39">
        <f>ROUND(G39*Premissas!$E$6/10000,0)</f>
        <v/>
      </c>
      <c r="J39">
        <f>ROUND(G39*Premissas!$E$5/10000,0)</f>
        <v/>
      </c>
      <c r="K39">
        <f>IF(IF(A39-1-Premissas!$E$16&gt;=0,OFFSET($A$4,A39-1-Premissas!$E$16,0)&gt;=Premissas!$E$19,FALSE),ROUND(IF(A39-1-Premissas!$E$16&gt;=0,OFFSET($J$4,A39-1-Premissas!$E$16,0),0)*Premissas!$E$15,0),0)</f>
        <v/>
      </c>
      <c r="L39">
        <f>ROUND(C39*Premissas!$E$24/12,0)</f>
        <v/>
      </c>
      <c r="M39">
        <f>ROUND(D39*Premissas!$E$25,0)</f>
        <v/>
      </c>
      <c r="N39">
        <f>ROUND(E39*Premissas!$E$29+B39*Premissas!$E$30,0)</f>
        <v/>
      </c>
      <c r="O39">
        <f>K39+L39+M39+N39</f>
        <v/>
      </c>
      <c r="P39">
        <f>K39+ROUND(AC39*Premissas!$E$24,0)+M39+N39</f>
        <v/>
      </c>
      <c r="Q39">
        <f>ROUND(IF(A39-1-Premissas!$E$21&gt;=0,OFFSET($P$4,A39-1-Premissas!$E$21,0),0)*(1-Premissas!$E$20/100),0)</f>
        <v/>
      </c>
      <c r="R39">
        <f>ROUND(F39*Premissas!$E$11+N39*Premissas!$E$31/100,0)+ROUND((E39+B39)*Premissas!$E$10,0)+ROUND(Q39*Premissas!$E$8/100,0)+ROUND(Premissas!$E$35+(B39+C39)*Premissas!$E$36,0)</f>
        <v/>
      </c>
      <c r="S39">
        <f>O39-R39</f>
        <v/>
      </c>
      <c r="T39">
        <f>ROUND(O39*Premissas!$E$9/100,0)</f>
        <v/>
      </c>
      <c r="U39">
        <f>ROUND(AB39*Premissas!$E$33,0)</f>
        <v/>
      </c>
      <c r="V39">
        <f>Premissas!$E$37+ROUND(Premissas!$E$12*Premissas!$E$38+D39*Premissas!$E$27,0)</f>
        <v/>
      </c>
      <c r="W39">
        <f>Premissas!$E$39</f>
        <v/>
      </c>
      <c r="X39">
        <f>S39-T39-ROUND(Premissas!$E$12*Premissas!$E$38+D39*Premissas!$E$27,0)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Premissas!$E$32+(B39+C39)/Premissas!$E$34</f>
        <v/>
      </c>
      <c r="AC39">
        <f>D39+AC27*(1-Premissas!$E$26/12)^12</f>
        <v/>
      </c>
    </row>
    <row r="40">
      <c r="A40" t="n">
        <v>37</v>
      </c>
      <c r="B40">
        <f>B39*(1-Premissas!$E$18/12)+Premissas!$E$12</f>
        <v/>
      </c>
      <c r="C40">
        <f>IF($B$2=1,C39*(1-Premissas!$E$26/12)+D40,0)</f>
        <v/>
      </c>
      <c r="D40">
        <f>IF(AND($B$2=1,A40&gt;=Premissas!$E$23),Premissas!$E$22,0)</f>
        <v/>
      </c>
      <c r="E40">
        <f>B40*Premissas!$E$28</f>
        <v/>
      </c>
      <c r="F40">
        <f>B40*Premissas!$E$13/12*MIN(1,A40/Premissas!$E$17)</f>
        <v/>
      </c>
      <c r="G40">
        <f>F40*Premissas!$E$14</f>
        <v/>
      </c>
      <c r="H40">
        <f>IF(IF(A40-1-Premissas!$E$16&gt;=0,OFFSET($J$4,A40-1-Premissas!$E$16,0),0)&gt;0,ROUND(IF(A40-1-Premissas!$E$16&gt;=0,OFFSET($J$4,A40-1-Premissas!$E$16,0),0)*10000/Premissas!$E$5*Premissas!$E$15,0),0)</f>
        <v/>
      </c>
      <c r="I40">
        <f>ROUND(G40*Premissas!$E$6/10000,0)</f>
        <v/>
      </c>
      <c r="J40">
        <f>ROUND(G40*Premissas!$E$5/10000,0)</f>
        <v/>
      </c>
      <c r="K40">
        <f>IF(IF(A40-1-Premissas!$E$16&gt;=0,OFFSET($A$4,A40-1-Premissas!$E$16,0)&gt;=Premissas!$E$19,FALSE),ROUND(IF(A40-1-Premissas!$E$16&gt;=0,OFFSET($J$4,A40-1-Premissas!$E$16,0),0)*Premissas!$E$15,0),0)</f>
        <v/>
      </c>
      <c r="L40">
        <f>ROUND(C40*Premissas!$E$24/12,0)</f>
        <v/>
      </c>
      <c r="M40">
        <f>ROUND(D40*Premissas!$E$25,0)</f>
        <v/>
      </c>
      <c r="N40">
        <f>ROUND(E40*Premissas!$E$29+B40*Premissas!$E$30,0)</f>
        <v/>
      </c>
      <c r="O40">
        <f>K40+L40+M40+N40</f>
        <v/>
      </c>
      <c r="P40">
        <f>K40+ROUND(AC40*Premissas!$E$24,0)+M40+N40</f>
        <v/>
      </c>
      <c r="Q40">
        <f>ROUND(IF(A40-1-Premissas!$E$21&gt;=0,OFFSET($P$4,A40-1-Premissas!$E$21,0),0)*(1-Premissas!$E$20/100),0)</f>
        <v/>
      </c>
      <c r="R40">
        <f>ROUND(F40*Premissas!$E$11+N40*Premissas!$E$31/100,0)+ROUND((E40+B40)*Premissas!$E$10,0)+ROUND(Q40*Premissas!$E$8/100,0)+ROUND(Premissas!$E$35+(B40+C40)*Premissas!$E$36,0)</f>
        <v/>
      </c>
      <c r="S40">
        <f>O40-R40</f>
        <v/>
      </c>
      <c r="T40">
        <f>ROUND(O40*Premissas!$E$9/100,0)</f>
        <v/>
      </c>
      <c r="U40">
        <f>ROUND(AB40*Premissas!$E$33,0)</f>
        <v/>
      </c>
      <c r="V40">
        <f>Premissas!$E$37+ROUND(Premissas!$E$12*Premissas!$E$38+D40*Premissas!$E$27,0)</f>
        <v/>
      </c>
      <c r="W40">
        <f>Premissas!$E$39</f>
        <v/>
      </c>
      <c r="X40">
        <f>S40-T40-ROUND(Premissas!$E$12*Premissas!$E$38+D40*Premissas!$E$27,0)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Premissas!$E$32+(B40+C40)/Premissas!$E$34</f>
        <v/>
      </c>
      <c r="AC40">
        <f>D40+AC28*(1-Premissas!$E$26/12)^12</f>
        <v/>
      </c>
    </row>
    <row r="41">
      <c r="A41" t="n">
        <v>38</v>
      </c>
      <c r="B41">
        <f>B40*(1-Premissas!$E$18/12)+Premissas!$E$12</f>
        <v/>
      </c>
      <c r="C41">
        <f>IF($B$2=1,C40*(1-Premissas!$E$26/12)+D41,0)</f>
        <v/>
      </c>
      <c r="D41">
        <f>IF(AND($B$2=1,A41&gt;=Premissas!$E$23),Premissas!$E$22,0)</f>
        <v/>
      </c>
      <c r="E41">
        <f>B41*Premissas!$E$28</f>
        <v/>
      </c>
      <c r="F41">
        <f>B41*Premissas!$E$13/12*MIN(1,A41/Premissas!$E$17)</f>
        <v/>
      </c>
      <c r="G41">
        <f>F41*Premissas!$E$14</f>
        <v/>
      </c>
      <c r="H41">
        <f>IF(IF(A41-1-Premissas!$E$16&gt;=0,OFFSET($J$4,A41-1-Premissas!$E$16,0),0)&gt;0,ROUND(IF(A41-1-Premissas!$E$16&gt;=0,OFFSET($J$4,A41-1-Premissas!$E$16,0),0)*10000/Premissas!$E$5*Premissas!$E$15,0),0)</f>
        <v/>
      </c>
      <c r="I41">
        <f>ROUND(G41*Premissas!$E$6/10000,0)</f>
        <v/>
      </c>
      <c r="J41">
        <f>ROUND(G41*Premissas!$E$5/10000,0)</f>
        <v/>
      </c>
      <c r="K41">
        <f>IF(IF(A41-1-Premissas!$E$16&gt;=0,OFFSET($A$4,A41-1-Premissas!$E$16,0)&gt;=Premissas!$E$19,FALSE),ROUND(IF(A41-1-Premissas!$E$16&gt;=0,OFFSET($J$4,A41-1-Premissas!$E$16,0),0)*Premissas!$E$15,0),0)</f>
        <v/>
      </c>
      <c r="L41">
        <f>ROUND(C41*Premissas!$E$24/12,0)</f>
        <v/>
      </c>
      <c r="M41">
        <f>ROUND(D41*Premissas!$E$25,0)</f>
        <v/>
      </c>
      <c r="N41">
        <f>ROUND(E41*Premissas!$E$29+B41*Premissas!$E$30,0)</f>
        <v/>
      </c>
      <c r="O41">
        <f>K41+L41+M41+N41</f>
        <v/>
      </c>
      <c r="P41">
        <f>K41+ROUND(AC41*Premissas!$E$24,0)+M41+N41</f>
        <v/>
      </c>
      <c r="Q41">
        <f>ROUND(IF(A41-1-Premissas!$E$21&gt;=0,OFFSET($P$4,A41-1-Premissas!$E$21,0),0)*(1-Premissas!$E$20/100),0)</f>
        <v/>
      </c>
      <c r="R41">
        <f>ROUND(F41*Premissas!$E$11+N41*Premissas!$E$31/100,0)+ROUND((E41+B41)*Premissas!$E$10,0)+ROUND(Q41*Premissas!$E$8/100,0)+ROUND(Premissas!$E$35+(B41+C41)*Premissas!$E$36,0)</f>
        <v/>
      </c>
      <c r="S41">
        <f>O41-R41</f>
        <v/>
      </c>
      <c r="T41">
        <f>ROUND(O41*Premissas!$E$9/100,0)</f>
        <v/>
      </c>
      <c r="U41">
        <f>ROUND(AB41*Premissas!$E$33,0)</f>
        <v/>
      </c>
      <c r="V41">
        <f>Premissas!$E$37+ROUND(Premissas!$E$12*Premissas!$E$38+D41*Premissas!$E$27,0)</f>
        <v/>
      </c>
      <c r="W41">
        <f>Premissas!$E$39</f>
        <v/>
      </c>
      <c r="X41">
        <f>S41-T41-ROUND(Premissas!$E$12*Premissas!$E$38+D41*Premissas!$E$27,0)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Premissas!$E$32+(B41+C41)/Premissas!$E$34</f>
        <v/>
      </c>
      <c r="AC41">
        <f>D41+AC29*(1-Premissas!$E$26/12)^12</f>
        <v/>
      </c>
    </row>
    <row r="42">
      <c r="A42" t="n">
        <v>39</v>
      </c>
      <c r="B42">
        <f>B41*(1-Premissas!$E$18/12)+Premissas!$E$12</f>
        <v/>
      </c>
      <c r="C42">
        <f>IF($B$2=1,C41*(1-Premissas!$E$26/12)+D42,0)</f>
        <v/>
      </c>
      <c r="D42">
        <f>IF(AND($B$2=1,A42&gt;=Premissas!$E$23),Premissas!$E$22,0)</f>
        <v/>
      </c>
      <c r="E42">
        <f>B42*Premissas!$E$28</f>
        <v/>
      </c>
      <c r="F42">
        <f>B42*Premissas!$E$13/12*MIN(1,A42/Premissas!$E$17)</f>
        <v/>
      </c>
      <c r="G42">
        <f>F42*Premissas!$E$14</f>
        <v/>
      </c>
      <c r="H42">
        <f>IF(IF(A42-1-Premissas!$E$16&gt;=0,OFFSET($J$4,A42-1-Premissas!$E$16,0),0)&gt;0,ROUND(IF(A42-1-Premissas!$E$16&gt;=0,OFFSET($J$4,A42-1-Premissas!$E$16,0),0)*10000/Premissas!$E$5*Premissas!$E$15,0),0)</f>
        <v/>
      </c>
      <c r="I42">
        <f>ROUND(G42*Premissas!$E$6/10000,0)</f>
        <v/>
      </c>
      <c r="J42">
        <f>ROUND(G42*Premissas!$E$5/10000,0)</f>
        <v/>
      </c>
      <c r="K42">
        <f>IF(IF(A42-1-Premissas!$E$16&gt;=0,OFFSET($A$4,A42-1-Premissas!$E$16,0)&gt;=Premissas!$E$19,FALSE),ROUND(IF(A42-1-Premissas!$E$16&gt;=0,OFFSET($J$4,A42-1-Premissas!$E$16,0),0)*Premissas!$E$15,0),0)</f>
        <v/>
      </c>
      <c r="L42">
        <f>ROUND(C42*Premissas!$E$24/12,0)</f>
        <v/>
      </c>
      <c r="M42">
        <f>ROUND(D42*Premissas!$E$25,0)</f>
        <v/>
      </c>
      <c r="N42">
        <f>ROUND(E42*Premissas!$E$29+B42*Premissas!$E$30,0)</f>
        <v/>
      </c>
      <c r="O42">
        <f>K42+L42+M42+N42</f>
        <v/>
      </c>
      <c r="P42">
        <f>K42+ROUND(AC42*Premissas!$E$24,0)+M42+N42</f>
        <v/>
      </c>
      <c r="Q42">
        <f>ROUND(IF(A42-1-Premissas!$E$21&gt;=0,OFFSET($P$4,A42-1-Premissas!$E$21,0),0)*(1-Premissas!$E$20/100),0)</f>
        <v/>
      </c>
      <c r="R42">
        <f>ROUND(F42*Premissas!$E$11+N42*Premissas!$E$31/100,0)+ROUND((E42+B42)*Premissas!$E$10,0)+ROUND(Q42*Premissas!$E$8/100,0)+ROUND(Premissas!$E$35+(B42+C42)*Premissas!$E$36,0)</f>
        <v/>
      </c>
      <c r="S42">
        <f>O42-R42</f>
        <v/>
      </c>
      <c r="T42">
        <f>ROUND(O42*Premissas!$E$9/100,0)</f>
        <v/>
      </c>
      <c r="U42">
        <f>ROUND(AB42*Premissas!$E$33,0)</f>
        <v/>
      </c>
      <c r="V42">
        <f>Premissas!$E$37+ROUND(Premissas!$E$12*Premissas!$E$38+D42*Premissas!$E$27,0)</f>
        <v/>
      </c>
      <c r="W42">
        <f>Premissas!$E$39</f>
        <v/>
      </c>
      <c r="X42">
        <f>S42-T42-ROUND(Premissas!$E$12*Premissas!$E$38+D42*Premissas!$E$27,0)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Premissas!$E$32+(B42+C42)/Premissas!$E$34</f>
        <v/>
      </c>
      <c r="AC42">
        <f>D42+AC30*(1-Premissas!$E$26/12)^12</f>
        <v/>
      </c>
    </row>
    <row r="43">
      <c r="A43" t="n">
        <v>40</v>
      </c>
      <c r="B43">
        <f>B42*(1-Premissas!$E$18/12)+Premissas!$E$12</f>
        <v/>
      </c>
      <c r="C43">
        <f>IF($B$2=1,C42*(1-Premissas!$E$26/12)+D43,0)</f>
        <v/>
      </c>
      <c r="D43">
        <f>IF(AND($B$2=1,A43&gt;=Premissas!$E$23),Premissas!$E$22,0)</f>
        <v/>
      </c>
      <c r="E43">
        <f>B43*Premissas!$E$28</f>
        <v/>
      </c>
      <c r="F43">
        <f>B43*Premissas!$E$13/12*MIN(1,A43/Premissas!$E$17)</f>
        <v/>
      </c>
      <c r="G43">
        <f>F43*Premissas!$E$14</f>
        <v/>
      </c>
      <c r="H43">
        <f>IF(IF(A43-1-Premissas!$E$16&gt;=0,OFFSET($J$4,A43-1-Premissas!$E$16,0),0)&gt;0,ROUND(IF(A43-1-Premissas!$E$16&gt;=0,OFFSET($J$4,A43-1-Premissas!$E$16,0),0)*10000/Premissas!$E$5*Premissas!$E$15,0),0)</f>
        <v/>
      </c>
      <c r="I43">
        <f>ROUND(G43*Premissas!$E$6/10000,0)</f>
        <v/>
      </c>
      <c r="J43">
        <f>ROUND(G43*Premissas!$E$5/10000,0)</f>
        <v/>
      </c>
      <c r="K43">
        <f>IF(IF(A43-1-Premissas!$E$16&gt;=0,OFFSET($A$4,A43-1-Premissas!$E$16,0)&gt;=Premissas!$E$19,FALSE),ROUND(IF(A43-1-Premissas!$E$16&gt;=0,OFFSET($J$4,A43-1-Premissas!$E$16,0),0)*Premissas!$E$15,0),0)</f>
        <v/>
      </c>
      <c r="L43">
        <f>ROUND(C43*Premissas!$E$24/12,0)</f>
        <v/>
      </c>
      <c r="M43">
        <f>ROUND(D43*Premissas!$E$25,0)</f>
        <v/>
      </c>
      <c r="N43">
        <f>ROUND(E43*Premissas!$E$29+B43*Premissas!$E$30,0)</f>
        <v/>
      </c>
      <c r="O43">
        <f>K43+L43+M43+N43</f>
        <v/>
      </c>
      <c r="P43">
        <f>K43+ROUND(AC43*Premissas!$E$24,0)+M43+N43</f>
        <v/>
      </c>
      <c r="Q43">
        <f>ROUND(IF(A43-1-Premissas!$E$21&gt;=0,OFFSET($P$4,A43-1-Premissas!$E$21,0),0)*(1-Premissas!$E$20/100),0)</f>
        <v/>
      </c>
      <c r="R43">
        <f>ROUND(F43*Premissas!$E$11+N43*Premissas!$E$31/100,0)+ROUND((E43+B43)*Premissas!$E$10,0)+ROUND(Q43*Premissas!$E$8/100,0)+ROUND(Premissas!$E$35+(B43+C43)*Premissas!$E$36,0)</f>
        <v/>
      </c>
      <c r="S43">
        <f>O43-R43</f>
        <v/>
      </c>
      <c r="T43">
        <f>ROUND(O43*Premissas!$E$9/100,0)</f>
        <v/>
      </c>
      <c r="U43">
        <f>ROUND(AB43*Premissas!$E$33,0)</f>
        <v/>
      </c>
      <c r="V43">
        <f>Premissas!$E$37+ROUND(Premissas!$E$12*Premissas!$E$38+D43*Premissas!$E$27,0)</f>
        <v/>
      </c>
      <c r="W43">
        <f>Premissas!$E$39</f>
        <v/>
      </c>
      <c r="X43">
        <f>S43-T43-ROUND(Premissas!$E$12*Premissas!$E$38+D43*Premissas!$E$27,0)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Premissas!$E$32+(B43+C43)/Premissas!$E$34</f>
        <v/>
      </c>
      <c r="AC43">
        <f>D43+AC31*(1-Premissas!$E$26/12)^12</f>
        <v/>
      </c>
    </row>
    <row r="44">
      <c r="A44" t="n">
        <v>41</v>
      </c>
      <c r="B44">
        <f>B43*(1-Premissas!$E$18/12)+Premissas!$E$12</f>
        <v/>
      </c>
      <c r="C44">
        <f>IF($B$2=1,C43*(1-Premissas!$E$26/12)+D44,0)</f>
        <v/>
      </c>
      <c r="D44">
        <f>IF(AND($B$2=1,A44&gt;=Premissas!$E$23),Premissas!$E$22,0)</f>
        <v/>
      </c>
      <c r="E44">
        <f>B44*Premissas!$E$28</f>
        <v/>
      </c>
      <c r="F44">
        <f>B44*Premissas!$E$13/12*MIN(1,A44/Premissas!$E$17)</f>
        <v/>
      </c>
      <c r="G44">
        <f>F44*Premissas!$E$14</f>
        <v/>
      </c>
      <c r="H44">
        <f>IF(IF(A44-1-Premissas!$E$16&gt;=0,OFFSET($J$4,A44-1-Premissas!$E$16,0),0)&gt;0,ROUND(IF(A44-1-Premissas!$E$16&gt;=0,OFFSET($J$4,A44-1-Premissas!$E$16,0),0)*10000/Premissas!$E$5*Premissas!$E$15,0),0)</f>
        <v/>
      </c>
      <c r="I44">
        <f>ROUND(G44*Premissas!$E$6/10000,0)</f>
        <v/>
      </c>
      <c r="J44">
        <f>ROUND(G44*Premissas!$E$5/10000,0)</f>
        <v/>
      </c>
      <c r="K44">
        <f>IF(IF(A44-1-Premissas!$E$16&gt;=0,OFFSET($A$4,A44-1-Premissas!$E$16,0)&gt;=Premissas!$E$19,FALSE),ROUND(IF(A44-1-Premissas!$E$16&gt;=0,OFFSET($J$4,A44-1-Premissas!$E$16,0),0)*Premissas!$E$15,0),0)</f>
        <v/>
      </c>
      <c r="L44">
        <f>ROUND(C44*Premissas!$E$24/12,0)</f>
        <v/>
      </c>
      <c r="M44">
        <f>ROUND(D44*Premissas!$E$25,0)</f>
        <v/>
      </c>
      <c r="N44">
        <f>ROUND(E44*Premissas!$E$29+B44*Premissas!$E$30,0)</f>
        <v/>
      </c>
      <c r="O44">
        <f>K44+L44+M44+N44</f>
        <v/>
      </c>
      <c r="P44">
        <f>K44+ROUND(AC44*Premissas!$E$24,0)+M44+N44</f>
        <v/>
      </c>
      <c r="Q44">
        <f>ROUND(IF(A44-1-Premissas!$E$21&gt;=0,OFFSET($P$4,A44-1-Premissas!$E$21,0),0)*(1-Premissas!$E$20/100),0)</f>
        <v/>
      </c>
      <c r="R44">
        <f>ROUND(F44*Premissas!$E$11+N44*Premissas!$E$31/100,0)+ROUND((E44+B44)*Premissas!$E$10,0)+ROUND(Q44*Premissas!$E$8/100,0)+ROUND(Premissas!$E$35+(B44+C44)*Premissas!$E$36,0)</f>
        <v/>
      </c>
      <c r="S44">
        <f>O44-R44</f>
        <v/>
      </c>
      <c r="T44">
        <f>ROUND(O44*Premissas!$E$9/100,0)</f>
        <v/>
      </c>
      <c r="U44">
        <f>ROUND(AB44*Premissas!$E$33,0)</f>
        <v/>
      </c>
      <c r="V44">
        <f>Premissas!$E$37+ROUND(Premissas!$E$12*Premissas!$E$38+D44*Premissas!$E$27,0)</f>
        <v/>
      </c>
      <c r="W44">
        <f>Premissas!$E$39</f>
        <v/>
      </c>
      <c r="X44">
        <f>S44-T44-ROUND(Premissas!$E$12*Premissas!$E$38+D44*Premissas!$E$27,0)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Premissas!$E$32+(B44+C44)/Premissas!$E$34</f>
        <v/>
      </c>
      <c r="AC44">
        <f>D44+AC32*(1-Premissas!$E$26/12)^12</f>
        <v/>
      </c>
    </row>
    <row r="45">
      <c r="A45" t="n">
        <v>42</v>
      </c>
      <c r="B45">
        <f>B44*(1-Premissas!$E$18/12)+Premissas!$E$12</f>
        <v/>
      </c>
      <c r="C45">
        <f>IF($B$2=1,C44*(1-Premissas!$E$26/12)+D45,0)</f>
        <v/>
      </c>
      <c r="D45">
        <f>IF(AND($B$2=1,A45&gt;=Premissas!$E$23),Premissas!$E$22,0)</f>
        <v/>
      </c>
      <c r="E45">
        <f>B45*Premissas!$E$28</f>
        <v/>
      </c>
      <c r="F45">
        <f>B45*Premissas!$E$13/12*MIN(1,A45/Premissas!$E$17)</f>
        <v/>
      </c>
      <c r="G45">
        <f>F45*Premissas!$E$14</f>
        <v/>
      </c>
      <c r="H45">
        <f>IF(IF(A45-1-Premissas!$E$16&gt;=0,OFFSET($J$4,A45-1-Premissas!$E$16,0),0)&gt;0,ROUND(IF(A45-1-Premissas!$E$16&gt;=0,OFFSET($J$4,A45-1-Premissas!$E$16,0),0)*10000/Premissas!$E$5*Premissas!$E$15,0),0)</f>
        <v/>
      </c>
      <c r="I45">
        <f>ROUND(G45*Premissas!$E$6/10000,0)</f>
        <v/>
      </c>
      <c r="J45">
        <f>ROUND(G45*Premissas!$E$5/10000,0)</f>
        <v/>
      </c>
      <c r="K45">
        <f>IF(IF(A45-1-Premissas!$E$16&gt;=0,OFFSET($A$4,A45-1-Premissas!$E$16,0)&gt;=Premissas!$E$19,FALSE),ROUND(IF(A45-1-Premissas!$E$16&gt;=0,OFFSET($J$4,A45-1-Premissas!$E$16,0),0)*Premissas!$E$15,0),0)</f>
        <v/>
      </c>
      <c r="L45">
        <f>ROUND(C45*Premissas!$E$24/12,0)</f>
        <v/>
      </c>
      <c r="M45">
        <f>ROUND(D45*Premissas!$E$25,0)</f>
        <v/>
      </c>
      <c r="N45">
        <f>ROUND(E45*Premissas!$E$29+B45*Premissas!$E$30,0)</f>
        <v/>
      </c>
      <c r="O45">
        <f>K45+L45+M45+N45</f>
        <v/>
      </c>
      <c r="P45">
        <f>K45+ROUND(AC45*Premissas!$E$24,0)+M45+N45</f>
        <v/>
      </c>
      <c r="Q45">
        <f>ROUND(IF(A45-1-Premissas!$E$21&gt;=0,OFFSET($P$4,A45-1-Premissas!$E$21,0),0)*(1-Premissas!$E$20/100),0)</f>
        <v/>
      </c>
      <c r="R45">
        <f>ROUND(F45*Premissas!$E$11+N45*Premissas!$E$31/100,0)+ROUND((E45+B45)*Premissas!$E$10,0)+ROUND(Q45*Premissas!$E$8/100,0)+ROUND(Premissas!$E$35+(B45+C45)*Premissas!$E$36,0)</f>
        <v/>
      </c>
      <c r="S45">
        <f>O45-R45</f>
        <v/>
      </c>
      <c r="T45">
        <f>ROUND(O45*Premissas!$E$9/100,0)</f>
        <v/>
      </c>
      <c r="U45">
        <f>ROUND(AB45*Premissas!$E$33,0)</f>
        <v/>
      </c>
      <c r="V45">
        <f>Premissas!$E$37+ROUND(Premissas!$E$12*Premissas!$E$38+D45*Premissas!$E$27,0)</f>
        <v/>
      </c>
      <c r="W45">
        <f>Premissas!$E$39</f>
        <v/>
      </c>
      <c r="X45">
        <f>S45-T45-ROUND(Premissas!$E$12*Premissas!$E$38+D45*Premissas!$E$27,0)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Premissas!$E$32+(B45+C45)/Premissas!$E$34</f>
        <v/>
      </c>
      <c r="AC45">
        <f>D45+AC33*(1-Premissas!$E$26/12)^12</f>
        <v/>
      </c>
    </row>
    <row r="46">
      <c r="A46" t="n">
        <v>43</v>
      </c>
      <c r="B46">
        <f>B45*(1-Premissas!$E$18/12)+Premissas!$E$12</f>
        <v/>
      </c>
      <c r="C46">
        <f>IF($B$2=1,C45*(1-Premissas!$E$26/12)+D46,0)</f>
        <v/>
      </c>
      <c r="D46">
        <f>IF(AND($B$2=1,A46&gt;=Premissas!$E$23),Premissas!$E$22,0)</f>
        <v/>
      </c>
      <c r="E46">
        <f>B46*Premissas!$E$28</f>
        <v/>
      </c>
      <c r="F46">
        <f>B46*Premissas!$E$13/12*MIN(1,A46/Premissas!$E$17)</f>
        <v/>
      </c>
      <c r="G46">
        <f>F46*Premissas!$E$14</f>
        <v/>
      </c>
      <c r="H46">
        <f>IF(IF(A46-1-Premissas!$E$16&gt;=0,OFFSET($J$4,A46-1-Premissas!$E$16,0),0)&gt;0,ROUND(IF(A46-1-Premissas!$E$16&gt;=0,OFFSET($J$4,A46-1-Premissas!$E$16,0),0)*10000/Premissas!$E$5*Premissas!$E$15,0),0)</f>
        <v/>
      </c>
      <c r="I46">
        <f>ROUND(G46*Premissas!$E$6/10000,0)</f>
        <v/>
      </c>
      <c r="J46">
        <f>ROUND(G46*Premissas!$E$5/10000,0)</f>
        <v/>
      </c>
      <c r="K46">
        <f>IF(IF(A46-1-Premissas!$E$16&gt;=0,OFFSET($A$4,A46-1-Premissas!$E$16,0)&gt;=Premissas!$E$19,FALSE),ROUND(IF(A46-1-Premissas!$E$16&gt;=0,OFFSET($J$4,A46-1-Premissas!$E$16,0),0)*Premissas!$E$15,0),0)</f>
        <v/>
      </c>
      <c r="L46">
        <f>ROUND(C46*Premissas!$E$24/12,0)</f>
        <v/>
      </c>
      <c r="M46">
        <f>ROUND(D46*Premissas!$E$25,0)</f>
        <v/>
      </c>
      <c r="N46">
        <f>ROUND(E46*Premissas!$E$29+B46*Premissas!$E$30,0)</f>
        <v/>
      </c>
      <c r="O46">
        <f>K46+L46+M46+N46</f>
        <v/>
      </c>
      <c r="P46">
        <f>K46+ROUND(AC46*Premissas!$E$24,0)+M46+N46</f>
        <v/>
      </c>
      <c r="Q46">
        <f>ROUND(IF(A46-1-Premissas!$E$21&gt;=0,OFFSET($P$4,A46-1-Premissas!$E$21,0),0)*(1-Premissas!$E$20/100),0)</f>
        <v/>
      </c>
      <c r="R46">
        <f>ROUND(F46*Premissas!$E$11+N46*Premissas!$E$31/100,0)+ROUND((E46+B46)*Premissas!$E$10,0)+ROUND(Q46*Premissas!$E$8/100,0)+ROUND(Premissas!$E$35+(B46+C46)*Premissas!$E$36,0)</f>
        <v/>
      </c>
      <c r="S46">
        <f>O46-R46</f>
        <v/>
      </c>
      <c r="T46">
        <f>ROUND(O46*Premissas!$E$9/100,0)</f>
        <v/>
      </c>
      <c r="U46">
        <f>ROUND(AB46*Premissas!$E$33,0)</f>
        <v/>
      </c>
      <c r="V46">
        <f>Premissas!$E$37+ROUND(Premissas!$E$12*Premissas!$E$38+D46*Premissas!$E$27,0)</f>
        <v/>
      </c>
      <c r="W46">
        <f>Premissas!$E$39</f>
        <v/>
      </c>
      <c r="X46">
        <f>S46-T46-ROUND(Premissas!$E$12*Premissas!$E$38+D46*Premissas!$E$27,0)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Premissas!$E$32+(B46+C46)/Premissas!$E$34</f>
        <v/>
      </c>
      <c r="AC46">
        <f>D46+AC34*(1-Premissas!$E$26/12)^12</f>
        <v/>
      </c>
    </row>
    <row r="47">
      <c r="A47" t="n">
        <v>44</v>
      </c>
      <c r="B47">
        <f>B46*(1-Premissas!$E$18/12)+Premissas!$E$12</f>
        <v/>
      </c>
      <c r="C47">
        <f>IF($B$2=1,C46*(1-Premissas!$E$26/12)+D47,0)</f>
        <v/>
      </c>
      <c r="D47">
        <f>IF(AND($B$2=1,A47&gt;=Premissas!$E$23),Premissas!$E$22,0)</f>
        <v/>
      </c>
      <c r="E47">
        <f>B47*Premissas!$E$28</f>
        <v/>
      </c>
      <c r="F47">
        <f>B47*Premissas!$E$13/12*MIN(1,A47/Premissas!$E$17)</f>
        <v/>
      </c>
      <c r="G47">
        <f>F47*Premissas!$E$14</f>
        <v/>
      </c>
      <c r="H47">
        <f>IF(IF(A47-1-Premissas!$E$16&gt;=0,OFFSET($J$4,A47-1-Premissas!$E$16,0),0)&gt;0,ROUND(IF(A47-1-Premissas!$E$16&gt;=0,OFFSET($J$4,A47-1-Premissas!$E$16,0),0)*10000/Premissas!$E$5*Premissas!$E$15,0),0)</f>
        <v/>
      </c>
      <c r="I47">
        <f>ROUND(G47*Premissas!$E$6/10000,0)</f>
        <v/>
      </c>
      <c r="J47">
        <f>ROUND(G47*Premissas!$E$5/10000,0)</f>
        <v/>
      </c>
      <c r="K47">
        <f>IF(IF(A47-1-Premissas!$E$16&gt;=0,OFFSET($A$4,A47-1-Premissas!$E$16,0)&gt;=Premissas!$E$19,FALSE),ROUND(IF(A47-1-Premissas!$E$16&gt;=0,OFFSET($J$4,A47-1-Premissas!$E$16,0),0)*Premissas!$E$15,0),0)</f>
        <v/>
      </c>
      <c r="L47">
        <f>ROUND(C47*Premissas!$E$24/12,0)</f>
        <v/>
      </c>
      <c r="M47">
        <f>ROUND(D47*Premissas!$E$25,0)</f>
        <v/>
      </c>
      <c r="N47">
        <f>ROUND(E47*Premissas!$E$29+B47*Premissas!$E$30,0)</f>
        <v/>
      </c>
      <c r="O47">
        <f>K47+L47+M47+N47</f>
        <v/>
      </c>
      <c r="P47">
        <f>K47+ROUND(AC47*Premissas!$E$24,0)+M47+N47</f>
        <v/>
      </c>
      <c r="Q47">
        <f>ROUND(IF(A47-1-Premissas!$E$21&gt;=0,OFFSET($P$4,A47-1-Premissas!$E$21,0),0)*(1-Premissas!$E$20/100),0)</f>
        <v/>
      </c>
      <c r="R47">
        <f>ROUND(F47*Premissas!$E$11+N47*Premissas!$E$31/100,0)+ROUND((E47+B47)*Premissas!$E$10,0)+ROUND(Q47*Premissas!$E$8/100,0)+ROUND(Premissas!$E$35+(B47+C47)*Premissas!$E$36,0)</f>
        <v/>
      </c>
      <c r="S47">
        <f>O47-R47</f>
        <v/>
      </c>
      <c r="T47">
        <f>ROUND(O47*Premissas!$E$9/100,0)</f>
        <v/>
      </c>
      <c r="U47">
        <f>ROUND(AB47*Premissas!$E$33,0)</f>
        <v/>
      </c>
      <c r="V47">
        <f>Premissas!$E$37+ROUND(Premissas!$E$12*Premissas!$E$38+D47*Premissas!$E$27,0)</f>
        <v/>
      </c>
      <c r="W47">
        <f>Premissas!$E$39</f>
        <v/>
      </c>
      <c r="X47">
        <f>S47-T47-ROUND(Premissas!$E$12*Premissas!$E$38+D47*Premissas!$E$27,0)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Premissas!$E$32+(B47+C47)/Premissas!$E$34</f>
        <v/>
      </c>
      <c r="AC47">
        <f>D47+AC35*(1-Premissas!$E$26/12)^12</f>
        <v/>
      </c>
    </row>
    <row r="48">
      <c r="A48" t="n">
        <v>45</v>
      </c>
      <c r="B48">
        <f>B47*(1-Premissas!$E$18/12)+Premissas!$E$12</f>
        <v/>
      </c>
      <c r="C48">
        <f>IF($B$2=1,C47*(1-Premissas!$E$26/12)+D48,0)</f>
        <v/>
      </c>
      <c r="D48">
        <f>IF(AND($B$2=1,A48&gt;=Premissas!$E$23),Premissas!$E$22,0)</f>
        <v/>
      </c>
      <c r="E48">
        <f>B48*Premissas!$E$28</f>
        <v/>
      </c>
      <c r="F48">
        <f>B48*Premissas!$E$13/12*MIN(1,A48/Premissas!$E$17)</f>
        <v/>
      </c>
      <c r="G48">
        <f>F48*Premissas!$E$14</f>
        <v/>
      </c>
      <c r="H48">
        <f>IF(IF(A48-1-Premissas!$E$16&gt;=0,OFFSET($J$4,A48-1-Premissas!$E$16,0),0)&gt;0,ROUND(IF(A48-1-Premissas!$E$16&gt;=0,OFFSET($J$4,A48-1-Premissas!$E$16,0),0)*10000/Premissas!$E$5*Premissas!$E$15,0),0)</f>
        <v/>
      </c>
      <c r="I48">
        <f>ROUND(G48*Premissas!$E$6/10000,0)</f>
        <v/>
      </c>
      <c r="J48">
        <f>ROUND(G48*Premissas!$E$5/10000,0)</f>
        <v/>
      </c>
      <c r="K48">
        <f>IF(IF(A48-1-Premissas!$E$16&gt;=0,OFFSET($A$4,A48-1-Premissas!$E$16,0)&gt;=Premissas!$E$19,FALSE),ROUND(IF(A48-1-Premissas!$E$16&gt;=0,OFFSET($J$4,A48-1-Premissas!$E$16,0),0)*Premissas!$E$15,0),0)</f>
        <v/>
      </c>
      <c r="L48">
        <f>ROUND(C48*Premissas!$E$24/12,0)</f>
        <v/>
      </c>
      <c r="M48">
        <f>ROUND(D48*Premissas!$E$25,0)</f>
        <v/>
      </c>
      <c r="N48">
        <f>ROUND(E48*Premissas!$E$29+B48*Premissas!$E$30,0)</f>
        <v/>
      </c>
      <c r="O48">
        <f>K48+L48+M48+N48</f>
        <v/>
      </c>
      <c r="P48">
        <f>K48+ROUND(AC48*Premissas!$E$24,0)+M48+N48</f>
        <v/>
      </c>
      <c r="Q48">
        <f>ROUND(IF(A48-1-Premissas!$E$21&gt;=0,OFFSET($P$4,A48-1-Premissas!$E$21,0),0)*(1-Premissas!$E$20/100),0)</f>
        <v/>
      </c>
      <c r="R48">
        <f>ROUND(F48*Premissas!$E$11+N48*Premissas!$E$31/100,0)+ROUND((E48+B48)*Premissas!$E$10,0)+ROUND(Q48*Premissas!$E$8/100,0)+ROUND(Premissas!$E$35+(B48+C48)*Premissas!$E$36,0)</f>
        <v/>
      </c>
      <c r="S48">
        <f>O48-R48</f>
        <v/>
      </c>
      <c r="T48">
        <f>ROUND(O48*Premissas!$E$9/100,0)</f>
        <v/>
      </c>
      <c r="U48">
        <f>ROUND(AB48*Premissas!$E$33,0)</f>
        <v/>
      </c>
      <c r="V48">
        <f>Premissas!$E$37+ROUND(Premissas!$E$12*Premissas!$E$38+D48*Premissas!$E$27,0)</f>
        <v/>
      </c>
      <c r="W48">
        <f>Premissas!$E$39</f>
        <v/>
      </c>
      <c r="X48">
        <f>S48-T48-ROUND(Premissas!$E$12*Premissas!$E$38+D48*Premissas!$E$27,0)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Premissas!$E$32+(B48+C48)/Premissas!$E$34</f>
        <v/>
      </c>
      <c r="AC48">
        <f>D48+AC36*(1-Premissas!$E$26/12)^12</f>
        <v/>
      </c>
    </row>
    <row r="49">
      <c r="A49" t="n">
        <v>46</v>
      </c>
      <c r="B49">
        <f>B48*(1-Premissas!$E$18/12)+Premissas!$E$12</f>
        <v/>
      </c>
      <c r="C49">
        <f>IF($B$2=1,C48*(1-Premissas!$E$26/12)+D49,0)</f>
        <v/>
      </c>
      <c r="D49">
        <f>IF(AND($B$2=1,A49&gt;=Premissas!$E$23),Premissas!$E$22,0)</f>
        <v/>
      </c>
      <c r="E49">
        <f>B49*Premissas!$E$28</f>
        <v/>
      </c>
      <c r="F49">
        <f>B49*Premissas!$E$13/12*MIN(1,A49/Premissas!$E$17)</f>
        <v/>
      </c>
      <c r="G49">
        <f>F49*Premissas!$E$14</f>
        <v/>
      </c>
      <c r="H49">
        <f>IF(IF(A49-1-Premissas!$E$16&gt;=0,OFFSET($J$4,A49-1-Premissas!$E$16,0),0)&gt;0,ROUND(IF(A49-1-Premissas!$E$16&gt;=0,OFFSET($J$4,A49-1-Premissas!$E$16,0),0)*10000/Premissas!$E$5*Premissas!$E$15,0),0)</f>
        <v/>
      </c>
      <c r="I49">
        <f>ROUND(G49*Premissas!$E$6/10000,0)</f>
        <v/>
      </c>
      <c r="J49">
        <f>ROUND(G49*Premissas!$E$5/10000,0)</f>
        <v/>
      </c>
      <c r="K49">
        <f>IF(IF(A49-1-Premissas!$E$16&gt;=0,OFFSET($A$4,A49-1-Premissas!$E$16,0)&gt;=Premissas!$E$19,FALSE),ROUND(IF(A49-1-Premissas!$E$16&gt;=0,OFFSET($J$4,A49-1-Premissas!$E$16,0),0)*Premissas!$E$15,0),0)</f>
        <v/>
      </c>
      <c r="L49">
        <f>ROUND(C49*Premissas!$E$24/12,0)</f>
        <v/>
      </c>
      <c r="M49">
        <f>ROUND(D49*Premissas!$E$25,0)</f>
        <v/>
      </c>
      <c r="N49">
        <f>ROUND(E49*Premissas!$E$29+B49*Premissas!$E$30,0)</f>
        <v/>
      </c>
      <c r="O49">
        <f>K49+L49+M49+N49</f>
        <v/>
      </c>
      <c r="P49">
        <f>K49+ROUND(AC49*Premissas!$E$24,0)+M49+N49</f>
        <v/>
      </c>
      <c r="Q49">
        <f>ROUND(IF(A49-1-Premissas!$E$21&gt;=0,OFFSET($P$4,A49-1-Premissas!$E$21,0),0)*(1-Premissas!$E$20/100),0)</f>
        <v/>
      </c>
      <c r="R49">
        <f>ROUND(F49*Premissas!$E$11+N49*Premissas!$E$31/100,0)+ROUND((E49+B49)*Premissas!$E$10,0)+ROUND(Q49*Premissas!$E$8/100,0)+ROUND(Premissas!$E$35+(B49+C49)*Premissas!$E$36,0)</f>
        <v/>
      </c>
      <c r="S49">
        <f>O49-R49</f>
        <v/>
      </c>
      <c r="T49">
        <f>ROUND(O49*Premissas!$E$9/100,0)</f>
        <v/>
      </c>
      <c r="U49">
        <f>ROUND(AB49*Premissas!$E$33,0)</f>
        <v/>
      </c>
      <c r="V49">
        <f>Premissas!$E$37+ROUND(Premissas!$E$12*Premissas!$E$38+D49*Premissas!$E$27,0)</f>
        <v/>
      </c>
      <c r="W49">
        <f>Premissas!$E$39</f>
        <v/>
      </c>
      <c r="X49">
        <f>S49-T49-ROUND(Premissas!$E$12*Premissas!$E$38+D49*Premissas!$E$27,0)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Premissas!$E$32+(B49+C49)/Premissas!$E$34</f>
        <v/>
      </c>
      <c r="AC49">
        <f>D49+AC37*(1-Premissas!$E$26/12)^12</f>
        <v/>
      </c>
    </row>
    <row r="50">
      <c r="A50" t="n">
        <v>47</v>
      </c>
      <c r="B50">
        <f>B49*(1-Premissas!$E$18/12)+Premissas!$E$12</f>
        <v/>
      </c>
      <c r="C50">
        <f>IF($B$2=1,C49*(1-Premissas!$E$26/12)+D50,0)</f>
        <v/>
      </c>
      <c r="D50">
        <f>IF(AND($B$2=1,A50&gt;=Premissas!$E$23),Premissas!$E$22,0)</f>
        <v/>
      </c>
      <c r="E50">
        <f>B50*Premissas!$E$28</f>
        <v/>
      </c>
      <c r="F50">
        <f>B50*Premissas!$E$13/12*MIN(1,A50/Premissas!$E$17)</f>
        <v/>
      </c>
      <c r="G50">
        <f>F50*Premissas!$E$14</f>
        <v/>
      </c>
      <c r="H50">
        <f>IF(IF(A50-1-Premissas!$E$16&gt;=0,OFFSET($J$4,A50-1-Premissas!$E$16,0),0)&gt;0,ROUND(IF(A50-1-Premissas!$E$16&gt;=0,OFFSET($J$4,A50-1-Premissas!$E$16,0),0)*10000/Premissas!$E$5*Premissas!$E$15,0),0)</f>
        <v/>
      </c>
      <c r="I50">
        <f>ROUND(G50*Premissas!$E$6/10000,0)</f>
        <v/>
      </c>
      <c r="J50">
        <f>ROUND(G50*Premissas!$E$5/10000,0)</f>
        <v/>
      </c>
      <c r="K50">
        <f>IF(IF(A50-1-Premissas!$E$16&gt;=0,OFFSET($A$4,A50-1-Premissas!$E$16,0)&gt;=Premissas!$E$19,FALSE),ROUND(IF(A50-1-Premissas!$E$16&gt;=0,OFFSET($J$4,A50-1-Premissas!$E$16,0),0)*Premissas!$E$15,0),0)</f>
        <v/>
      </c>
      <c r="L50">
        <f>ROUND(C50*Premissas!$E$24/12,0)</f>
        <v/>
      </c>
      <c r="M50">
        <f>ROUND(D50*Premissas!$E$25,0)</f>
        <v/>
      </c>
      <c r="N50">
        <f>ROUND(E50*Premissas!$E$29+B50*Premissas!$E$30,0)</f>
        <v/>
      </c>
      <c r="O50">
        <f>K50+L50+M50+N50</f>
        <v/>
      </c>
      <c r="P50">
        <f>K50+ROUND(AC50*Premissas!$E$24,0)+M50+N50</f>
        <v/>
      </c>
      <c r="Q50">
        <f>ROUND(IF(A50-1-Premissas!$E$21&gt;=0,OFFSET($P$4,A50-1-Premissas!$E$21,0),0)*(1-Premissas!$E$20/100),0)</f>
        <v/>
      </c>
      <c r="R50">
        <f>ROUND(F50*Premissas!$E$11+N50*Premissas!$E$31/100,0)+ROUND((E50+B50)*Premissas!$E$10,0)+ROUND(Q50*Premissas!$E$8/100,0)+ROUND(Premissas!$E$35+(B50+C50)*Premissas!$E$36,0)</f>
        <v/>
      </c>
      <c r="S50">
        <f>O50-R50</f>
        <v/>
      </c>
      <c r="T50">
        <f>ROUND(O50*Premissas!$E$9/100,0)</f>
        <v/>
      </c>
      <c r="U50">
        <f>ROUND(AB50*Premissas!$E$33,0)</f>
        <v/>
      </c>
      <c r="V50">
        <f>Premissas!$E$37+ROUND(Premissas!$E$12*Premissas!$E$38+D50*Premissas!$E$27,0)</f>
        <v/>
      </c>
      <c r="W50">
        <f>Premissas!$E$39</f>
        <v/>
      </c>
      <c r="X50">
        <f>S50-T50-ROUND(Premissas!$E$12*Premissas!$E$38+D50*Premissas!$E$27,0)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Premissas!$E$32+(B50+C50)/Premissas!$E$34</f>
        <v/>
      </c>
      <c r="AC50">
        <f>D50+AC38*(1-Premissas!$E$26/12)^12</f>
        <v/>
      </c>
    </row>
    <row r="51">
      <c r="A51" t="n">
        <v>48</v>
      </c>
      <c r="B51">
        <f>B50*(1-Premissas!$E$18/12)+Premissas!$E$12</f>
        <v/>
      </c>
      <c r="C51">
        <f>IF($B$2=1,C50*(1-Premissas!$E$26/12)+D51,0)</f>
        <v/>
      </c>
      <c r="D51">
        <f>IF(AND($B$2=1,A51&gt;=Premissas!$E$23),Premissas!$E$22,0)</f>
        <v/>
      </c>
      <c r="E51">
        <f>B51*Premissas!$E$28</f>
        <v/>
      </c>
      <c r="F51">
        <f>B51*Premissas!$E$13/12*MIN(1,A51/Premissas!$E$17)</f>
        <v/>
      </c>
      <c r="G51">
        <f>F51*Premissas!$E$14</f>
        <v/>
      </c>
      <c r="H51">
        <f>IF(IF(A51-1-Premissas!$E$16&gt;=0,OFFSET($J$4,A51-1-Premissas!$E$16,0),0)&gt;0,ROUND(IF(A51-1-Premissas!$E$16&gt;=0,OFFSET($J$4,A51-1-Premissas!$E$16,0),0)*10000/Premissas!$E$5*Premissas!$E$15,0),0)</f>
        <v/>
      </c>
      <c r="I51">
        <f>ROUND(G51*Premissas!$E$6/10000,0)</f>
        <v/>
      </c>
      <c r="J51">
        <f>ROUND(G51*Premissas!$E$5/10000,0)</f>
        <v/>
      </c>
      <c r="K51">
        <f>IF(IF(A51-1-Premissas!$E$16&gt;=0,OFFSET($A$4,A51-1-Premissas!$E$16,0)&gt;=Premissas!$E$19,FALSE),ROUND(IF(A51-1-Premissas!$E$16&gt;=0,OFFSET($J$4,A51-1-Premissas!$E$16,0),0)*Premissas!$E$15,0),0)</f>
        <v/>
      </c>
      <c r="L51">
        <f>ROUND(C51*Premissas!$E$24/12,0)</f>
        <v/>
      </c>
      <c r="M51">
        <f>ROUND(D51*Premissas!$E$25,0)</f>
        <v/>
      </c>
      <c r="N51">
        <f>ROUND(E51*Premissas!$E$29+B51*Premissas!$E$30,0)</f>
        <v/>
      </c>
      <c r="O51">
        <f>K51+L51+M51+N51</f>
        <v/>
      </c>
      <c r="P51">
        <f>K51+ROUND(AC51*Premissas!$E$24,0)+M51+N51</f>
        <v/>
      </c>
      <c r="Q51">
        <f>ROUND(IF(A51-1-Premissas!$E$21&gt;=0,OFFSET($P$4,A51-1-Premissas!$E$21,0),0)*(1-Premissas!$E$20/100),0)</f>
        <v/>
      </c>
      <c r="R51">
        <f>ROUND(F51*Premissas!$E$11+N51*Premissas!$E$31/100,0)+ROUND((E51+B51)*Premissas!$E$10,0)+ROUND(Q51*Premissas!$E$8/100,0)+ROUND(Premissas!$E$35+(B51+C51)*Premissas!$E$36,0)</f>
        <v/>
      </c>
      <c r="S51">
        <f>O51-R51</f>
        <v/>
      </c>
      <c r="T51">
        <f>ROUND(O51*Premissas!$E$9/100,0)</f>
        <v/>
      </c>
      <c r="U51">
        <f>ROUND(AB51*Premissas!$E$33,0)</f>
        <v/>
      </c>
      <c r="V51">
        <f>Premissas!$E$37+ROUND(Premissas!$E$12*Premissas!$E$38+D51*Premissas!$E$27,0)</f>
        <v/>
      </c>
      <c r="W51">
        <f>Premissas!$E$39</f>
        <v/>
      </c>
      <c r="X51">
        <f>S51-T51-ROUND(Premissas!$E$12*Premissas!$E$38+D51*Premissas!$E$27,0)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Premissas!$E$32+(B51+C51)/Premissas!$E$34</f>
        <v/>
      </c>
      <c r="AC51">
        <f>D51+AC39*(1-Premissas!$E$26/12)^12</f>
        <v/>
      </c>
    </row>
    <row r="52">
      <c r="A52" t="n">
        <v>49</v>
      </c>
      <c r="B52">
        <f>B51*(1-Premissas!$E$18/12)+Premissas!$E$12</f>
        <v/>
      </c>
      <c r="C52">
        <f>IF($B$2=1,C51*(1-Premissas!$E$26/12)+D52,0)</f>
        <v/>
      </c>
      <c r="D52">
        <f>IF(AND($B$2=1,A52&gt;=Premissas!$E$23),Premissas!$E$22,0)</f>
        <v/>
      </c>
      <c r="E52">
        <f>B52*Premissas!$E$28</f>
        <v/>
      </c>
      <c r="F52">
        <f>B52*Premissas!$E$13/12*MIN(1,A52/Premissas!$E$17)</f>
        <v/>
      </c>
      <c r="G52">
        <f>F52*Premissas!$E$14</f>
        <v/>
      </c>
      <c r="H52">
        <f>IF(IF(A52-1-Premissas!$E$16&gt;=0,OFFSET($J$4,A52-1-Premissas!$E$16,0),0)&gt;0,ROUND(IF(A52-1-Premissas!$E$16&gt;=0,OFFSET($J$4,A52-1-Premissas!$E$16,0),0)*10000/Premissas!$E$5*Premissas!$E$15,0),0)</f>
        <v/>
      </c>
      <c r="I52">
        <f>ROUND(G52*Premissas!$E$6/10000,0)</f>
        <v/>
      </c>
      <c r="J52">
        <f>ROUND(G52*Premissas!$E$5/10000,0)</f>
        <v/>
      </c>
      <c r="K52">
        <f>IF(IF(A52-1-Premissas!$E$16&gt;=0,OFFSET($A$4,A52-1-Premissas!$E$16,0)&gt;=Premissas!$E$19,FALSE),ROUND(IF(A52-1-Premissas!$E$16&gt;=0,OFFSET($J$4,A52-1-Premissas!$E$16,0),0)*Premissas!$E$15,0),0)</f>
        <v/>
      </c>
      <c r="L52">
        <f>ROUND(C52*Premissas!$E$24/12,0)</f>
        <v/>
      </c>
      <c r="M52">
        <f>ROUND(D52*Premissas!$E$25,0)</f>
        <v/>
      </c>
      <c r="N52">
        <f>ROUND(E52*Premissas!$E$29+B52*Premissas!$E$30,0)</f>
        <v/>
      </c>
      <c r="O52">
        <f>K52+L52+M52+N52</f>
        <v/>
      </c>
      <c r="P52">
        <f>K52+ROUND(AC52*Premissas!$E$24,0)+M52+N52</f>
        <v/>
      </c>
      <c r="Q52">
        <f>ROUND(IF(A52-1-Premissas!$E$21&gt;=0,OFFSET($P$4,A52-1-Premissas!$E$21,0),0)*(1-Premissas!$E$20/100),0)</f>
        <v/>
      </c>
      <c r="R52">
        <f>ROUND(F52*Premissas!$E$11+N52*Premissas!$E$31/100,0)+ROUND((E52+B52)*Premissas!$E$10,0)+ROUND(Q52*Premissas!$E$8/100,0)+ROUND(Premissas!$E$35+(B52+C52)*Premissas!$E$36,0)</f>
        <v/>
      </c>
      <c r="S52">
        <f>O52-R52</f>
        <v/>
      </c>
      <c r="T52">
        <f>ROUND(O52*Premissas!$E$9/100,0)</f>
        <v/>
      </c>
      <c r="U52">
        <f>ROUND(AB52*Premissas!$E$33,0)</f>
        <v/>
      </c>
      <c r="V52">
        <f>Premissas!$E$37+ROUND(Premissas!$E$12*Premissas!$E$38+D52*Premissas!$E$27,0)</f>
        <v/>
      </c>
      <c r="W52">
        <f>Premissas!$E$39</f>
        <v/>
      </c>
      <c r="X52">
        <f>S52-T52-ROUND(Premissas!$E$12*Premissas!$E$38+D52*Premissas!$E$27,0)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Premissas!$E$32+(B52+C52)/Premissas!$E$34</f>
        <v/>
      </c>
      <c r="AC52">
        <f>D52+AC40*(1-Premissas!$E$26/12)^12</f>
        <v/>
      </c>
    </row>
    <row r="53">
      <c r="A53" t="n">
        <v>50</v>
      </c>
      <c r="B53">
        <f>B52*(1-Premissas!$E$18/12)+Premissas!$E$12</f>
        <v/>
      </c>
      <c r="C53">
        <f>IF($B$2=1,C52*(1-Premissas!$E$26/12)+D53,0)</f>
        <v/>
      </c>
      <c r="D53">
        <f>IF(AND($B$2=1,A53&gt;=Premissas!$E$23),Premissas!$E$22,0)</f>
        <v/>
      </c>
      <c r="E53">
        <f>B53*Premissas!$E$28</f>
        <v/>
      </c>
      <c r="F53">
        <f>B53*Premissas!$E$13/12*MIN(1,A53/Premissas!$E$17)</f>
        <v/>
      </c>
      <c r="G53">
        <f>F53*Premissas!$E$14</f>
        <v/>
      </c>
      <c r="H53">
        <f>IF(IF(A53-1-Premissas!$E$16&gt;=0,OFFSET($J$4,A53-1-Premissas!$E$16,0),0)&gt;0,ROUND(IF(A53-1-Premissas!$E$16&gt;=0,OFFSET($J$4,A53-1-Premissas!$E$16,0),0)*10000/Premissas!$E$5*Premissas!$E$15,0),0)</f>
        <v/>
      </c>
      <c r="I53">
        <f>ROUND(G53*Premissas!$E$6/10000,0)</f>
        <v/>
      </c>
      <c r="J53">
        <f>ROUND(G53*Premissas!$E$5/10000,0)</f>
        <v/>
      </c>
      <c r="K53">
        <f>IF(IF(A53-1-Premissas!$E$16&gt;=0,OFFSET($A$4,A53-1-Premissas!$E$16,0)&gt;=Premissas!$E$19,FALSE),ROUND(IF(A53-1-Premissas!$E$16&gt;=0,OFFSET($J$4,A53-1-Premissas!$E$16,0),0)*Premissas!$E$15,0),0)</f>
        <v/>
      </c>
      <c r="L53">
        <f>ROUND(C53*Premissas!$E$24/12,0)</f>
        <v/>
      </c>
      <c r="M53">
        <f>ROUND(D53*Premissas!$E$25,0)</f>
        <v/>
      </c>
      <c r="N53">
        <f>ROUND(E53*Premissas!$E$29+B53*Premissas!$E$30,0)</f>
        <v/>
      </c>
      <c r="O53">
        <f>K53+L53+M53+N53</f>
        <v/>
      </c>
      <c r="P53">
        <f>K53+ROUND(AC53*Premissas!$E$24,0)+M53+N53</f>
        <v/>
      </c>
      <c r="Q53">
        <f>ROUND(IF(A53-1-Premissas!$E$21&gt;=0,OFFSET($P$4,A53-1-Premissas!$E$21,0),0)*(1-Premissas!$E$20/100),0)</f>
        <v/>
      </c>
      <c r="R53">
        <f>ROUND(F53*Premissas!$E$11+N53*Premissas!$E$31/100,0)+ROUND((E53+B53)*Premissas!$E$10,0)+ROUND(Q53*Premissas!$E$8/100,0)+ROUND(Premissas!$E$35+(B53+C53)*Premissas!$E$36,0)</f>
        <v/>
      </c>
      <c r="S53">
        <f>O53-R53</f>
        <v/>
      </c>
      <c r="T53">
        <f>ROUND(O53*Premissas!$E$9/100,0)</f>
        <v/>
      </c>
      <c r="U53">
        <f>ROUND(AB53*Premissas!$E$33,0)</f>
        <v/>
      </c>
      <c r="V53">
        <f>Premissas!$E$37+ROUND(Premissas!$E$12*Premissas!$E$38+D53*Premissas!$E$27,0)</f>
        <v/>
      </c>
      <c r="W53">
        <f>Premissas!$E$39</f>
        <v/>
      </c>
      <c r="X53">
        <f>S53-T53-ROUND(Premissas!$E$12*Premissas!$E$38+D53*Premissas!$E$27,0)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Premissas!$E$32+(B53+C53)/Premissas!$E$34</f>
        <v/>
      </c>
      <c r="AC53">
        <f>D53+AC41*(1-Premissas!$E$26/12)^12</f>
        <v/>
      </c>
    </row>
    <row r="54">
      <c r="A54" t="n">
        <v>51</v>
      </c>
      <c r="B54">
        <f>B53*(1-Premissas!$E$18/12)+Premissas!$E$12</f>
        <v/>
      </c>
      <c r="C54">
        <f>IF($B$2=1,C53*(1-Premissas!$E$26/12)+D54,0)</f>
        <v/>
      </c>
      <c r="D54">
        <f>IF(AND($B$2=1,A54&gt;=Premissas!$E$23),Premissas!$E$22,0)</f>
        <v/>
      </c>
      <c r="E54">
        <f>B54*Premissas!$E$28</f>
        <v/>
      </c>
      <c r="F54">
        <f>B54*Premissas!$E$13/12*MIN(1,A54/Premissas!$E$17)</f>
        <v/>
      </c>
      <c r="G54">
        <f>F54*Premissas!$E$14</f>
        <v/>
      </c>
      <c r="H54">
        <f>IF(IF(A54-1-Premissas!$E$16&gt;=0,OFFSET($J$4,A54-1-Premissas!$E$16,0),0)&gt;0,ROUND(IF(A54-1-Premissas!$E$16&gt;=0,OFFSET($J$4,A54-1-Premissas!$E$16,0),0)*10000/Premissas!$E$5*Premissas!$E$15,0),0)</f>
        <v/>
      </c>
      <c r="I54">
        <f>ROUND(G54*Premissas!$E$6/10000,0)</f>
        <v/>
      </c>
      <c r="J54">
        <f>ROUND(G54*Premissas!$E$5/10000,0)</f>
        <v/>
      </c>
      <c r="K54">
        <f>IF(IF(A54-1-Premissas!$E$16&gt;=0,OFFSET($A$4,A54-1-Premissas!$E$16,0)&gt;=Premissas!$E$19,FALSE),ROUND(IF(A54-1-Premissas!$E$16&gt;=0,OFFSET($J$4,A54-1-Premissas!$E$16,0),0)*Premissas!$E$15,0),0)</f>
        <v/>
      </c>
      <c r="L54">
        <f>ROUND(C54*Premissas!$E$24/12,0)</f>
        <v/>
      </c>
      <c r="M54">
        <f>ROUND(D54*Premissas!$E$25,0)</f>
        <v/>
      </c>
      <c r="N54">
        <f>ROUND(E54*Premissas!$E$29+B54*Premissas!$E$30,0)</f>
        <v/>
      </c>
      <c r="O54">
        <f>K54+L54+M54+N54</f>
        <v/>
      </c>
      <c r="P54">
        <f>K54+ROUND(AC54*Premissas!$E$24,0)+M54+N54</f>
        <v/>
      </c>
      <c r="Q54">
        <f>ROUND(IF(A54-1-Premissas!$E$21&gt;=0,OFFSET($P$4,A54-1-Premissas!$E$21,0),0)*(1-Premissas!$E$20/100),0)</f>
        <v/>
      </c>
      <c r="R54">
        <f>ROUND(F54*Premissas!$E$11+N54*Premissas!$E$31/100,0)+ROUND((E54+B54)*Premissas!$E$10,0)+ROUND(Q54*Premissas!$E$8/100,0)+ROUND(Premissas!$E$35+(B54+C54)*Premissas!$E$36,0)</f>
        <v/>
      </c>
      <c r="S54">
        <f>O54-R54</f>
        <v/>
      </c>
      <c r="T54">
        <f>ROUND(O54*Premissas!$E$9/100,0)</f>
        <v/>
      </c>
      <c r="U54">
        <f>ROUND(AB54*Premissas!$E$33,0)</f>
        <v/>
      </c>
      <c r="V54">
        <f>Premissas!$E$37+ROUND(Premissas!$E$12*Premissas!$E$38+D54*Premissas!$E$27,0)</f>
        <v/>
      </c>
      <c r="W54">
        <f>Premissas!$E$39</f>
        <v/>
      </c>
      <c r="X54">
        <f>S54-T54-ROUND(Premissas!$E$12*Premissas!$E$38+D54*Premissas!$E$27,0)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Premissas!$E$32+(B54+C54)/Premissas!$E$34</f>
        <v/>
      </c>
      <c r="AC54">
        <f>D54+AC42*(1-Premissas!$E$26/12)^12</f>
        <v/>
      </c>
    </row>
    <row r="55">
      <c r="A55" t="n">
        <v>52</v>
      </c>
      <c r="B55">
        <f>B54*(1-Premissas!$E$18/12)+Premissas!$E$12</f>
        <v/>
      </c>
      <c r="C55">
        <f>IF($B$2=1,C54*(1-Premissas!$E$26/12)+D55,0)</f>
        <v/>
      </c>
      <c r="D55">
        <f>IF(AND($B$2=1,A55&gt;=Premissas!$E$23),Premissas!$E$22,0)</f>
        <v/>
      </c>
      <c r="E55">
        <f>B55*Premissas!$E$28</f>
        <v/>
      </c>
      <c r="F55">
        <f>B55*Premissas!$E$13/12*MIN(1,A55/Premissas!$E$17)</f>
        <v/>
      </c>
      <c r="G55">
        <f>F55*Premissas!$E$14</f>
        <v/>
      </c>
      <c r="H55">
        <f>IF(IF(A55-1-Premissas!$E$16&gt;=0,OFFSET($J$4,A55-1-Premissas!$E$16,0),0)&gt;0,ROUND(IF(A55-1-Premissas!$E$16&gt;=0,OFFSET($J$4,A55-1-Premissas!$E$16,0),0)*10000/Premissas!$E$5*Premissas!$E$15,0),0)</f>
        <v/>
      </c>
      <c r="I55">
        <f>ROUND(G55*Premissas!$E$6/10000,0)</f>
        <v/>
      </c>
      <c r="J55">
        <f>ROUND(G55*Premissas!$E$5/10000,0)</f>
        <v/>
      </c>
      <c r="K55">
        <f>IF(IF(A55-1-Premissas!$E$16&gt;=0,OFFSET($A$4,A55-1-Premissas!$E$16,0)&gt;=Premissas!$E$19,FALSE),ROUND(IF(A55-1-Premissas!$E$16&gt;=0,OFFSET($J$4,A55-1-Premissas!$E$16,0),0)*Premissas!$E$15,0),0)</f>
        <v/>
      </c>
      <c r="L55">
        <f>ROUND(C55*Premissas!$E$24/12,0)</f>
        <v/>
      </c>
      <c r="M55">
        <f>ROUND(D55*Premissas!$E$25,0)</f>
        <v/>
      </c>
      <c r="N55">
        <f>ROUND(E55*Premissas!$E$29+B55*Premissas!$E$30,0)</f>
        <v/>
      </c>
      <c r="O55">
        <f>K55+L55+M55+N55</f>
        <v/>
      </c>
      <c r="P55">
        <f>K55+ROUND(AC55*Premissas!$E$24,0)+M55+N55</f>
        <v/>
      </c>
      <c r="Q55">
        <f>ROUND(IF(A55-1-Premissas!$E$21&gt;=0,OFFSET($P$4,A55-1-Premissas!$E$21,0),0)*(1-Premissas!$E$20/100),0)</f>
        <v/>
      </c>
      <c r="R55">
        <f>ROUND(F55*Premissas!$E$11+N55*Premissas!$E$31/100,0)+ROUND((E55+B55)*Premissas!$E$10,0)+ROUND(Q55*Premissas!$E$8/100,0)+ROUND(Premissas!$E$35+(B55+C55)*Premissas!$E$36,0)</f>
        <v/>
      </c>
      <c r="S55">
        <f>O55-R55</f>
        <v/>
      </c>
      <c r="T55">
        <f>ROUND(O55*Premissas!$E$9/100,0)</f>
        <v/>
      </c>
      <c r="U55">
        <f>ROUND(AB55*Premissas!$E$33,0)</f>
        <v/>
      </c>
      <c r="V55">
        <f>Premissas!$E$37+ROUND(Premissas!$E$12*Premissas!$E$38+D55*Premissas!$E$27,0)</f>
        <v/>
      </c>
      <c r="W55">
        <f>Premissas!$E$39</f>
        <v/>
      </c>
      <c r="X55">
        <f>S55-T55-ROUND(Premissas!$E$12*Premissas!$E$38+D55*Premissas!$E$27,0)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Premissas!$E$32+(B55+C55)/Premissas!$E$34</f>
        <v/>
      </c>
      <c r="AC55">
        <f>D55+AC43*(1-Premissas!$E$26/12)^12</f>
        <v/>
      </c>
    </row>
    <row r="56">
      <c r="A56" t="n">
        <v>53</v>
      </c>
      <c r="B56">
        <f>B55*(1-Premissas!$E$18/12)+Premissas!$E$12</f>
        <v/>
      </c>
      <c r="C56">
        <f>IF($B$2=1,C55*(1-Premissas!$E$26/12)+D56,0)</f>
        <v/>
      </c>
      <c r="D56">
        <f>IF(AND($B$2=1,A56&gt;=Premissas!$E$23),Premissas!$E$22,0)</f>
        <v/>
      </c>
      <c r="E56">
        <f>B56*Premissas!$E$28</f>
        <v/>
      </c>
      <c r="F56">
        <f>B56*Premissas!$E$13/12*MIN(1,A56/Premissas!$E$17)</f>
        <v/>
      </c>
      <c r="G56">
        <f>F56*Premissas!$E$14</f>
        <v/>
      </c>
      <c r="H56">
        <f>IF(IF(A56-1-Premissas!$E$16&gt;=0,OFFSET($J$4,A56-1-Premissas!$E$16,0),0)&gt;0,ROUND(IF(A56-1-Premissas!$E$16&gt;=0,OFFSET($J$4,A56-1-Premissas!$E$16,0),0)*10000/Premissas!$E$5*Premissas!$E$15,0),0)</f>
        <v/>
      </c>
      <c r="I56">
        <f>ROUND(G56*Premissas!$E$6/10000,0)</f>
        <v/>
      </c>
      <c r="J56">
        <f>ROUND(G56*Premissas!$E$5/10000,0)</f>
        <v/>
      </c>
      <c r="K56">
        <f>IF(IF(A56-1-Premissas!$E$16&gt;=0,OFFSET($A$4,A56-1-Premissas!$E$16,0)&gt;=Premissas!$E$19,FALSE),ROUND(IF(A56-1-Premissas!$E$16&gt;=0,OFFSET($J$4,A56-1-Premissas!$E$16,0),0)*Premissas!$E$15,0),0)</f>
        <v/>
      </c>
      <c r="L56">
        <f>ROUND(C56*Premissas!$E$24/12,0)</f>
        <v/>
      </c>
      <c r="M56">
        <f>ROUND(D56*Premissas!$E$25,0)</f>
        <v/>
      </c>
      <c r="N56">
        <f>ROUND(E56*Premissas!$E$29+B56*Premissas!$E$30,0)</f>
        <v/>
      </c>
      <c r="O56">
        <f>K56+L56+M56+N56</f>
        <v/>
      </c>
      <c r="P56">
        <f>K56+ROUND(AC56*Premissas!$E$24,0)+M56+N56</f>
        <v/>
      </c>
      <c r="Q56">
        <f>ROUND(IF(A56-1-Premissas!$E$21&gt;=0,OFFSET($P$4,A56-1-Premissas!$E$21,0),0)*(1-Premissas!$E$20/100),0)</f>
        <v/>
      </c>
      <c r="R56">
        <f>ROUND(F56*Premissas!$E$11+N56*Premissas!$E$31/100,0)+ROUND((E56+B56)*Premissas!$E$10,0)+ROUND(Q56*Premissas!$E$8/100,0)+ROUND(Premissas!$E$35+(B56+C56)*Premissas!$E$36,0)</f>
        <v/>
      </c>
      <c r="S56">
        <f>O56-R56</f>
        <v/>
      </c>
      <c r="T56">
        <f>ROUND(O56*Premissas!$E$9/100,0)</f>
        <v/>
      </c>
      <c r="U56">
        <f>ROUND(AB56*Premissas!$E$33,0)</f>
        <v/>
      </c>
      <c r="V56">
        <f>Premissas!$E$37+ROUND(Premissas!$E$12*Premissas!$E$38+D56*Premissas!$E$27,0)</f>
        <v/>
      </c>
      <c r="W56">
        <f>Premissas!$E$39</f>
        <v/>
      </c>
      <c r="X56">
        <f>S56-T56-ROUND(Premissas!$E$12*Premissas!$E$38+D56*Premissas!$E$27,0)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Premissas!$E$32+(B56+C56)/Premissas!$E$34</f>
        <v/>
      </c>
      <c r="AC56">
        <f>D56+AC44*(1-Premissas!$E$26/12)^12</f>
        <v/>
      </c>
    </row>
    <row r="57">
      <c r="A57" t="n">
        <v>54</v>
      </c>
      <c r="B57">
        <f>B56*(1-Premissas!$E$18/12)+Premissas!$E$12</f>
        <v/>
      </c>
      <c r="C57">
        <f>IF($B$2=1,C56*(1-Premissas!$E$26/12)+D57,0)</f>
        <v/>
      </c>
      <c r="D57">
        <f>IF(AND($B$2=1,A57&gt;=Premissas!$E$23),Premissas!$E$22,0)</f>
        <v/>
      </c>
      <c r="E57">
        <f>B57*Premissas!$E$28</f>
        <v/>
      </c>
      <c r="F57">
        <f>B57*Premissas!$E$13/12*MIN(1,A57/Premissas!$E$17)</f>
        <v/>
      </c>
      <c r="G57">
        <f>F57*Premissas!$E$14</f>
        <v/>
      </c>
      <c r="H57">
        <f>IF(IF(A57-1-Premissas!$E$16&gt;=0,OFFSET($J$4,A57-1-Premissas!$E$16,0),0)&gt;0,ROUND(IF(A57-1-Premissas!$E$16&gt;=0,OFFSET($J$4,A57-1-Premissas!$E$16,0),0)*10000/Premissas!$E$5*Premissas!$E$15,0),0)</f>
        <v/>
      </c>
      <c r="I57">
        <f>ROUND(G57*Premissas!$E$6/10000,0)</f>
        <v/>
      </c>
      <c r="J57">
        <f>ROUND(G57*Premissas!$E$5/10000,0)</f>
        <v/>
      </c>
      <c r="K57">
        <f>IF(IF(A57-1-Premissas!$E$16&gt;=0,OFFSET($A$4,A57-1-Premissas!$E$16,0)&gt;=Premissas!$E$19,FALSE),ROUND(IF(A57-1-Premissas!$E$16&gt;=0,OFFSET($J$4,A57-1-Premissas!$E$16,0),0)*Premissas!$E$15,0),0)</f>
        <v/>
      </c>
      <c r="L57">
        <f>ROUND(C57*Premissas!$E$24/12,0)</f>
        <v/>
      </c>
      <c r="M57">
        <f>ROUND(D57*Premissas!$E$25,0)</f>
        <v/>
      </c>
      <c r="N57">
        <f>ROUND(E57*Premissas!$E$29+B57*Premissas!$E$30,0)</f>
        <v/>
      </c>
      <c r="O57">
        <f>K57+L57+M57+N57</f>
        <v/>
      </c>
      <c r="P57">
        <f>K57+ROUND(AC57*Premissas!$E$24,0)+M57+N57</f>
        <v/>
      </c>
      <c r="Q57">
        <f>ROUND(IF(A57-1-Premissas!$E$21&gt;=0,OFFSET($P$4,A57-1-Premissas!$E$21,0),0)*(1-Premissas!$E$20/100),0)</f>
        <v/>
      </c>
      <c r="R57">
        <f>ROUND(F57*Premissas!$E$11+N57*Premissas!$E$31/100,0)+ROUND((E57+B57)*Premissas!$E$10,0)+ROUND(Q57*Premissas!$E$8/100,0)+ROUND(Premissas!$E$35+(B57+C57)*Premissas!$E$36,0)</f>
        <v/>
      </c>
      <c r="S57">
        <f>O57-R57</f>
        <v/>
      </c>
      <c r="T57">
        <f>ROUND(O57*Premissas!$E$9/100,0)</f>
        <v/>
      </c>
      <c r="U57">
        <f>ROUND(AB57*Premissas!$E$33,0)</f>
        <v/>
      </c>
      <c r="V57">
        <f>Premissas!$E$37+ROUND(Premissas!$E$12*Premissas!$E$38+D57*Premissas!$E$27,0)</f>
        <v/>
      </c>
      <c r="W57">
        <f>Premissas!$E$39</f>
        <v/>
      </c>
      <c r="X57">
        <f>S57-T57-ROUND(Premissas!$E$12*Premissas!$E$38+D57*Premissas!$E$27,0)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Premissas!$E$32+(B57+C57)/Premissas!$E$34</f>
        <v/>
      </c>
      <c r="AC57">
        <f>D57+AC45*(1-Premissas!$E$26/12)^12</f>
        <v/>
      </c>
    </row>
    <row r="58">
      <c r="A58" t="n">
        <v>55</v>
      </c>
      <c r="B58">
        <f>B57*(1-Premissas!$E$18/12)+Premissas!$E$12</f>
        <v/>
      </c>
      <c r="C58">
        <f>IF($B$2=1,C57*(1-Premissas!$E$26/12)+D58,0)</f>
        <v/>
      </c>
      <c r="D58">
        <f>IF(AND($B$2=1,A58&gt;=Premissas!$E$23),Premissas!$E$22,0)</f>
        <v/>
      </c>
      <c r="E58">
        <f>B58*Premissas!$E$28</f>
        <v/>
      </c>
      <c r="F58">
        <f>B58*Premissas!$E$13/12*MIN(1,A58/Premissas!$E$17)</f>
        <v/>
      </c>
      <c r="G58">
        <f>F58*Premissas!$E$14</f>
        <v/>
      </c>
      <c r="H58">
        <f>IF(IF(A58-1-Premissas!$E$16&gt;=0,OFFSET($J$4,A58-1-Premissas!$E$16,0),0)&gt;0,ROUND(IF(A58-1-Premissas!$E$16&gt;=0,OFFSET($J$4,A58-1-Premissas!$E$16,0),0)*10000/Premissas!$E$5*Premissas!$E$15,0),0)</f>
        <v/>
      </c>
      <c r="I58">
        <f>ROUND(G58*Premissas!$E$6/10000,0)</f>
        <v/>
      </c>
      <c r="J58">
        <f>ROUND(G58*Premissas!$E$5/10000,0)</f>
        <v/>
      </c>
      <c r="K58">
        <f>IF(IF(A58-1-Premissas!$E$16&gt;=0,OFFSET($A$4,A58-1-Premissas!$E$16,0)&gt;=Premissas!$E$19,FALSE),ROUND(IF(A58-1-Premissas!$E$16&gt;=0,OFFSET($J$4,A58-1-Premissas!$E$16,0),0)*Premissas!$E$15,0),0)</f>
        <v/>
      </c>
      <c r="L58">
        <f>ROUND(C58*Premissas!$E$24/12,0)</f>
        <v/>
      </c>
      <c r="M58">
        <f>ROUND(D58*Premissas!$E$25,0)</f>
        <v/>
      </c>
      <c r="N58">
        <f>ROUND(E58*Premissas!$E$29+B58*Premissas!$E$30,0)</f>
        <v/>
      </c>
      <c r="O58">
        <f>K58+L58+M58+N58</f>
        <v/>
      </c>
      <c r="P58">
        <f>K58+ROUND(AC58*Premissas!$E$24,0)+M58+N58</f>
        <v/>
      </c>
      <c r="Q58">
        <f>ROUND(IF(A58-1-Premissas!$E$21&gt;=0,OFFSET($P$4,A58-1-Premissas!$E$21,0),0)*(1-Premissas!$E$20/100),0)</f>
        <v/>
      </c>
      <c r="R58">
        <f>ROUND(F58*Premissas!$E$11+N58*Premissas!$E$31/100,0)+ROUND((E58+B58)*Premissas!$E$10,0)+ROUND(Q58*Premissas!$E$8/100,0)+ROUND(Premissas!$E$35+(B58+C58)*Premissas!$E$36,0)</f>
        <v/>
      </c>
      <c r="S58">
        <f>O58-R58</f>
        <v/>
      </c>
      <c r="T58">
        <f>ROUND(O58*Premissas!$E$9/100,0)</f>
        <v/>
      </c>
      <c r="U58">
        <f>ROUND(AB58*Premissas!$E$33,0)</f>
        <v/>
      </c>
      <c r="V58">
        <f>Premissas!$E$37+ROUND(Premissas!$E$12*Premissas!$E$38+D58*Premissas!$E$27,0)</f>
        <v/>
      </c>
      <c r="W58">
        <f>Premissas!$E$39</f>
        <v/>
      </c>
      <c r="X58">
        <f>S58-T58-ROUND(Premissas!$E$12*Premissas!$E$38+D58*Premissas!$E$27,0)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Premissas!$E$32+(B58+C58)/Premissas!$E$34</f>
        <v/>
      </c>
      <c r="AC58">
        <f>D58+AC46*(1-Premissas!$E$26/12)^12</f>
        <v/>
      </c>
    </row>
    <row r="59">
      <c r="A59" t="n">
        <v>56</v>
      </c>
      <c r="B59">
        <f>B58*(1-Premissas!$E$18/12)+Premissas!$E$12</f>
        <v/>
      </c>
      <c r="C59">
        <f>IF($B$2=1,C58*(1-Premissas!$E$26/12)+D59,0)</f>
        <v/>
      </c>
      <c r="D59">
        <f>IF(AND($B$2=1,A59&gt;=Premissas!$E$23),Premissas!$E$22,0)</f>
        <v/>
      </c>
      <c r="E59">
        <f>B59*Premissas!$E$28</f>
        <v/>
      </c>
      <c r="F59">
        <f>B59*Premissas!$E$13/12*MIN(1,A59/Premissas!$E$17)</f>
        <v/>
      </c>
      <c r="G59">
        <f>F59*Premissas!$E$14</f>
        <v/>
      </c>
      <c r="H59">
        <f>IF(IF(A59-1-Premissas!$E$16&gt;=0,OFFSET($J$4,A59-1-Premissas!$E$16,0),0)&gt;0,ROUND(IF(A59-1-Premissas!$E$16&gt;=0,OFFSET($J$4,A59-1-Premissas!$E$16,0),0)*10000/Premissas!$E$5*Premissas!$E$15,0),0)</f>
        <v/>
      </c>
      <c r="I59">
        <f>ROUND(G59*Premissas!$E$6/10000,0)</f>
        <v/>
      </c>
      <c r="J59">
        <f>ROUND(G59*Premissas!$E$5/10000,0)</f>
        <v/>
      </c>
      <c r="K59">
        <f>IF(IF(A59-1-Premissas!$E$16&gt;=0,OFFSET($A$4,A59-1-Premissas!$E$16,0)&gt;=Premissas!$E$19,FALSE),ROUND(IF(A59-1-Premissas!$E$16&gt;=0,OFFSET($J$4,A59-1-Premissas!$E$16,0),0)*Premissas!$E$15,0),0)</f>
        <v/>
      </c>
      <c r="L59">
        <f>ROUND(C59*Premissas!$E$24/12,0)</f>
        <v/>
      </c>
      <c r="M59">
        <f>ROUND(D59*Premissas!$E$25,0)</f>
        <v/>
      </c>
      <c r="N59">
        <f>ROUND(E59*Premissas!$E$29+B59*Premissas!$E$30,0)</f>
        <v/>
      </c>
      <c r="O59">
        <f>K59+L59+M59+N59</f>
        <v/>
      </c>
      <c r="P59">
        <f>K59+ROUND(AC59*Premissas!$E$24,0)+M59+N59</f>
        <v/>
      </c>
      <c r="Q59">
        <f>ROUND(IF(A59-1-Premissas!$E$21&gt;=0,OFFSET($P$4,A59-1-Premissas!$E$21,0),0)*(1-Premissas!$E$20/100),0)</f>
        <v/>
      </c>
      <c r="R59">
        <f>ROUND(F59*Premissas!$E$11+N59*Premissas!$E$31/100,0)+ROUND((E59+B59)*Premissas!$E$10,0)+ROUND(Q59*Premissas!$E$8/100,0)+ROUND(Premissas!$E$35+(B59+C59)*Premissas!$E$36,0)</f>
        <v/>
      </c>
      <c r="S59">
        <f>O59-R59</f>
        <v/>
      </c>
      <c r="T59">
        <f>ROUND(O59*Premissas!$E$9/100,0)</f>
        <v/>
      </c>
      <c r="U59">
        <f>ROUND(AB59*Premissas!$E$33,0)</f>
        <v/>
      </c>
      <c r="V59">
        <f>Premissas!$E$37+ROUND(Premissas!$E$12*Premissas!$E$38+D59*Premissas!$E$27,0)</f>
        <v/>
      </c>
      <c r="W59">
        <f>Premissas!$E$39</f>
        <v/>
      </c>
      <c r="X59">
        <f>S59-T59-ROUND(Premissas!$E$12*Premissas!$E$38+D59*Premissas!$E$27,0)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Premissas!$E$32+(B59+C59)/Premissas!$E$34</f>
        <v/>
      </c>
      <c r="AC59">
        <f>D59+AC47*(1-Premissas!$E$26/12)^12</f>
        <v/>
      </c>
    </row>
    <row r="60">
      <c r="A60" t="n">
        <v>57</v>
      </c>
      <c r="B60">
        <f>B59*(1-Premissas!$E$18/12)+Premissas!$E$12</f>
        <v/>
      </c>
      <c r="C60">
        <f>IF($B$2=1,C59*(1-Premissas!$E$26/12)+D60,0)</f>
        <v/>
      </c>
      <c r="D60">
        <f>IF(AND($B$2=1,A60&gt;=Premissas!$E$23),Premissas!$E$22,0)</f>
        <v/>
      </c>
      <c r="E60">
        <f>B60*Premissas!$E$28</f>
        <v/>
      </c>
      <c r="F60">
        <f>B60*Premissas!$E$13/12*MIN(1,A60/Premissas!$E$17)</f>
        <v/>
      </c>
      <c r="G60">
        <f>F60*Premissas!$E$14</f>
        <v/>
      </c>
      <c r="H60">
        <f>IF(IF(A60-1-Premissas!$E$16&gt;=0,OFFSET($J$4,A60-1-Premissas!$E$16,0),0)&gt;0,ROUND(IF(A60-1-Premissas!$E$16&gt;=0,OFFSET($J$4,A60-1-Premissas!$E$16,0),0)*10000/Premissas!$E$5*Premissas!$E$15,0),0)</f>
        <v/>
      </c>
      <c r="I60">
        <f>ROUND(G60*Premissas!$E$6/10000,0)</f>
        <v/>
      </c>
      <c r="J60">
        <f>ROUND(G60*Premissas!$E$5/10000,0)</f>
        <v/>
      </c>
      <c r="K60">
        <f>IF(IF(A60-1-Premissas!$E$16&gt;=0,OFFSET($A$4,A60-1-Premissas!$E$16,0)&gt;=Premissas!$E$19,FALSE),ROUND(IF(A60-1-Premissas!$E$16&gt;=0,OFFSET($J$4,A60-1-Premissas!$E$16,0),0)*Premissas!$E$15,0),0)</f>
        <v/>
      </c>
      <c r="L60">
        <f>ROUND(C60*Premissas!$E$24/12,0)</f>
        <v/>
      </c>
      <c r="M60">
        <f>ROUND(D60*Premissas!$E$25,0)</f>
        <v/>
      </c>
      <c r="N60">
        <f>ROUND(E60*Premissas!$E$29+B60*Premissas!$E$30,0)</f>
        <v/>
      </c>
      <c r="O60">
        <f>K60+L60+M60+N60</f>
        <v/>
      </c>
      <c r="P60">
        <f>K60+ROUND(AC60*Premissas!$E$24,0)+M60+N60</f>
        <v/>
      </c>
      <c r="Q60">
        <f>ROUND(IF(A60-1-Premissas!$E$21&gt;=0,OFFSET($P$4,A60-1-Premissas!$E$21,0),0)*(1-Premissas!$E$20/100),0)</f>
        <v/>
      </c>
      <c r="R60">
        <f>ROUND(F60*Premissas!$E$11+N60*Premissas!$E$31/100,0)+ROUND((E60+B60)*Premissas!$E$10,0)+ROUND(Q60*Premissas!$E$8/100,0)+ROUND(Premissas!$E$35+(B60+C60)*Premissas!$E$36,0)</f>
        <v/>
      </c>
      <c r="S60">
        <f>O60-R60</f>
        <v/>
      </c>
      <c r="T60">
        <f>ROUND(O60*Premissas!$E$9/100,0)</f>
        <v/>
      </c>
      <c r="U60">
        <f>ROUND(AB60*Premissas!$E$33,0)</f>
        <v/>
      </c>
      <c r="V60">
        <f>Premissas!$E$37+ROUND(Premissas!$E$12*Premissas!$E$38+D60*Premissas!$E$27,0)</f>
        <v/>
      </c>
      <c r="W60">
        <f>Premissas!$E$39</f>
        <v/>
      </c>
      <c r="X60">
        <f>S60-T60-ROUND(Premissas!$E$12*Premissas!$E$38+D60*Premissas!$E$27,0)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Premissas!$E$32+(B60+C60)/Premissas!$E$34</f>
        <v/>
      </c>
      <c r="AC60">
        <f>D60+AC48*(1-Premissas!$E$26/12)^12</f>
        <v/>
      </c>
    </row>
    <row r="61">
      <c r="A61" t="n">
        <v>58</v>
      </c>
      <c r="B61">
        <f>B60*(1-Premissas!$E$18/12)+Premissas!$E$12</f>
        <v/>
      </c>
      <c r="C61">
        <f>IF($B$2=1,C60*(1-Premissas!$E$26/12)+D61,0)</f>
        <v/>
      </c>
      <c r="D61">
        <f>IF(AND($B$2=1,A61&gt;=Premissas!$E$23),Premissas!$E$22,0)</f>
        <v/>
      </c>
      <c r="E61">
        <f>B61*Premissas!$E$28</f>
        <v/>
      </c>
      <c r="F61">
        <f>B61*Premissas!$E$13/12*MIN(1,A61/Premissas!$E$17)</f>
        <v/>
      </c>
      <c r="G61">
        <f>F61*Premissas!$E$14</f>
        <v/>
      </c>
      <c r="H61">
        <f>IF(IF(A61-1-Premissas!$E$16&gt;=0,OFFSET($J$4,A61-1-Premissas!$E$16,0),0)&gt;0,ROUND(IF(A61-1-Premissas!$E$16&gt;=0,OFFSET($J$4,A61-1-Premissas!$E$16,0),0)*10000/Premissas!$E$5*Premissas!$E$15,0),0)</f>
        <v/>
      </c>
      <c r="I61">
        <f>ROUND(G61*Premissas!$E$6/10000,0)</f>
        <v/>
      </c>
      <c r="J61">
        <f>ROUND(G61*Premissas!$E$5/10000,0)</f>
        <v/>
      </c>
      <c r="K61">
        <f>IF(IF(A61-1-Premissas!$E$16&gt;=0,OFFSET($A$4,A61-1-Premissas!$E$16,0)&gt;=Premissas!$E$19,FALSE),ROUND(IF(A61-1-Premissas!$E$16&gt;=0,OFFSET($J$4,A61-1-Premissas!$E$16,0),0)*Premissas!$E$15,0),0)</f>
        <v/>
      </c>
      <c r="L61">
        <f>ROUND(C61*Premissas!$E$24/12,0)</f>
        <v/>
      </c>
      <c r="M61">
        <f>ROUND(D61*Premissas!$E$25,0)</f>
        <v/>
      </c>
      <c r="N61">
        <f>ROUND(E61*Premissas!$E$29+B61*Premissas!$E$30,0)</f>
        <v/>
      </c>
      <c r="O61">
        <f>K61+L61+M61+N61</f>
        <v/>
      </c>
      <c r="P61">
        <f>K61+ROUND(AC61*Premissas!$E$24,0)+M61+N61</f>
        <v/>
      </c>
      <c r="Q61">
        <f>ROUND(IF(A61-1-Premissas!$E$21&gt;=0,OFFSET($P$4,A61-1-Premissas!$E$21,0),0)*(1-Premissas!$E$20/100),0)</f>
        <v/>
      </c>
      <c r="R61">
        <f>ROUND(F61*Premissas!$E$11+N61*Premissas!$E$31/100,0)+ROUND((E61+B61)*Premissas!$E$10,0)+ROUND(Q61*Premissas!$E$8/100,0)+ROUND(Premissas!$E$35+(B61+C61)*Premissas!$E$36,0)</f>
        <v/>
      </c>
      <c r="S61">
        <f>O61-R61</f>
        <v/>
      </c>
      <c r="T61">
        <f>ROUND(O61*Premissas!$E$9/100,0)</f>
        <v/>
      </c>
      <c r="U61">
        <f>ROUND(AB61*Premissas!$E$33,0)</f>
        <v/>
      </c>
      <c r="V61">
        <f>Premissas!$E$37+ROUND(Premissas!$E$12*Premissas!$E$38+D61*Premissas!$E$27,0)</f>
        <v/>
      </c>
      <c r="W61">
        <f>Premissas!$E$39</f>
        <v/>
      </c>
      <c r="X61">
        <f>S61-T61-ROUND(Premissas!$E$12*Premissas!$E$38+D61*Premissas!$E$27,0)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Premissas!$E$32+(B61+C61)/Premissas!$E$34</f>
        <v/>
      </c>
      <c r="AC61">
        <f>D61+AC49*(1-Premissas!$E$26/12)^12</f>
        <v/>
      </c>
    </row>
    <row r="62">
      <c r="A62" t="n">
        <v>59</v>
      </c>
      <c r="B62">
        <f>B61*(1-Premissas!$E$18/12)+Premissas!$E$12</f>
        <v/>
      </c>
      <c r="C62">
        <f>IF($B$2=1,C61*(1-Premissas!$E$26/12)+D62,0)</f>
        <v/>
      </c>
      <c r="D62">
        <f>IF(AND($B$2=1,A62&gt;=Premissas!$E$23),Premissas!$E$22,0)</f>
        <v/>
      </c>
      <c r="E62">
        <f>B62*Premissas!$E$28</f>
        <v/>
      </c>
      <c r="F62">
        <f>B62*Premissas!$E$13/12*MIN(1,A62/Premissas!$E$17)</f>
        <v/>
      </c>
      <c r="G62">
        <f>F62*Premissas!$E$14</f>
        <v/>
      </c>
      <c r="H62">
        <f>IF(IF(A62-1-Premissas!$E$16&gt;=0,OFFSET($J$4,A62-1-Premissas!$E$16,0),0)&gt;0,ROUND(IF(A62-1-Premissas!$E$16&gt;=0,OFFSET($J$4,A62-1-Premissas!$E$16,0),0)*10000/Premissas!$E$5*Premissas!$E$15,0),0)</f>
        <v/>
      </c>
      <c r="I62">
        <f>ROUND(G62*Premissas!$E$6/10000,0)</f>
        <v/>
      </c>
      <c r="J62">
        <f>ROUND(G62*Premissas!$E$5/10000,0)</f>
        <v/>
      </c>
      <c r="K62">
        <f>IF(IF(A62-1-Premissas!$E$16&gt;=0,OFFSET($A$4,A62-1-Premissas!$E$16,0)&gt;=Premissas!$E$19,FALSE),ROUND(IF(A62-1-Premissas!$E$16&gt;=0,OFFSET($J$4,A62-1-Premissas!$E$16,0),0)*Premissas!$E$15,0),0)</f>
        <v/>
      </c>
      <c r="L62">
        <f>ROUND(C62*Premissas!$E$24/12,0)</f>
        <v/>
      </c>
      <c r="M62">
        <f>ROUND(D62*Premissas!$E$25,0)</f>
        <v/>
      </c>
      <c r="N62">
        <f>ROUND(E62*Premissas!$E$29+B62*Premissas!$E$30,0)</f>
        <v/>
      </c>
      <c r="O62">
        <f>K62+L62+M62+N62</f>
        <v/>
      </c>
      <c r="P62">
        <f>K62+ROUND(AC62*Premissas!$E$24,0)+M62+N62</f>
        <v/>
      </c>
      <c r="Q62">
        <f>ROUND(IF(A62-1-Premissas!$E$21&gt;=0,OFFSET($P$4,A62-1-Premissas!$E$21,0),0)*(1-Premissas!$E$20/100),0)</f>
        <v/>
      </c>
      <c r="R62">
        <f>ROUND(F62*Premissas!$E$11+N62*Premissas!$E$31/100,0)+ROUND((E62+B62)*Premissas!$E$10,0)+ROUND(Q62*Premissas!$E$8/100,0)+ROUND(Premissas!$E$35+(B62+C62)*Premissas!$E$36,0)</f>
        <v/>
      </c>
      <c r="S62">
        <f>O62-R62</f>
        <v/>
      </c>
      <c r="T62">
        <f>ROUND(O62*Premissas!$E$9/100,0)</f>
        <v/>
      </c>
      <c r="U62">
        <f>ROUND(AB62*Premissas!$E$33,0)</f>
        <v/>
      </c>
      <c r="V62">
        <f>Premissas!$E$37+ROUND(Premissas!$E$12*Premissas!$E$38+D62*Premissas!$E$27,0)</f>
        <v/>
      </c>
      <c r="W62">
        <f>Premissas!$E$39</f>
        <v/>
      </c>
      <c r="X62">
        <f>S62-T62-ROUND(Premissas!$E$12*Premissas!$E$38+D62*Premissas!$E$27,0)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Premissas!$E$32+(B62+C62)/Premissas!$E$34</f>
        <v/>
      </c>
      <c r="AC62">
        <f>D62+AC50*(1-Premissas!$E$26/12)^12</f>
        <v/>
      </c>
    </row>
    <row r="63">
      <c r="A63" t="n">
        <v>60</v>
      </c>
      <c r="B63">
        <f>B62*(1-Premissas!$E$18/12)+Premissas!$E$12</f>
        <v/>
      </c>
      <c r="C63">
        <f>IF($B$2=1,C62*(1-Premissas!$E$26/12)+D63,0)</f>
        <v/>
      </c>
      <c r="D63">
        <f>IF(AND($B$2=1,A63&gt;=Premissas!$E$23),Premissas!$E$22,0)</f>
        <v/>
      </c>
      <c r="E63">
        <f>B63*Premissas!$E$28</f>
        <v/>
      </c>
      <c r="F63">
        <f>B63*Premissas!$E$13/12*MIN(1,A63/Premissas!$E$17)</f>
        <v/>
      </c>
      <c r="G63">
        <f>F63*Premissas!$E$14</f>
        <v/>
      </c>
      <c r="H63">
        <f>IF(IF(A63-1-Premissas!$E$16&gt;=0,OFFSET($J$4,A63-1-Premissas!$E$16,0),0)&gt;0,ROUND(IF(A63-1-Premissas!$E$16&gt;=0,OFFSET($J$4,A63-1-Premissas!$E$16,0),0)*10000/Premissas!$E$5*Premissas!$E$15,0),0)</f>
        <v/>
      </c>
      <c r="I63">
        <f>ROUND(G63*Premissas!$E$6/10000,0)</f>
        <v/>
      </c>
      <c r="J63">
        <f>ROUND(G63*Premissas!$E$5/10000,0)</f>
        <v/>
      </c>
      <c r="K63">
        <f>IF(IF(A63-1-Premissas!$E$16&gt;=0,OFFSET($A$4,A63-1-Premissas!$E$16,0)&gt;=Premissas!$E$19,FALSE),ROUND(IF(A63-1-Premissas!$E$16&gt;=0,OFFSET($J$4,A63-1-Premissas!$E$16,0),0)*Premissas!$E$15,0),0)</f>
        <v/>
      </c>
      <c r="L63">
        <f>ROUND(C63*Premissas!$E$24/12,0)</f>
        <v/>
      </c>
      <c r="M63">
        <f>ROUND(D63*Premissas!$E$25,0)</f>
        <v/>
      </c>
      <c r="N63">
        <f>ROUND(E63*Premissas!$E$29+B63*Premissas!$E$30,0)</f>
        <v/>
      </c>
      <c r="O63">
        <f>K63+L63+M63+N63</f>
        <v/>
      </c>
      <c r="P63">
        <f>K63+ROUND(AC63*Premissas!$E$24,0)+M63+N63</f>
        <v/>
      </c>
      <c r="Q63">
        <f>ROUND(IF(A63-1-Premissas!$E$21&gt;=0,OFFSET($P$4,A63-1-Premissas!$E$21,0),0)*(1-Premissas!$E$20/100),0)</f>
        <v/>
      </c>
      <c r="R63">
        <f>ROUND(F63*Premissas!$E$11+N63*Premissas!$E$31/100,0)+ROUND((E63+B63)*Premissas!$E$10,0)+ROUND(Q63*Premissas!$E$8/100,0)+ROUND(Premissas!$E$35+(B63+C63)*Premissas!$E$36,0)</f>
        <v/>
      </c>
      <c r="S63">
        <f>O63-R63</f>
        <v/>
      </c>
      <c r="T63">
        <f>ROUND(O63*Premissas!$E$9/100,0)</f>
        <v/>
      </c>
      <c r="U63">
        <f>ROUND(AB63*Premissas!$E$33,0)</f>
        <v/>
      </c>
      <c r="V63">
        <f>Premissas!$E$37+ROUND(Premissas!$E$12*Premissas!$E$38+D63*Premissas!$E$27,0)</f>
        <v/>
      </c>
      <c r="W63">
        <f>Premissas!$E$39</f>
        <v/>
      </c>
      <c r="X63">
        <f>S63-T63-ROUND(Premissas!$E$12*Premissas!$E$38+D63*Premissas!$E$27,0)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Premissas!$E$32+(B63+C63)/Premissas!$E$34</f>
        <v/>
      </c>
      <c r="AC63">
        <f>D63+AC51*(1-Premissas!$E$26/12)^12</f>
        <v/>
      </c>
    </row>
    <row r="64">
      <c r="A64" t="n">
        <v>61</v>
      </c>
      <c r="B64">
        <f>B63*(1-Premissas!$E$18/12)+Premissas!$E$12</f>
        <v/>
      </c>
      <c r="C64">
        <f>IF($B$2=1,C63*(1-Premissas!$E$26/12)+D64,0)</f>
        <v/>
      </c>
      <c r="D64">
        <f>IF(AND($B$2=1,A64&gt;=Premissas!$E$23),Premissas!$E$22,0)</f>
        <v/>
      </c>
      <c r="E64">
        <f>B64*Premissas!$E$28</f>
        <v/>
      </c>
      <c r="F64">
        <f>B64*Premissas!$E$13/12*MIN(1,A64/Premissas!$E$17)</f>
        <v/>
      </c>
      <c r="G64">
        <f>F64*Premissas!$E$14</f>
        <v/>
      </c>
      <c r="H64">
        <f>IF(IF(A64-1-Premissas!$E$16&gt;=0,OFFSET($J$4,A64-1-Premissas!$E$16,0),0)&gt;0,ROUND(IF(A64-1-Premissas!$E$16&gt;=0,OFFSET($J$4,A64-1-Premissas!$E$16,0),0)*10000/Premissas!$E$5*Premissas!$E$15,0),0)</f>
        <v/>
      </c>
      <c r="I64">
        <f>ROUND(G64*Premissas!$E$6/10000,0)</f>
        <v/>
      </c>
      <c r="J64">
        <f>ROUND(G64*Premissas!$E$5/10000,0)</f>
        <v/>
      </c>
      <c r="K64">
        <f>IF(IF(A64-1-Premissas!$E$16&gt;=0,OFFSET($A$4,A64-1-Premissas!$E$16,0)&gt;=Premissas!$E$19,FALSE),ROUND(IF(A64-1-Premissas!$E$16&gt;=0,OFFSET($J$4,A64-1-Premissas!$E$16,0),0)*Premissas!$E$15,0),0)</f>
        <v/>
      </c>
      <c r="L64">
        <f>ROUND(C64*Premissas!$E$24/12,0)</f>
        <v/>
      </c>
      <c r="M64">
        <f>ROUND(D64*Premissas!$E$25,0)</f>
        <v/>
      </c>
      <c r="N64">
        <f>ROUND(E64*Premissas!$E$29+B64*Premissas!$E$30,0)</f>
        <v/>
      </c>
      <c r="O64">
        <f>K64+L64+M64+N64</f>
        <v/>
      </c>
      <c r="P64">
        <f>K64+ROUND(AC64*Premissas!$E$24,0)+M64+N64</f>
        <v/>
      </c>
      <c r="Q64">
        <f>ROUND(IF(A64-1-Premissas!$E$21&gt;=0,OFFSET($P$4,A64-1-Premissas!$E$21,0),0)*(1-Premissas!$E$20/100),0)</f>
        <v/>
      </c>
      <c r="R64">
        <f>ROUND(F64*Premissas!$E$11+N64*Premissas!$E$31/100,0)+ROUND((E64+B64)*Premissas!$E$10,0)+ROUND(Q64*Premissas!$E$8/100,0)+ROUND(Premissas!$E$35+(B64+C64)*Premissas!$E$36,0)</f>
        <v/>
      </c>
      <c r="S64">
        <f>O64-R64</f>
        <v/>
      </c>
      <c r="T64">
        <f>ROUND(O64*Premissas!$E$9/100,0)</f>
        <v/>
      </c>
      <c r="U64">
        <f>ROUND(AB64*Premissas!$E$33,0)</f>
        <v/>
      </c>
      <c r="V64">
        <f>Premissas!$E$37+ROUND(Premissas!$E$12*Premissas!$E$38+D64*Premissas!$E$27,0)</f>
        <v/>
      </c>
      <c r="W64">
        <f>Premissas!$E$39</f>
        <v/>
      </c>
      <c r="X64">
        <f>S64-T64-ROUND(Premissas!$E$12*Premissas!$E$38+D64*Premissas!$E$27,0)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Premissas!$E$32+(B64+C64)/Premissas!$E$34</f>
        <v/>
      </c>
      <c r="AC64">
        <f>D64+AC52*(1-Premissas!$E$26/12)^12</f>
        <v/>
      </c>
    </row>
    <row r="65">
      <c r="A65" t="n">
        <v>62</v>
      </c>
      <c r="B65">
        <f>B64*(1-Premissas!$E$18/12)+Premissas!$E$12</f>
        <v/>
      </c>
      <c r="C65">
        <f>IF($B$2=1,C64*(1-Premissas!$E$26/12)+D65,0)</f>
        <v/>
      </c>
      <c r="D65">
        <f>IF(AND($B$2=1,A65&gt;=Premissas!$E$23),Premissas!$E$22,0)</f>
        <v/>
      </c>
      <c r="E65">
        <f>B65*Premissas!$E$28</f>
        <v/>
      </c>
      <c r="F65">
        <f>B65*Premissas!$E$13/12*MIN(1,A65/Premissas!$E$17)</f>
        <v/>
      </c>
      <c r="G65">
        <f>F65*Premissas!$E$14</f>
        <v/>
      </c>
      <c r="H65">
        <f>IF(IF(A65-1-Premissas!$E$16&gt;=0,OFFSET($J$4,A65-1-Premissas!$E$16,0),0)&gt;0,ROUND(IF(A65-1-Premissas!$E$16&gt;=0,OFFSET($J$4,A65-1-Premissas!$E$16,0),0)*10000/Premissas!$E$5*Premissas!$E$15,0),0)</f>
        <v/>
      </c>
      <c r="I65">
        <f>ROUND(G65*Premissas!$E$6/10000,0)</f>
        <v/>
      </c>
      <c r="J65">
        <f>ROUND(G65*Premissas!$E$5/10000,0)</f>
        <v/>
      </c>
      <c r="K65">
        <f>IF(IF(A65-1-Premissas!$E$16&gt;=0,OFFSET($A$4,A65-1-Premissas!$E$16,0)&gt;=Premissas!$E$19,FALSE),ROUND(IF(A65-1-Premissas!$E$16&gt;=0,OFFSET($J$4,A65-1-Premissas!$E$16,0),0)*Premissas!$E$15,0),0)</f>
        <v/>
      </c>
      <c r="L65">
        <f>ROUND(C65*Premissas!$E$24/12,0)</f>
        <v/>
      </c>
      <c r="M65">
        <f>ROUND(D65*Premissas!$E$25,0)</f>
        <v/>
      </c>
      <c r="N65">
        <f>ROUND(E65*Premissas!$E$29+B65*Premissas!$E$30,0)</f>
        <v/>
      </c>
      <c r="O65">
        <f>K65+L65+M65+N65</f>
        <v/>
      </c>
      <c r="P65">
        <f>K65+ROUND(AC65*Premissas!$E$24,0)+M65+N65</f>
        <v/>
      </c>
      <c r="Q65">
        <f>ROUND(IF(A65-1-Premissas!$E$21&gt;=0,OFFSET($P$4,A65-1-Premissas!$E$21,0),0)*(1-Premissas!$E$20/100),0)</f>
        <v/>
      </c>
      <c r="R65">
        <f>ROUND(F65*Premissas!$E$11+N65*Premissas!$E$31/100,0)+ROUND((E65+B65)*Premissas!$E$10,0)+ROUND(Q65*Premissas!$E$8/100,0)+ROUND(Premissas!$E$35+(B65+C65)*Premissas!$E$36,0)</f>
        <v/>
      </c>
      <c r="S65">
        <f>O65-R65</f>
        <v/>
      </c>
      <c r="T65">
        <f>ROUND(O65*Premissas!$E$9/100,0)</f>
        <v/>
      </c>
      <c r="U65">
        <f>ROUND(AB65*Premissas!$E$33,0)</f>
        <v/>
      </c>
      <c r="V65">
        <f>Premissas!$E$37+ROUND(Premissas!$E$12*Premissas!$E$38+D65*Premissas!$E$27,0)</f>
        <v/>
      </c>
      <c r="W65">
        <f>Premissas!$E$39</f>
        <v/>
      </c>
      <c r="X65">
        <f>S65-T65-ROUND(Premissas!$E$12*Premissas!$E$38+D65*Premissas!$E$27,0)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Premissas!$E$32+(B65+C65)/Premissas!$E$34</f>
        <v/>
      </c>
      <c r="AC65">
        <f>D65+AC53*(1-Premissas!$E$26/12)^12</f>
        <v/>
      </c>
    </row>
    <row r="66">
      <c r="A66" t="n">
        <v>63</v>
      </c>
      <c r="B66">
        <f>B65*(1-Premissas!$E$18/12)+Premissas!$E$12</f>
        <v/>
      </c>
      <c r="C66">
        <f>IF($B$2=1,C65*(1-Premissas!$E$26/12)+D66,0)</f>
        <v/>
      </c>
      <c r="D66">
        <f>IF(AND($B$2=1,A66&gt;=Premissas!$E$23),Premissas!$E$22,0)</f>
        <v/>
      </c>
      <c r="E66">
        <f>B66*Premissas!$E$28</f>
        <v/>
      </c>
      <c r="F66">
        <f>B66*Premissas!$E$13/12*MIN(1,A66/Premissas!$E$17)</f>
        <v/>
      </c>
      <c r="G66">
        <f>F66*Premissas!$E$14</f>
        <v/>
      </c>
      <c r="H66">
        <f>IF(IF(A66-1-Premissas!$E$16&gt;=0,OFFSET($J$4,A66-1-Premissas!$E$16,0),0)&gt;0,ROUND(IF(A66-1-Premissas!$E$16&gt;=0,OFFSET($J$4,A66-1-Premissas!$E$16,0),0)*10000/Premissas!$E$5*Premissas!$E$15,0),0)</f>
        <v/>
      </c>
      <c r="I66">
        <f>ROUND(G66*Premissas!$E$6/10000,0)</f>
        <v/>
      </c>
      <c r="J66">
        <f>ROUND(G66*Premissas!$E$5/10000,0)</f>
        <v/>
      </c>
      <c r="K66">
        <f>IF(IF(A66-1-Premissas!$E$16&gt;=0,OFFSET($A$4,A66-1-Premissas!$E$16,0)&gt;=Premissas!$E$19,FALSE),ROUND(IF(A66-1-Premissas!$E$16&gt;=0,OFFSET($J$4,A66-1-Premissas!$E$16,0),0)*Premissas!$E$15,0),0)</f>
        <v/>
      </c>
      <c r="L66">
        <f>ROUND(C66*Premissas!$E$24/12,0)</f>
        <v/>
      </c>
      <c r="M66">
        <f>ROUND(D66*Premissas!$E$25,0)</f>
        <v/>
      </c>
      <c r="N66">
        <f>ROUND(E66*Premissas!$E$29+B66*Premissas!$E$30,0)</f>
        <v/>
      </c>
      <c r="O66">
        <f>K66+L66+M66+N66</f>
        <v/>
      </c>
      <c r="P66">
        <f>K66+ROUND(AC66*Premissas!$E$24,0)+M66+N66</f>
        <v/>
      </c>
      <c r="Q66">
        <f>ROUND(IF(A66-1-Premissas!$E$21&gt;=0,OFFSET($P$4,A66-1-Premissas!$E$21,0),0)*(1-Premissas!$E$20/100),0)</f>
        <v/>
      </c>
      <c r="R66">
        <f>ROUND(F66*Premissas!$E$11+N66*Premissas!$E$31/100,0)+ROUND((E66+B66)*Premissas!$E$10,0)+ROUND(Q66*Premissas!$E$8/100,0)+ROUND(Premissas!$E$35+(B66+C66)*Premissas!$E$36,0)</f>
        <v/>
      </c>
      <c r="S66">
        <f>O66-R66</f>
        <v/>
      </c>
      <c r="T66">
        <f>ROUND(O66*Premissas!$E$9/100,0)</f>
        <v/>
      </c>
      <c r="U66">
        <f>ROUND(AB66*Premissas!$E$33,0)</f>
        <v/>
      </c>
      <c r="V66">
        <f>Premissas!$E$37+ROUND(Premissas!$E$12*Premissas!$E$38+D66*Premissas!$E$27,0)</f>
        <v/>
      </c>
      <c r="W66">
        <f>Premissas!$E$39</f>
        <v/>
      </c>
      <c r="X66">
        <f>S66-T66-ROUND(Premissas!$E$12*Premissas!$E$38+D66*Premissas!$E$27,0)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Premissas!$E$32+(B66+C66)/Premissas!$E$34</f>
        <v/>
      </c>
      <c r="AC66">
        <f>D66+AC54*(1-Premissas!$E$26/12)^12</f>
        <v/>
      </c>
    </row>
    <row r="67">
      <c r="A67" t="n">
        <v>64</v>
      </c>
      <c r="B67">
        <f>B66*(1-Premissas!$E$18/12)+Premissas!$E$12</f>
        <v/>
      </c>
      <c r="C67">
        <f>IF($B$2=1,C66*(1-Premissas!$E$26/12)+D67,0)</f>
        <v/>
      </c>
      <c r="D67">
        <f>IF(AND($B$2=1,A67&gt;=Premissas!$E$23),Premissas!$E$22,0)</f>
        <v/>
      </c>
      <c r="E67">
        <f>B67*Premissas!$E$28</f>
        <v/>
      </c>
      <c r="F67">
        <f>B67*Premissas!$E$13/12*MIN(1,A67/Premissas!$E$17)</f>
        <v/>
      </c>
      <c r="G67">
        <f>F67*Premissas!$E$14</f>
        <v/>
      </c>
      <c r="H67">
        <f>IF(IF(A67-1-Premissas!$E$16&gt;=0,OFFSET($J$4,A67-1-Premissas!$E$16,0),0)&gt;0,ROUND(IF(A67-1-Premissas!$E$16&gt;=0,OFFSET($J$4,A67-1-Premissas!$E$16,0),0)*10000/Premissas!$E$5*Premissas!$E$15,0),0)</f>
        <v/>
      </c>
      <c r="I67">
        <f>ROUND(G67*Premissas!$E$6/10000,0)</f>
        <v/>
      </c>
      <c r="J67">
        <f>ROUND(G67*Premissas!$E$5/10000,0)</f>
        <v/>
      </c>
      <c r="K67">
        <f>IF(IF(A67-1-Premissas!$E$16&gt;=0,OFFSET($A$4,A67-1-Premissas!$E$16,0)&gt;=Premissas!$E$19,FALSE),ROUND(IF(A67-1-Premissas!$E$16&gt;=0,OFFSET($J$4,A67-1-Premissas!$E$16,0),0)*Premissas!$E$15,0),0)</f>
        <v/>
      </c>
      <c r="L67">
        <f>ROUND(C67*Premissas!$E$24/12,0)</f>
        <v/>
      </c>
      <c r="M67">
        <f>ROUND(D67*Premissas!$E$25,0)</f>
        <v/>
      </c>
      <c r="N67">
        <f>ROUND(E67*Premissas!$E$29+B67*Premissas!$E$30,0)</f>
        <v/>
      </c>
      <c r="O67">
        <f>K67+L67+M67+N67</f>
        <v/>
      </c>
      <c r="P67">
        <f>K67+ROUND(AC67*Premissas!$E$24,0)+M67+N67</f>
        <v/>
      </c>
      <c r="Q67">
        <f>ROUND(IF(A67-1-Premissas!$E$21&gt;=0,OFFSET($P$4,A67-1-Premissas!$E$21,0),0)*(1-Premissas!$E$20/100),0)</f>
        <v/>
      </c>
      <c r="R67">
        <f>ROUND(F67*Premissas!$E$11+N67*Premissas!$E$31/100,0)+ROUND((E67+B67)*Premissas!$E$10,0)+ROUND(Q67*Premissas!$E$8/100,0)+ROUND(Premissas!$E$35+(B67+C67)*Premissas!$E$36,0)</f>
        <v/>
      </c>
      <c r="S67">
        <f>O67-R67</f>
        <v/>
      </c>
      <c r="T67">
        <f>ROUND(O67*Premissas!$E$9/100,0)</f>
        <v/>
      </c>
      <c r="U67">
        <f>ROUND(AB67*Premissas!$E$33,0)</f>
        <v/>
      </c>
      <c r="V67">
        <f>Premissas!$E$37+ROUND(Premissas!$E$12*Premissas!$E$38+D67*Premissas!$E$27,0)</f>
        <v/>
      </c>
      <c r="W67">
        <f>Premissas!$E$39</f>
        <v/>
      </c>
      <c r="X67">
        <f>S67-T67-ROUND(Premissas!$E$12*Premissas!$E$38+D67*Premissas!$E$27,0)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Premissas!$E$32+(B67+C67)/Premissas!$E$34</f>
        <v/>
      </c>
      <c r="AC67">
        <f>D67+AC55*(1-Premissas!$E$26/12)^12</f>
        <v/>
      </c>
    </row>
    <row r="68">
      <c r="A68" t="n">
        <v>65</v>
      </c>
      <c r="B68">
        <f>B67*(1-Premissas!$E$18/12)+Premissas!$E$12</f>
        <v/>
      </c>
      <c r="C68">
        <f>IF($B$2=1,C67*(1-Premissas!$E$26/12)+D68,0)</f>
        <v/>
      </c>
      <c r="D68">
        <f>IF(AND($B$2=1,A68&gt;=Premissas!$E$23),Premissas!$E$22,0)</f>
        <v/>
      </c>
      <c r="E68">
        <f>B68*Premissas!$E$28</f>
        <v/>
      </c>
      <c r="F68">
        <f>B68*Premissas!$E$13/12*MIN(1,A68/Premissas!$E$17)</f>
        <v/>
      </c>
      <c r="G68">
        <f>F68*Premissas!$E$14</f>
        <v/>
      </c>
      <c r="H68">
        <f>IF(IF(A68-1-Premissas!$E$16&gt;=0,OFFSET($J$4,A68-1-Premissas!$E$16,0),0)&gt;0,ROUND(IF(A68-1-Premissas!$E$16&gt;=0,OFFSET($J$4,A68-1-Premissas!$E$16,0),0)*10000/Premissas!$E$5*Premissas!$E$15,0),0)</f>
        <v/>
      </c>
      <c r="I68">
        <f>ROUND(G68*Premissas!$E$6/10000,0)</f>
        <v/>
      </c>
      <c r="J68">
        <f>ROUND(G68*Premissas!$E$5/10000,0)</f>
        <v/>
      </c>
      <c r="K68">
        <f>IF(IF(A68-1-Premissas!$E$16&gt;=0,OFFSET($A$4,A68-1-Premissas!$E$16,0)&gt;=Premissas!$E$19,FALSE),ROUND(IF(A68-1-Premissas!$E$16&gt;=0,OFFSET($J$4,A68-1-Premissas!$E$16,0),0)*Premissas!$E$15,0),0)</f>
        <v/>
      </c>
      <c r="L68">
        <f>ROUND(C68*Premissas!$E$24/12,0)</f>
        <v/>
      </c>
      <c r="M68">
        <f>ROUND(D68*Premissas!$E$25,0)</f>
        <v/>
      </c>
      <c r="N68">
        <f>ROUND(E68*Premissas!$E$29+B68*Premissas!$E$30,0)</f>
        <v/>
      </c>
      <c r="O68">
        <f>K68+L68+M68+N68</f>
        <v/>
      </c>
      <c r="P68">
        <f>K68+ROUND(AC68*Premissas!$E$24,0)+M68+N68</f>
        <v/>
      </c>
      <c r="Q68">
        <f>ROUND(IF(A68-1-Premissas!$E$21&gt;=0,OFFSET($P$4,A68-1-Premissas!$E$21,0),0)*(1-Premissas!$E$20/100),0)</f>
        <v/>
      </c>
      <c r="R68">
        <f>ROUND(F68*Premissas!$E$11+N68*Premissas!$E$31/100,0)+ROUND((E68+B68)*Premissas!$E$10,0)+ROUND(Q68*Premissas!$E$8/100,0)+ROUND(Premissas!$E$35+(B68+C68)*Premissas!$E$36,0)</f>
        <v/>
      </c>
      <c r="S68">
        <f>O68-R68</f>
        <v/>
      </c>
      <c r="T68">
        <f>ROUND(O68*Premissas!$E$9/100,0)</f>
        <v/>
      </c>
      <c r="U68">
        <f>ROUND(AB68*Premissas!$E$33,0)</f>
        <v/>
      </c>
      <c r="V68">
        <f>Premissas!$E$37+ROUND(Premissas!$E$12*Premissas!$E$38+D68*Premissas!$E$27,0)</f>
        <v/>
      </c>
      <c r="W68">
        <f>Premissas!$E$39</f>
        <v/>
      </c>
      <c r="X68">
        <f>S68-T68-ROUND(Premissas!$E$12*Premissas!$E$38+D68*Premissas!$E$27,0)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Premissas!$E$32+(B68+C68)/Premissas!$E$34</f>
        <v/>
      </c>
      <c r="AC68">
        <f>D68+AC56*(1-Premissas!$E$26/12)^12</f>
        <v/>
      </c>
    </row>
    <row r="69">
      <c r="A69" t="n">
        <v>66</v>
      </c>
      <c r="B69">
        <f>B68*(1-Premissas!$E$18/12)+Premissas!$E$12</f>
        <v/>
      </c>
      <c r="C69">
        <f>IF($B$2=1,C68*(1-Premissas!$E$26/12)+D69,0)</f>
        <v/>
      </c>
      <c r="D69">
        <f>IF(AND($B$2=1,A69&gt;=Premissas!$E$23),Premissas!$E$22,0)</f>
        <v/>
      </c>
      <c r="E69">
        <f>B69*Premissas!$E$28</f>
        <v/>
      </c>
      <c r="F69">
        <f>B69*Premissas!$E$13/12*MIN(1,A69/Premissas!$E$17)</f>
        <v/>
      </c>
      <c r="G69">
        <f>F69*Premissas!$E$14</f>
        <v/>
      </c>
      <c r="H69">
        <f>IF(IF(A69-1-Premissas!$E$16&gt;=0,OFFSET($J$4,A69-1-Premissas!$E$16,0),0)&gt;0,ROUND(IF(A69-1-Premissas!$E$16&gt;=0,OFFSET($J$4,A69-1-Premissas!$E$16,0),0)*10000/Premissas!$E$5*Premissas!$E$15,0),0)</f>
        <v/>
      </c>
      <c r="I69">
        <f>ROUND(G69*Premissas!$E$6/10000,0)</f>
        <v/>
      </c>
      <c r="J69">
        <f>ROUND(G69*Premissas!$E$5/10000,0)</f>
        <v/>
      </c>
      <c r="K69">
        <f>IF(IF(A69-1-Premissas!$E$16&gt;=0,OFFSET($A$4,A69-1-Premissas!$E$16,0)&gt;=Premissas!$E$19,FALSE),ROUND(IF(A69-1-Premissas!$E$16&gt;=0,OFFSET($J$4,A69-1-Premissas!$E$16,0),0)*Premissas!$E$15,0),0)</f>
        <v/>
      </c>
      <c r="L69">
        <f>ROUND(C69*Premissas!$E$24/12,0)</f>
        <v/>
      </c>
      <c r="M69">
        <f>ROUND(D69*Premissas!$E$25,0)</f>
        <v/>
      </c>
      <c r="N69">
        <f>ROUND(E69*Premissas!$E$29+B69*Premissas!$E$30,0)</f>
        <v/>
      </c>
      <c r="O69">
        <f>K69+L69+M69+N69</f>
        <v/>
      </c>
      <c r="P69">
        <f>K69+ROUND(AC69*Premissas!$E$24,0)+M69+N69</f>
        <v/>
      </c>
      <c r="Q69">
        <f>ROUND(IF(A69-1-Premissas!$E$21&gt;=0,OFFSET($P$4,A69-1-Premissas!$E$21,0),0)*(1-Premissas!$E$20/100),0)</f>
        <v/>
      </c>
      <c r="R69">
        <f>ROUND(F69*Premissas!$E$11+N69*Premissas!$E$31/100,0)+ROUND((E69+B69)*Premissas!$E$10,0)+ROUND(Q69*Premissas!$E$8/100,0)+ROUND(Premissas!$E$35+(B69+C69)*Premissas!$E$36,0)</f>
        <v/>
      </c>
      <c r="S69">
        <f>O69-R69</f>
        <v/>
      </c>
      <c r="T69">
        <f>ROUND(O69*Premissas!$E$9/100,0)</f>
        <v/>
      </c>
      <c r="U69">
        <f>ROUND(AB69*Premissas!$E$33,0)</f>
        <v/>
      </c>
      <c r="V69">
        <f>Premissas!$E$37+ROUND(Premissas!$E$12*Premissas!$E$38+D69*Premissas!$E$27,0)</f>
        <v/>
      </c>
      <c r="W69">
        <f>Premissas!$E$39</f>
        <v/>
      </c>
      <c r="X69">
        <f>S69-T69-ROUND(Premissas!$E$12*Premissas!$E$38+D69*Premissas!$E$27,0)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Premissas!$E$32+(B69+C69)/Premissas!$E$34</f>
        <v/>
      </c>
      <c r="AC69">
        <f>D69+AC57*(1-Premissas!$E$26/12)^12</f>
        <v/>
      </c>
    </row>
    <row r="70">
      <c r="A70" t="n">
        <v>67</v>
      </c>
      <c r="B70">
        <f>B69*(1-Premissas!$E$18/12)+Premissas!$E$12</f>
        <v/>
      </c>
      <c r="C70">
        <f>IF($B$2=1,C69*(1-Premissas!$E$26/12)+D70,0)</f>
        <v/>
      </c>
      <c r="D70">
        <f>IF(AND($B$2=1,A70&gt;=Premissas!$E$23),Premissas!$E$22,0)</f>
        <v/>
      </c>
      <c r="E70">
        <f>B70*Premissas!$E$28</f>
        <v/>
      </c>
      <c r="F70">
        <f>B70*Premissas!$E$13/12*MIN(1,A70/Premissas!$E$17)</f>
        <v/>
      </c>
      <c r="G70">
        <f>F70*Premissas!$E$14</f>
        <v/>
      </c>
      <c r="H70">
        <f>IF(IF(A70-1-Premissas!$E$16&gt;=0,OFFSET($J$4,A70-1-Premissas!$E$16,0),0)&gt;0,ROUND(IF(A70-1-Premissas!$E$16&gt;=0,OFFSET($J$4,A70-1-Premissas!$E$16,0),0)*10000/Premissas!$E$5*Premissas!$E$15,0),0)</f>
        <v/>
      </c>
      <c r="I70">
        <f>ROUND(G70*Premissas!$E$6/10000,0)</f>
        <v/>
      </c>
      <c r="J70">
        <f>ROUND(G70*Premissas!$E$5/10000,0)</f>
        <v/>
      </c>
      <c r="K70">
        <f>IF(IF(A70-1-Premissas!$E$16&gt;=0,OFFSET($A$4,A70-1-Premissas!$E$16,0)&gt;=Premissas!$E$19,FALSE),ROUND(IF(A70-1-Premissas!$E$16&gt;=0,OFFSET($J$4,A70-1-Premissas!$E$16,0),0)*Premissas!$E$15,0),0)</f>
        <v/>
      </c>
      <c r="L70">
        <f>ROUND(C70*Premissas!$E$24/12,0)</f>
        <v/>
      </c>
      <c r="M70">
        <f>ROUND(D70*Premissas!$E$25,0)</f>
        <v/>
      </c>
      <c r="N70">
        <f>ROUND(E70*Premissas!$E$29+B70*Premissas!$E$30,0)</f>
        <v/>
      </c>
      <c r="O70">
        <f>K70+L70+M70+N70</f>
        <v/>
      </c>
      <c r="P70">
        <f>K70+ROUND(AC70*Premissas!$E$24,0)+M70+N70</f>
        <v/>
      </c>
      <c r="Q70">
        <f>ROUND(IF(A70-1-Premissas!$E$21&gt;=0,OFFSET($P$4,A70-1-Premissas!$E$21,0),0)*(1-Premissas!$E$20/100),0)</f>
        <v/>
      </c>
      <c r="R70">
        <f>ROUND(F70*Premissas!$E$11+N70*Premissas!$E$31/100,0)+ROUND((E70+B70)*Premissas!$E$10,0)+ROUND(Q70*Premissas!$E$8/100,0)+ROUND(Premissas!$E$35+(B70+C70)*Premissas!$E$36,0)</f>
        <v/>
      </c>
      <c r="S70">
        <f>O70-R70</f>
        <v/>
      </c>
      <c r="T70">
        <f>ROUND(O70*Premissas!$E$9/100,0)</f>
        <v/>
      </c>
      <c r="U70">
        <f>ROUND(AB70*Premissas!$E$33,0)</f>
        <v/>
      </c>
      <c r="V70">
        <f>Premissas!$E$37+ROUND(Premissas!$E$12*Premissas!$E$38+D70*Premissas!$E$27,0)</f>
        <v/>
      </c>
      <c r="W70">
        <f>Premissas!$E$39</f>
        <v/>
      </c>
      <c r="X70">
        <f>S70-T70-ROUND(Premissas!$E$12*Premissas!$E$38+D70*Premissas!$E$27,0)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Premissas!$E$32+(B70+C70)/Premissas!$E$34</f>
        <v/>
      </c>
      <c r="AC70">
        <f>D70+AC58*(1-Premissas!$E$26/12)^12</f>
        <v/>
      </c>
    </row>
    <row r="71">
      <c r="A71" t="n">
        <v>68</v>
      </c>
      <c r="B71">
        <f>B70*(1-Premissas!$E$18/12)+Premissas!$E$12</f>
        <v/>
      </c>
      <c r="C71">
        <f>IF($B$2=1,C70*(1-Premissas!$E$26/12)+D71,0)</f>
        <v/>
      </c>
      <c r="D71">
        <f>IF(AND($B$2=1,A71&gt;=Premissas!$E$23),Premissas!$E$22,0)</f>
        <v/>
      </c>
      <c r="E71">
        <f>B71*Premissas!$E$28</f>
        <v/>
      </c>
      <c r="F71">
        <f>B71*Premissas!$E$13/12*MIN(1,A71/Premissas!$E$17)</f>
        <v/>
      </c>
      <c r="G71">
        <f>F71*Premissas!$E$14</f>
        <v/>
      </c>
      <c r="H71">
        <f>IF(IF(A71-1-Premissas!$E$16&gt;=0,OFFSET($J$4,A71-1-Premissas!$E$16,0),0)&gt;0,ROUND(IF(A71-1-Premissas!$E$16&gt;=0,OFFSET($J$4,A71-1-Premissas!$E$16,0),0)*10000/Premissas!$E$5*Premissas!$E$15,0),0)</f>
        <v/>
      </c>
      <c r="I71">
        <f>ROUND(G71*Premissas!$E$6/10000,0)</f>
        <v/>
      </c>
      <c r="J71">
        <f>ROUND(G71*Premissas!$E$5/10000,0)</f>
        <v/>
      </c>
      <c r="K71">
        <f>IF(IF(A71-1-Premissas!$E$16&gt;=0,OFFSET($A$4,A71-1-Premissas!$E$16,0)&gt;=Premissas!$E$19,FALSE),ROUND(IF(A71-1-Premissas!$E$16&gt;=0,OFFSET($J$4,A71-1-Premissas!$E$16,0),0)*Premissas!$E$15,0),0)</f>
        <v/>
      </c>
      <c r="L71">
        <f>ROUND(C71*Premissas!$E$24/12,0)</f>
        <v/>
      </c>
      <c r="M71">
        <f>ROUND(D71*Premissas!$E$25,0)</f>
        <v/>
      </c>
      <c r="N71">
        <f>ROUND(E71*Premissas!$E$29+B71*Premissas!$E$30,0)</f>
        <v/>
      </c>
      <c r="O71">
        <f>K71+L71+M71+N71</f>
        <v/>
      </c>
      <c r="P71">
        <f>K71+ROUND(AC71*Premissas!$E$24,0)+M71+N71</f>
        <v/>
      </c>
      <c r="Q71">
        <f>ROUND(IF(A71-1-Premissas!$E$21&gt;=0,OFFSET($P$4,A71-1-Premissas!$E$21,0),0)*(1-Premissas!$E$20/100),0)</f>
        <v/>
      </c>
      <c r="R71">
        <f>ROUND(F71*Premissas!$E$11+N71*Premissas!$E$31/100,0)+ROUND((E71+B71)*Premissas!$E$10,0)+ROUND(Q71*Premissas!$E$8/100,0)+ROUND(Premissas!$E$35+(B71+C71)*Premissas!$E$36,0)</f>
        <v/>
      </c>
      <c r="S71">
        <f>O71-R71</f>
        <v/>
      </c>
      <c r="T71">
        <f>ROUND(O71*Premissas!$E$9/100,0)</f>
        <v/>
      </c>
      <c r="U71">
        <f>ROUND(AB71*Premissas!$E$33,0)</f>
        <v/>
      </c>
      <c r="V71">
        <f>Premissas!$E$37+ROUND(Premissas!$E$12*Premissas!$E$38+D71*Premissas!$E$27,0)</f>
        <v/>
      </c>
      <c r="W71">
        <f>Premissas!$E$39</f>
        <v/>
      </c>
      <c r="X71">
        <f>S71-T71-ROUND(Premissas!$E$12*Premissas!$E$38+D71*Premissas!$E$27,0)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Premissas!$E$32+(B71+C71)/Premissas!$E$34</f>
        <v/>
      </c>
      <c r="AC71">
        <f>D71+AC59*(1-Premissas!$E$26/12)^12</f>
        <v/>
      </c>
    </row>
    <row r="72">
      <c r="A72" t="n">
        <v>69</v>
      </c>
      <c r="B72">
        <f>B71*(1-Premissas!$E$18/12)+Premissas!$E$12</f>
        <v/>
      </c>
      <c r="C72">
        <f>IF($B$2=1,C71*(1-Premissas!$E$26/12)+D72,0)</f>
        <v/>
      </c>
      <c r="D72">
        <f>IF(AND($B$2=1,A72&gt;=Premissas!$E$23),Premissas!$E$22,0)</f>
        <v/>
      </c>
      <c r="E72">
        <f>B72*Premissas!$E$28</f>
        <v/>
      </c>
      <c r="F72">
        <f>B72*Premissas!$E$13/12*MIN(1,A72/Premissas!$E$17)</f>
        <v/>
      </c>
      <c r="G72">
        <f>F72*Premissas!$E$14</f>
        <v/>
      </c>
      <c r="H72">
        <f>IF(IF(A72-1-Premissas!$E$16&gt;=0,OFFSET($J$4,A72-1-Premissas!$E$16,0),0)&gt;0,ROUND(IF(A72-1-Premissas!$E$16&gt;=0,OFFSET($J$4,A72-1-Premissas!$E$16,0),0)*10000/Premissas!$E$5*Premissas!$E$15,0),0)</f>
        <v/>
      </c>
      <c r="I72">
        <f>ROUND(G72*Premissas!$E$6/10000,0)</f>
        <v/>
      </c>
      <c r="J72">
        <f>ROUND(G72*Premissas!$E$5/10000,0)</f>
        <v/>
      </c>
      <c r="K72">
        <f>IF(IF(A72-1-Premissas!$E$16&gt;=0,OFFSET($A$4,A72-1-Premissas!$E$16,0)&gt;=Premissas!$E$19,FALSE),ROUND(IF(A72-1-Premissas!$E$16&gt;=0,OFFSET($J$4,A72-1-Premissas!$E$16,0),0)*Premissas!$E$15,0),0)</f>
        <v/>
      </c>
      <c r="L72">
        <f>ROUND(C72*Premissas!$E$24/12,0)</f>
        <v/>
      </c>
      <c r="M72">
        <f>ROUND(D72*Premissas!$E$25,0)</f>
        <v/>
      </c>
      <c r="N72">
        <f>ROUND(E72*Premissas!$E$29+B72*Premissas!$E$30,0)</f>
        <v/>
      </c>
      <c r="O72">
        <f>K72+L72+M72+N72</f>
        <v/>
      </c>
      <c r="P72">
        <f>K72+ROUND(AC72*Premissas!$E$24,0)+M72+N72</f>
        <v/>
      </c>
      <c r="Q72">
        <f>ROUND(IF(A72-1-Premissas!$E$21&gt;=0,OFFSET($P$4,A72-1-Premissas!$E$21,0),0)*(1-Premissas!$E$20/100),0)</f>
        <v/>
      </c>
      <c r="R72">
        <f>ROUND(F72*Premissas!$E$11+N72*Premissas!$E$31/100,0)+ROUND((E72+B72)*Premissas!$E$10,0)+ROUND(Q72*Premissas!$E$8/100,0)+ROUND(Premissas!$E$35+(B72+C72)*Premissas!$E$36,0)</f>
        <v/>
      </c>
      <c r="S72">
        <f>O72-R72</f>
        <v/>
      </c>
      <c r="T72">
        <f>ROUND(O72*Premissas!$E$9/100,0)</f>
        <v/>
      </c>
      <c r="U72">
        <f>ROUND(AB72*Premissas!$E$33,0)</f>
        <v/>
      </c>
      <c r="V72">
        <f>Premissas!$E$37+ROUND(Premissas!$E$12*Premissas!$E$38+D72*Premissas!$E$27,0)</f>
        <v/>
      </c>
      <c r="W72">
        <f>Premissas!$E$39</f>
        <v/>
      </c>
      <c r="X72">
        <f>S72-T72-ROUND(Premissas!$E$12*Premissas!$E$38+D72*Premissas!$E$27,0)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Premissas!$E$32+(B72+C72)/Premissas!$E$34</f>
        <v/>
      </c>
      <c r="AC72">
        <f>D72+AC60*(1-Premissas!$E$26/12)^12</f>
        <v/>
      </c>
    </row>
    <row r="73">
      <c r="A73" t="n">
        <v>70</v>
      </c>
      <c r="B73">
        <f>B72*(1-Premissas!$E$18/12)+Premissas!$E$12</f>
        <v/>
      </c>
      <c r="C73">
        <f>IF($B$2=1,C72*(1-Premissas!$E$26/12)+D73,0)</f>
        <v/>
      </c>
      <c r="D73">
        <f>IF(AND($B$2=1,A73&gt;=Premissas!$E$23),Premissas!$E$22,0)</f>
        <v/>
      </c>
      <c r="E73">
        <f>B73*Premissas!$E$28</f>
        <v/>
      </c>
      <c r="F73">
        <f>B73*Premissas!$E$13/12*MIN(1,A73/Premissas!$E$17)</f>
        <v/>
      </c>
      <c r="G73">
        <f>F73*Premissas!$E$14</f>
        <v/>
      </c>
      <c r="H73">
        <f>IF(IF(A73-1-Premissas!$E$16&gt;=0,OFFSET($J$4,A73-1-Premissas!$E$16,0),0)&gt;0,ROUND(IF(A73-1-Premissas!$E$16&gt;=0,OFFSET($J$4,A73-1-Premissas!$E$16,0),0)*10000/Premissas!$E$5*Premissas!$E$15,0),0)</f>
        <v/>
      </c>
      <c r="I73">
        <f>ROUND(G73*Premissas!$E$6/10000,0)</f>
        <v/>
      </c>
      <c r="J73">
        <f>ROUND(G73*Premissas!$E$5/10000,0)</f>
        <v/>
      </c>
      <c r="K73">
        <f>IF(IF(A73-1-Premissas!$E$16&gt;=0,OFFSET($A$4,A73-1-Premissas!$E$16,0)&gt;=Premissas!$E$19,FALSE),ROUND(IF(A73-1-Premissas!$E$16&gt;=0,OFFSET($J$4,A73-1-Premissas!$E$16,0),0)*Premissas!$E$15,0),0)</f>
        <v/>
      </c>
      <c r="L73">
        <f>ROUND(C73*Premissas!$E$24/12,0)</f>
        <v/>
      </c>
      <c r="M73">
        <f>ROUND(D73*Premissas!$E$25,0)</f>
        <v/>
      </c>
      <c r="N73">
        <f>ROUND(E73*Premissas!$E$29+B73*Premissas!$E$30,0)</f>
        <v/>
      </c>
      <c r="O73">
        <f>K73+L73+M73+N73</f>
        <v/>
      </c>
      <c r="P73">
        <f>K73+ROUND(AC73*Premissas!$E$24,0)+M73+N73</f>
        <v/>
      </c>
      <c r="Q73">
        <f>ROUND(IF(A73-1-Premissas!$E$21&gt;=0,OFFSET($P$4,A73-1-Premissas!$E$21,0),0)*(1-Premissas!$E$20/100),0)</f>
        <v/>
      </c>
      <c r="R73">
        <f>ROUND(F73*Premissas!$E$11+N73*Premissas!$E$31/100,0)+ROUND((E73+B73)*Premissas!$E$10,0)+ROUND(Q73*Premissas!$E$8/100,0)+ROUND(Premissas!$E$35+(B73+C73)*Premissas!$E$36,0)</f>
        <v/>
      </c>
      <c r="S73">
        <f>O73-R73</f>
        <v/>
      </c>
      <c r="T73">
        <f>ROUND(O73*Premissas!$E$9/100,0)</f>
        <v/>
      </c>
      <c r="U73">
        <f>ROUND(AB73*Premissas!$E$33,0)</f>
        <v/>
      </c>
      <c r="V73">
        <f>Premissas!$E$37+ROUND(Premissas!$E$12*Premissas!$E$38+D73*Premissas!$E$27,0)</f>
        <v/>
      </c>
      <c r="W73">
        <f>Premissas!$E$39</f>
        <v/>
      </c>
      <c r="X73">
        <f>S73-T73-ROUND(Premissas!$E$12*Premissas!$E$38+D73*Premissas!$E$27,0)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Premissas!$E$32+(B73+C73)/Premissas!$E$34</f>
        <v/>
      </c>
      <c r="AC73">
        <f>D73+AC61*(1-Premissas!$E$26/12)^12</f>
        <v/>
      </c>
    </row>
    <row r="74">
      <c r="A74" t="n">
        <v>71</v>
      </c>
      <c r="B74">
        <f>B73*(1-Premissas!$E$18/12)+Premissas!$E$12</f>
        <v/>
      </c>
      <c r="C74">
        <f>IF($B$2=1,C73*(1-Premissas!$E$26/12)+D74,0)</f>
        <v/>
      </c>
      <c r="D74">
        <f>IF(AND($B$2=1,A74&gt;=Premissas!$E$23),Premissas!$E$22,0)</f>
        <v/>
      </c>
      <c r="E74">
        <f>B74*Premissas!$E$28</f>
        <v/>
      </c>
      <c r="F74">
        <f>B74*Premissas!$E$13/12*MIN(1,A74/Premissas!$E$17)</f>
        <v/>
      </c>
      <c r="G74">
        <f>F74*Premissas!$E$14</f>
        <v/>
      </c>
      <c r="H74">
        <f>IF(IF(A74-1-Premissas!$E$16&gt;=0,OFFSET($J$4,A74-1-Premissas!$E$16,0),0)&gt;0,ROUND(IF(A74-1-Premissas!$E$16&gt;=0,OFFSET($J$4,A74-1-Premissas!$E$16,0),0)*10000/Premissas!$E$5*Premissas!$E$15,0),0)</f>
        <v/>
      </c>
      <c r="I74">
        <f>ROUND(G74*Premissas!$E$6/10000,0)</f>
        <v/>
      </c>
      <c r="J74">
        <f>ROUND(G74*Premissas!$E$5/10000,0)</f>
        <v/>
      </c>
      <c r="K74">
        <f>IF(IF(A74-1-Premissas!$E$16&gt;=0,OFFSET($A$4,A74-1-Premissas!$E$16,0)&gt;=Premissas!$E$19,FALSE),ROUND(IF(A74-1-Premissas!$E$16&gt;=0,OFFSET($J$4,A74-1-Premissas!$E$16,0),0)*Premissas!$E$15,0),0)</f>
        <v/>
      </c>
      <c r="L74">
        <f>ROUND(C74*Premissas!$E$24/12,0)</f>
        <v/>
      </c>
      <c r="M74">
        <f>ROUND(D74*Premissas!$E$25,0)</f>
        <v/>
      </c>
      <c r="N74">
        <f>ROUND(E74*Premissas!$E$29+B74*Premissas!$E$30,0)</f>
        <v/>
      </c>
      <c r="O74">
        <f>K74+L74+M74+N74</f>
        <v/>
      </c>
      <c r="P74">
        <f>K74+ROUND(AC74*Premissas!$E$24,0)+M74+N74</f>
        <v/>
      </c>
      <c r="Q74">
        <f>ROUND(IF(A74-1-Premissas!$E$21&gt;=0,OFFSET($P$4,A74-1-Premissas!$E$21,0),0)*(1-Premissas!$E$20/100),0)</f>
        <v/>
      </c>
      <c r="R74">
        <f>ROUND(F74*Premissas!$E$11+N74*Premissas!$E$31/100,0)+ROUND((E74+B74)*Premissas!$E$10,0)+ROUND(Q74*Premissas!$E$8/100,0)+ROUND(Premissas!$E$35+(B74+C74)*Premissas!$E$36,0)</f>
        <v/>
      </c>
      <c r="S74">
        <f>O74-R74</f>
        <v/>
      </c>
      <c r="T74">
        <f>ROUND(O74*Premissas!$E$9/100,0)</f>
        <v/>
      </c>
      <c r="U74">
        <f>ROUND(AB74*Premissas!$E$33,0)</f>
        <v/>
      </c>
      <c r="V74">
        <f>Premissas!$E$37+ROUND(Premissas!$E$12*Premissas!$E$38+D74*Premissas!$E$27,0)</f>
        <v/>
      </c>
      <c r="W74">
        <f>Premissas!$E$39</f>
        <v/>
      </c>
      <c r="X74">
        <f>S74-T74-ROUND(Premissas!$E$12*Premissas!$E$38+D74*Premissas!$E$27,0)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Premissas!$E$32+(B74+C74)/Premissas!$E$34</f>
        <v/>
      </c>
      <c r="AC74">
        <f>D74+AC62*(1-Premissas!$E$26/12)^12</f>
        <v/>
      </c>
    </row>
    <row r="75">
      <c r="A75" t="n">
        <v>72</v>
      </c>
      <c r="B75">
        <f>B74*(1-Premissas!$E$18/12)+Premissas!$E$12</f>
        <v/>
      </c>
      <c r="C75">
        <f>IF($B$2=1,C74*(1-Premissas!$E$26/12)+D75,0)</f>
        <v/>
      </c>
      <c r="D75">
        <f>IF(AND($B$2=1,A75&gt;=Premissas!$E$23),Premissas!$E$22,0)</f>
        <v/>
      </c>
      <c r="E75">
        <f>B75*Premissas!$E$28</f>
        <v/>
      </c>
      <c r="F75">
        <f>B75*Premissas!$E$13/12*MIN(1,A75/Premissas!$E$17)</f>
        <v/>
      </c>
      <c r="G75">
        <f>F75*Premissas!$E$14</f>
        <v/>
      </c>
      <c r="H75">
        <f>IF(IF(A75-1-Premissas!$E$16&gt;=0,OFFSET($J$4,A75-1-Premissas!$E$16,0),0)&gt;0,ROUND(IF(A75-1-Premissas!$E$16&gt;=0,OFFSET($J$4,A75-1-Premissas!$E$16,0),0)*10000/Premissas!$E$5*Premissas!$E$15,0),0)</f>
        <v/>
      </c>
      <c r="I75">
        <f>ROUND(G75*Premissas!$E$6/10000,0)</f>
        <v/>
      </c>
      <c r="J75">
        <f>ROUND(G75*Premissas!$E$5/10000,0)</f>
        <v/>
      </c>
      <c r="K75">
        <f>IF(IF(A75-1-Premissas!$E$16&gt;=0,OFFSET($A$4,A75-1-Premissas!$E$16,0)&gt;=Premissas!$E$19,FALSE),ROUND(IF(A75-1-Premissas!$E$16&gt;=0,OFFSET($J$4,A75-1-Premissas!$E$16,0),0)*Premissas!$E$15,0),0)</f>
        <v/>
      </c>
      <c r="L75">
        <f>ROUND(C75*Premissas!$E$24/12,0)</f>
        <v/>
      </c>
      <c r="M75">
        <f>ROUND(D75*Premissas!$E$25,0)</f>
        <v/>
      </c>
      <c r="N75">
        <f>ROUND(E75*Premissas!$E$29+B75*Premissas!$E$30,0)</f>
        <v/>
      </c>
      <c r="O75">
        <f>K75+L75+M75+N75</f>
        <v/>
      </c>
      <c r="P75">
        <f>K75+ROUND(AC75*Premissas!$E$24,0)+M75+N75</f>
        <v/>
      </c>
      <c r="Q75">
        <f>ROUND(IF(A75-1-Premissas!$E$21&gt;=0,OFFSET($P$4,A75-1-Premissas!$E$21,0),0)*(1-Premissas!$E$20/100),0)</f>
        <v/>
      </c>
      <c r="R75">
        <f>ROUND(F75*Premissas!$E$11+N75*Premissas!$E$31/100,0)+ROUND((E75+B75)*Premissas!$E$10,0)+ROUND(Q75*Premissas!$E$8/100,0)+ROUND(Premissas!$E$35+(B75+C75)*Premissas!$E$36,0)</f>
        <v/>
      </c>
      <c r="S75">
        <f>O75-R75</f>
        <v/>
      </c>
      <c r="T75">
        <f>ROUND(O75*Premissas!$E$9/100,0)</f>
        <v/>
      </c>
      <c r="U75">
        <f>ROUND(AB75*Premissas!$E$33,0)</f>
        <v/>
      </c>
      <c r="V75">
        <f>Premissas!$E$37+ROUND(Premissas!$E$12*Premissas!$E$38+D75*Premissas!$E$27,0)</f>
        <v/>
      </c>
      <c r="W75">
        <f>Premissas!$E$39</f>
        <v/>
      </c>
      <c r="X75">
        <f>S75-T75-ROUND(Premissas!$E$12*Premissas!$E$38+D75*Premissas!$E$27,0)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Premissas!$E$32+(B75+C75)/Premissas!$E$34</f>
        <v/>
      </c>
      <c r="AC75">
        <f>D75+AC63*(1-Premissas!$E$26/12)^12</f>
        <v/>
      </c>
    </row>
    <row r="76">
      <c r="A76" t="n">
        <v>73</v>
      </c>
      <c r="B76">
        <f>B75*(1-Premissas!$E$18/12)+Premissas!$E$12</f>
        <v/>
      </c>
      <c r="C76">
        <f>IF($B$2=1,C75*(1-Premissas!$E$26/12)+D76,0)</f>
        <v/>
      </c>
      <c r="D76">
        <f>IF(AND($B$2=1,A76&gt;=Premissas!$E$23),Premissas!$E$22,0)</f>
        <v/>
      </c>
      <c r="E76">
        <f>B76*Premissas!$E$28</f>
        <v/>
      </c>
      <c r="F76">
        <f>B76*Premissas!$E$13/12*MIN(1,A76/Premissas!$E$17)</f>
        <v/>
      </c>
      <c r="G76">
        <f>F76*Premissas!$E$14</f>
        <v/>
      </c>
      <c r="H76">
        <f>IF(IF(A76-1-Premissas!$E$16&gt;=0,OFFSET($J$4,A76-1-Premissas!$E$16,0),0)&gt;0,ROUND(IF(A76-1-Premissas!$E$16&gt;=0,OFFSET($J$4,A76-1-Premissas!$E$16,0),0)*10000/Premissas!$E$5*Premissas!$E$15,0),0)</f>
        <v/>
      </c>
      <c r="I76">
        <f>ROUND(G76*Premissas!$E$6/10000,0)</f>
        <v/>
      </c>
      <c r="J76">
        <f>ROUND(G76*Premissas!$E$5/10000,0)</f>
        <v/>
      </c>
      <c r="K76">
        <f>IF(IF(A76-1-Premissas!$E$16&gt;=0,OFFSET($A$4,A76-1-Premissas!$E$16,0)&gt;=Premissas!$E$19,FALSE),ROUND(IF(A76-1-Premissas!$E$16&gt;=0,OFFSET($J$4,A76-1-Premissas!$E$16,0),0)*Premissas!$E$15,0),0)</f>
        <v/>
      </c>
      <c r="L76">
        <f>ROUND(C76*Premissas!$E$24/12,0)</f>
        <v/>
      </c>
      <c r="M76">
        <f>ROUND(D76*Premissas!$E$25,0)</f>
        <v/>
      </c>
      <c r="N76">
        <f>ROUND(E76*Premissas!$E$29+B76*Premissas!$E$30,0)</f>
        <v/>
      </c>
      <c r="O76">
        <f>K76+L76+M76+N76</f>
        <v/>
      </c>
      <c r="P76">
        <f>K76+ROUND(AC76*Premissas!$E$24,0)+M76+N76</f>
        <v/>
      </c>
      <c r="Q76">
        <f>ROUND(IF(A76-1-Premissas!$E$21&gt;=0,OFFSET($P$4,A76-1-Premissas!$E$21,0),0)*(1-Premissas!$E$20/100),0)</f>
        <v/>
      </c>
      <c r="R76">
        <f>ROUND(F76*Premissas!$E$11+N76*Premissas!$E$31/100,0)+ROUND((E76+B76)*Premissas!$E$10,0)+ROUND(Q76*Premissas!$E$8/100,0)+ROUND(Premissas!$E$35+(B76+C76)*Premissas!$E$36,0)</f>
        <v/>
      </c>
      <c r="S76">
        <f>O76-R76</f>
        <v/>
      </c>
      <c r="T76">
        <f>ROUND(O76*Premissas!$E$9/100,0)</f>
        <v/>
      </c>
      <c r="U76">
        <f>ROUND(AB76*Premissas!$E$33,0)</f>
        <v/>
      </c>
      <c r="V76">
        <f>Premissas!$E$37+ROUND(Premissas!$E$12*Premissas!$E$38+D76*Premissas!$E$27,0)</f>
        <v/>
      </c>
      <c r="W76">
        <f>Premissas!$E$39</f>
        <v/>
      </c>
      <c r="X76">
        <f>S76-T76-ROUND(Premissas!$E$12*Premissas!$E$38+D76*Premissas!$E$27,0)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Premissas!$E$32+(B76+C76)/Premissas!$E$34</f>
        <v/>
      </c>
      <c r="AC76">
        <f>D76+AC64*(1-Premissas!$E$26/12)^12</f>
        <v/>
      </c>
    </row>
    <row r="77">
      <c r="A77" t="n">
        <v>74</v>
      </c>
      <c r="B77">
        <f>B76*(1-Premissas!$E$18/12)+Premissas!$E$12</f>
        <v/>
      </c>
      <c r="C77">
        <f>IF($B$2=1,C76*(1-Premissas!$E$26/12)+D77,0)</f>
        <v/>
      </c>
      <c r="D77">
        <f>IF(AND($B$2=1,A77&gt;=Premissas!$E$23),Premissas!$E$22,0)</f>
        <v/>
      </c>
      <c r="E77">
        <f>B77*Premissas!$E$28</f>
        <v/>
      </c>
      <c r="F77">
        <f>B77*Premissas!$E$13/12*MIN(1,A77/Premissas!$E$17)</f>
        <v/>
      </c>
      <c r="G77">
        <f>F77*Premissas!$E$14</f>
        <v/>
      </c>
      <c r="H77">
        <f>IF(IF(A77-1-Premissas!$E$16&gt;=0,OFFSET($J$4,A77-1-Premissas!$E$16,0),0)&gt;0,ROUND(IF(A77-1-Premissas!$E$16&gt;=0,OFFSET($J$4,A77-1-Premissas!$E$16,0),0)*10000/Premissas!$E$5*Premissas!$E$15,0),0)</f>
        <v/>
      </c>
      <c r="I77">
        <f>ROUND(G77*Premissas!$E$6/10000,0)</f>
        <v/>
      </c>
      <c r="J77">
        <f>ROUND(G77*Premissas!$E$5/10000,0)</f>
        <v/>
      </c>
      <c r="K77">
        <f>IF(IF(A77-1-Premissas!$E$16&gt;=0,OFFSET($A$4,A77-1-Premissas!$E$16,0)&gt;=Premissas!$E$19,FALSE),ROUND(IF(A77-1-Premissas!$E$16&gt;=0,OFFSET($J$4,A77-1-Premissas!$E$16,0),0)*Premissas!$E$15,0),0)</f>
        <v/>
      </c>
      <c r="L77">
        <f>ROUND(C77*Premissas!$E$24/12,0)</f>
        <v/>
      </c>
      <c r="M77">
        <f>ROUND(D77*Premissas!$E$25,0)</f>
        <v/>
      </c>
      <c r="N77">
        <f>ROUND(E77*Premissas!$E$29+B77*Premissas!$E$30,0)</f>
        <v/>
      </c>
      <c r="O77">
        <f>K77+L77+M77+N77</f>
        <v/>
      </c>
      <c r="P77">
        <f>K77+ROUND(AC77*Premissas!$E$24,0)+M77+N77</f>
        <v/>
      </c>
      <c r="Q77">
        <f>ROUND(IF(A77-1-Premissas!$E$21&gt;=0,OFFSET($P$4,A77-1-Premissas!$E$21,0),0)*(1-Premissas!$E$20/100),0)</f>
        <v/>
      </c>
      <c r="R77">
        <f>ROUND(F77*Premissas!$E$11+N77*Premissas!$E$31/100,0)+ROUND((E77+B77)*Premissas!$E$10,0)+ROUND(Q77*Premissas!$E$8/100,0)+ROUND(Premissas!$E$35+(B77+C77)*Premissas!$E$36,0)</f>
        <v/>
      </c>
      <c r="S77">
        <f>O77-R77</f>
        <v/>
      </c>
      <c r="T77">
        <f>ROUND(O77*Premissas!$E$9/100,0)</f>
        <v/>
      </c>
      <c r="U77">
        <f>ROUND(AB77*Premissas!$E$33,0)</f>
        <v/>
      </c>
      <c r="V77">
        <f>Premissas!$E$37+ROUND(Premissas!$E$12*Premissas!$E$38+D77*Premissas!$E$27,0)</f>
        <v/>
      </c>
      <c r="W77">
        <f>Premissas!$E$39</f>
        <v/>
      </c>
      <c r="X77">
        <f>S77-T77-ROUND(Premissas!$E$12*Premissas!$E$38+D77*Premissas!$E$27,0)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Premissas!$E$32+(B77+C77)/Premissas!$E$34</f>
        <v/>
      </c>
      <c r="AC77">
        <f>D77+AC65*(1-Premissas!$E$26/12)^12</f>
        <v/>
      </c>
    </row>
    <row r="78">
      <c r="A78" t="n">
        <v>75</v>
      </c>
      <c r="B78">
        <f>B77*(1-Premissas!$E$18/12)+Premissas!$E$12</f>
        <v/>
      </c>
      <c r="C78">
        <f>IF($B$2=1,C77*(1-Premissas!$E$26/12)+D78,0)</f>
        <v/>
      </c>
      <c r="D78">
        <f>IF(AND($B$2=1,A78&gt;=Premissas!$E$23),Premissas!$E$22,0)</f>
        <v/>
      </c>
      <c r="E78">
        <f>B78*Premissas!$E$28</f>
        <v/>
      </c>
      <c r="F78">
        <f>B78*Premissas!$E$13/12*MIN(1,A78/Premissas!$E$17)</f>
        <v/>
      </c>
      <c r="G78">
        <f>F78*Premissas!$E$14</f>
        <v/>
      </c>
      <c r="H78">
        <f>IF(IF(A78-1-Premissas!$E$16&gt;=0,OFFSET($J$4,A78-1-Premissas!$E$16,0),0)&gt;0,ROUND(IF(A78-1-Premissas!$E$16&gt;=0,OFFSET($J$4,A78-1-Premissas!$E$16,0),0)*10000/Premissas!$E$5*Premissas!$E$15,0),0)</f>
        <v/>
      </c>
      <c r="I78">
        <f>ROUND(G78*Premissas!$E$6/10000,0)</f>
        <v/>
      </c>
      <c r="J78">
        <f>ROUND(G78*Premissas!$E$5/10000,0)</f>
        <v/>
      </c>
      <c r="K78">
        <f>IF(IF(A78-1-Premissas!$E$16&gt;=0,OFFSET($A$4,A78-1-Premissas!$E$16,0)&gt;=Premissas!$E$19,FALSE),ROUND(IF(A78-1-Premissas!$E$16&gt;=0,OFFSET($J$4,A78-1-Premissas!$E$16,0),0)*Premissas!$E$15,0),0)</f>
        <v/>
      </c>
      <c r="L78">
        <f>ROUND(C78*Premissas!$E$24/12,0)</f>
        <v/>
      </c>
      <c r="M78">
        <f>ROUND(D78*Premissas!$E$25,0)</f>
        <v/>
      </c>
      <c r="N78">
        <f>ROUND(E78*Premissas!$E$29+B78*Premissas!$E$30,0)</f>
        <v/>
      </c>
      <c r="O78">
        <f>K78+L78+M78+N78</f>
        <v/>
      </c>
      <c r="P78">
        <f>K78+ROUND(AC78*Premissas!$E$24,0)+M78+N78</f>
        <v/>
      </c>
      <c r="Q78">
        <f>ROUND(IF(A78-1-Premissas!$E$21&gt;=0,OFFSET($P$4,A78-1-Premissas!$E$21,0),0)*(1-Premissas!$E$20/100),0)</f>
        <v/>
      </c>
      <c r="R78">
        <f>ROUND(F78*Premissas!$E$11+N78*Premissas!$E$31/100,0)+ROUND((E78+B78)*Premissas!$E$10,0)+ROUND(Q78*Premissas!$E$8/100,0)+ROUND(Premissas!$E$35+(B78+C78)*Premissas!$E$36,0)</f>
        <v/>
      </c>
      <c r="S78">
        <f>O78-R78</f>
        <v/>
      </c>
      <c r="T78">
        <f>ROUND(O78*Premissas!$E$9/100,0)</f>
        <v/>
      </c>
      <c r="U78">
        <f>ROUND(AB78*Premissas!$E$33,0)</f>
        <v/>
      </c>
      <c r="V78">
        <f>Premissas!$E$37+ROUND(Premissas!$E$12*Premissas!$E$38+D78*Premissas!$E$27,0)</f>
        <v/>
      </c>
      <c r="W78">
        <f>Premissas!$E$39</f>
        <v/>
      </c>
      <c r="X78">
        <f>S78-T78-ROUND(Premissas!$E$12*Premissas!$E$38+D78*Premissas!$E$27,0)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Premissas!$E$32+(B78+C78)/Premissas!$E$34</f>
        <v/>
      </c>
      <c r="AC78">
        <f>D78+AC66*(1-Premissas!$E$26/12)^12</f>
        <v/>
      </c>
    </row>
    <row r="79">
      <c r="A79" t="n">
        <v>76</v>
      </c>
      <c r="B79">
        <f>B78*(1-Premissas!$E$18/12)+Premissas!$E$12</f>
        <v/>
      </c>
      <c r="C79">
        <f>IF($B$2=1,C78*(1-Premissas!$E$26/12)+D79,0)</f>
        <v/>
      </c>
      <c r="D79">
        <f>IF(AND($B$2=1,A79&gt;=Premissas!$E$23),Premissas!$E$22,0)</f>
        <v/>
      </c>
      <c r="E79">
        <f>B79*Premissas!$E$28</f>
        <v/>
      </c>
      <c r="F79">
        <f>B79*Premissas!$E$13/12*MIN(1,A79/Premissas!$E$17)</f>
        <v/>
      </c>
      <c r="G79">
        <f>F79*Premissas!$E$14</f>
        <v/>
      </c>
      <c r="H79">
        <f>IF(IF(A79-1-Premissas!$E$16&gt;=0,OFFSET($J$4,A79-1-Premissas!$E$16,0),0)&gt;0,ROUND(IF(A79-1-Premissas!$E$16&gt;=0,OFFSET($J$4,A79-1-Premissas!$E$16,0),0)*10000/Premissas!$E$5*Premissas!$E$15,0),0)</f>
        <v/>
      </c>
      <c r="I79">
        <f>ROUND(G79*Premissas!$E$6/10000,0)</f>
        <v/>
      </c>
      <c r="J79">
        <f>ROUND(G79*Premissas!$E$5/10000,0)</f>
        <v/>
      </c>
      <c r="K79">
        <f>IF(IF(A79-1-Premissas!$E$16&gt;=0,OFFSET($A$4,A79-1-Premissas!$E$16,0)&gt;=Premissas!$E$19,FALSE),ROUND(IF(A79-1-Premissas!$E$16&gt;=0,OFFSET($J$4,A79-1-Premissas!$E$16,0),0)*Premissas!$E$15,0),0)</f>
        <v/>
      </c>
      <c r="L79">
        <f>ROUND(C79*Premissas!$E$24/12,0)</f>
        <v/>
      </c>
      <c r="M79">
        <f>ROUND(D79*Premissas!$E$25,0)</f>
        <v/>
      </c>
      <c r="N79">
        <f>ROUND(E79*Premissas!$E$29+B79*Premissas!$E$30,0)</f>
        <v/>
      </c>
      <c r="O79">
        <f>K79+L79+M79+N79</f>
        <v/>
      </c>
      <c r="P79">
        <f>K79+ROUND(AC79*Premissas!$E$24,0)+M79+N79</f>
        <v/>
      </c>
      <c r="Q79">
        <f>ROUND(IF(A79-1-Premissas!$E$21&gt;=0,OFFSET($P$4,A79-1-Premissas!$E$21,0),0)*(1-Premissas!$E$20/100),0)</f>
        <v/>
      </c>
      <c r="R79">
        <f>ROUND(F79*Premissas!$E$11+N79*Premissas!$E$31/100,0)+ROUND((E79+B79)*Premissas!$E$10,0)+ROUND(Q79*Premissas!$E$8/100,0)+ROUND(Premissas!$E$35+(B79+C79)*Premissas!$E$36,0)</f>
        <v/>
      </c>
      <c r="S79">
        <f>O79-R79</f>
        <v/>
      </c>
      <c r="T79">
        <f>ROUND(O79*Premissas!$E$9/100,0)</f>
        <v/>
      </c>
      <c r="U79">
        <f>ROUND(AB79*Premissas!$E$33,0)</f>
        <v/>
      </c>
      <c r="V79">
        <f>Premissas!$E$37+ROUND(Premissas!$E$12*Premissas!$E$38+D79*Premissas!$E$27,0)</f>
        <v/>
      </c>
      <c r="W79">
        <f>Premissas!$E$39</f>
        <v/>
      </c>
      <c r="X79">
        <f>S79-T79-ROUND(Premissas!$E$12*Premissas!$E$38+D79*Premissas!$E$27,0)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Premissas!$E$32+(B79+C79)/Premissas!$E$34</f>
        <v/>
      </c>
      <c r="AC79">
        <f>D79+AC67*(1-Premissas!$E$26/12)^12</f>
        <v/>
      </c>
    </row>
    <row r="80">
      <c r="A80" t="n">
        <v>77</v>
      </c>
      <c r="B80">
        <f>B79*(1-Premissas!$E$18/12)+Premissas!$E$12</f>
        <v/>
      </c>
      <c r="C80">
        <f>IF($B$2=1,C79*(1-Premissas!$E$26/12)+D80,0)</f>
        <v/>
      </c>
      <c r="D80">
        <f>IF(AND($B$2=1,A80&gt;=Premissas!$E$23),Premissas!$E$22,0)</f>
        <v/>
      </c>
      <c r="E80">
        <f>B80*Premissas!$E$28</f>
        <v/>
      </c>
      <c r="F80">
        <f>B80*Premissas!$E$13/12*MIN(1,A80/Premissas!$E$17)</f>
        <v/>
      </c>
      <c r="G80">
        <f>F80*Premissas!$E$14</f>
        <v/>
      </c>
      <c r="H80">
        <f>IF(IF(A80-1-Premissas!$E$16&gt;=0,OFFSET($J$4,A80-1-Premissas!$E$16,0),0)&gt;0,ROUND(IF(A80-1-Premissas!$E$16&gt;=0,OFFSET($J$4,A80-1-Premissas!$E$16,0),0)*10000/Premissas!$E$5*Premissas!$E$15,0),0)</f>
        <v/>
      </c>
      <c r="I80">
        <f>ROUND(G80*Premissas!$E$6/10000,0)</f>
        <v/>
      </c>
      <c r="J80">
        <f>ROUND(G80*Premissas!$E$5/10000,0)</f>
        <v/>
      </c>
      <c r="K80">
        <f>IF(IF(A80-1-Premissas!$E$16&gt;=0,OFFSET($A$4,A80-1-Premissas!$E$16,0)&gt;=Premissas!$E$19,FALSE),ROUND(IF(A80-1-Premissas!$E$16&gt;=0,OFFSET($J$4,A80-1-Premissas!$E$16,0),0)*Premissas!$E$15,0),0)</f>
        <v/>
      </c>
      <c r="L80">
        <f>ROUND(C80*Premissas!$E$24/12,0)</f>
        <v/>
      </c>
      <c r="M80">
        <f>ROUND(D80*Premissas!$E$25,0)</f>
        <v/>
      </c>
      <c r="N80">
        <f>ROUND(E80*Premissas!$E$29+B80*Premissas!$E$30,0)</f>
        <v/>
      </c>
      <c r="O80">
        <f>K80+L80+M80+N80</f>
        <v/>
      </c>
      <c r="P80">
        <f>K80+ROUND(AC80*Premissas!$E$24,0)+M80+N80</f>
        <v/>
      </c>
      <c r="Q80">
        <f>ROUND(IF(A80-1-Premissas!$E$21&gt;=0,OFFSET($P$4,A80-1-Premissas!$E$21,0),0)*(1-Premissas!$E$20/100),0)</f>
        <v/>
      </c>
      <c r="R80">
        <f>ROUND(F80*Premissas!$E$11+N80*Premissas!$E$31/100,0)+ROUND((E80+B80)*Premissas!$E$10,0)+ROUND(Q80*Premissas!$E$8/100,0)+ROUND(Premissas!$E$35+(B80+C80)*Premissas!$E$36,0)</f>
        <v/>
      </c>
      <c r="S80">
        <f>O80-R80</f>
        <v/>
      </c>
      <c r="T80">
        <f>ROUND(O80*Premissas!$E$9/100,0)</f>
        <v/>
      </c>
      <c r="U80">
        <f>ROUND(AB80*Premissas!$E$33,0)</f>
        <v/>
      </c>
      <c r="V80">
        <f>Premissas!$E$37+ROUND(Premissas!$E$12*Premissas!$E$38+D80*Premissas!$E$27,0)</f>
        <v/>
      </c>
      <c r="W80">
        <f>Premissas!$E$39</f>
        <v/>
      </c>
      <c r="X80">
        <f>S80-T80-ROUND(Premissas!$E$12*Premissas!$E$38+D80*Premissas!$E$27,0)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Premissas!$E$32+(B80+C80)/Premissas!$E$34</f>
        <v/>
      </c>
      <c r="AC80">
        <f>D80+AC68*(1-Premissas!$E$26/12)^12</f>
        <v/>
      </c>
    </row>
    <row r="81">
      <c r="A81" t="n">
        <v>78</v>
      </c>
      <c r="B81">
        <f>B80*(1-Premissas!$E$18/12)+Premissas!$E$12</f>
        <v/>
      </c>
      <c r="C81">
        <f>IF($B$2=1,C80*(1-Premissas!$E$26/12)+D81,0)</f>
        <v/>
      </c>
      <c r="D81">
        <f>IF(AND($B$2=1,A81&gt;=Premissas!$E$23),Premissas!$E$22,0)</f>
        <v/>
      </c>
      <c r="E81">
        <f>B81*Premissas!$E$28</f>
        <v/>
      </c>
      <c r="F81">
        <f>B81*Premissas!$E$13/12*MIN(1,A81/Premissas!$E$17)</f>
        <v/>
      </c>
      <c r="G81">
        <f>F81*Premissas!$E$14</f>
        <v/>
      </c>
      <c r="H81">
        <f>IF(IF(A81-1-Premissas!$E$16&gt;=0,OFFSET($J$4,A81-1-Premissas!$E$16,0),0)&gt;0,ROUND(IF(A81-1-Premissas!$E$16&gt;=0,OFFSET($J$4,A81-1-Premissas!$E$16,0),0)*10000/Premissas!$E$5*Premissas!$E$15,0),0)</f>
        <v/>
      </c>
      <c r="I81">
        <f>ROUND(G81*Premissas!$E$6/10000,0)</f>
        <v/>
      </c>
      <c r="J81">
        <f>ROUND(G81*Premissas!$E$5/10000,0)</f>
        <v/>
      </c>
      <c r="K81">
        <f>IF(IF(A81-1-Premissas!$E$16&gt;=0,OFFSET($A$4,A81-1-Premissas!$E$16,0)&gt;=Premissas!$E$19,FALSE),ROUND(IF(A81-1-Premissas!$E$16&gt;=0,OFFSET($J$4,A81-1-Premissas!$E$16,0),0)*Premissas!$E$15,0),0)</f>
        <v/>
      </c>
      <c r="L81">
        <f>ROUND(C81*Premissas!$E$24/12,0)</f>
        <v/>
      </c>
      <c r="M81">
        <f>ROUND(D81*Premissas!$E$25,0)</f>
        <v/>
      </c>
      <c r="N81">
        <f>ROUND(E81*Premissas!$E$29+B81*Premissas!$E$30,0)</f>
        <v/>
      </c>
      <c r="O81">
        <f>K81+L81+M81+N81</f>
        <v/>
      </c>
      <c r="P81">
        <f>K81+ROUND(AC81*Premissas!$E$24,0)+M81+N81</f>
        <v/>
      </c>
      <c r="Q81">
        <f>ROUND(IF(A81-1-Premissas!$E$21&gt;=0,OFFSET($P$4,A81-1-Premissas!$E$21,0),0)*(1-Premissas!$E$20/100),0)</f>
        <v/>
      </c>
      <c r="R81">
        <f>ROUND(F81*Premissas!$E$11+N81*Premissas!$E$31/100,0)+ROUND((E81+B81)*Premissas!$E$10,0)+ROUND(Q81*Premissas!$E$8/100,0)+ROUND(Premissas!$E$35+(B81+C81)*Premissas!$E$36,0)</f>
        <v/>
      </c>
      <c r="S81">
        <f>O81-R81</f>
        <v/>
      </c>
      <c r="T81">
        <f>ROUND(O81*Premissas!$E$9/100,0)</f>
        <v/>
      </c>
      <c r="U81">
        <f>ROUND(AB81*Premissas!$E$33,0)</f>
        <v/>
      </c>
      <c r="V81">
        <f>Premissas!$E$37+ROUND(Premissas!$E$12*Premissas!$E$38+D81*Premissas!$E$27,0)</f>
        <v/>
      </c>
      <c r="W81">
        <f>Premissas!$E$39</f>
        <v/>
      </c>
      <c r="X81">
        <f>S81-T81-ROUND(Premissas!$E$12*Premissas!$E$38+D81*Premissas!$E$27,0)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Premissas!$E$32+(B81+C81)/Premissas!$E$34</f>
        <v/>
      </c>
      <c r="AC81">
        <f>D81+AC69*(1-Premissas!$E$26/12)^12</f>
        <v/>
      </c>
    </row>
    <row r="82">
      <c r="A82" t="n">
        <v>79</v>
      </c>
      <c r="B82">
        <f>B81*(1-Premissas!$E$18/12)+Premissas!$E$12</f>
        <v/>
      </c>
      <c r="C82">
        <f>IF($B$2=1,C81*(1-Premissas!$E$26/12)+D82,0)</f>
        <v/>
      </c>
      <c r="D82">
        <f>IF(AND($B$2=1,A82&gt;=Premissas!$E$23),Premissas!$E$22,0)</f>
        <v/>
      </c>
      <c r="E82">
        <f>B82*Premissas!$E$28</f>
        <v/>
      </c>
      <c r="F82">
        <f>B82*Premissas!$E$13/12*MIN(1,A82/Premissas!$E$17)</f>
        <v/>
      </c>
      <c r="G82">
        <f>F82*Premissas!$E$14</f>
        <v/>
      </c>
      <c r="H82">
        <f>IF(IF(A82-1-Premissas!$E$16&gt;=0,OFFSET($J$4,A82-1-Premissas!$E$16,0),0)&gt;0,ROUND(IF(A82-1-Premissas!$E$16&gt;=0,OFFSET($J$4,A82-1-Premissas!$E$16,0),0)*10000/Premissas!$E$5*Premissas!$E$15,0),0)</f>
        <v/>
      </c>
      <c r="I82">
        <f>ROUND(G82*Premissas!$E$6/10000,0)</f>
        <v/>
      </c>
      <c r="J82">
        <f>ROUND(G82*Premissas!$E$5/10000,0)</f>
        <v/>
      </c>
      <c r="K82">
        <f>IF(IF(A82-1-Premissas!$E$16&gt;=0,OFFSET($A$4,A82-1-Premissas!$E$16,0)&gt;=Premissas!$E$19,FALSE),ROUND(IF(A82-1-Premissas!$E$16&gt;=0,OFFSET($J$4,A82-1-Premissas!$E$16,0),0)*Premissas!$E$15,0),0)</f>
        <v/>
      </c>
      <c r="L82">
        <f>ROUND(C82*Premissas!$E$24/12,0)</f>
        <v/>
      </c>
      <c r="M82">
        <f>ROUND(D82*Premissas!$E$25,0)</f>
        <v/>
      </c>
      <c r="N82">
        <f>ROUND(E82*Premissas!$E$29+B82*Premissas!$E$30,0)</f>
        <v/>
      </c>
      <c r="O82">
        <f>K82+L82+M82+N82</f>
        <v/>
      </c>
      <c r="P82">
        <f>K82+ROUND(AC82*Premissas!$E$24,0)+M82+N82</f>
        <v/>
      </c>
      <c r="Q82">
        <f>ROUND(IF(A82-1-Premissas!$E$21&gt;=0,OFFSET($P$4,A82-1-Premissas!$E$21,0),0)*(1-Premissas!$E$20/100),0)</f>
        <v/>
      </c>
      <c r="R82">
        <f>ROUND(F82*Premissas!$E$11+N82*Premissas!$E$31/100,0)+ROUND((E82+B82)*Premissas!$E$10,0)+ROUND(Q82*Premissas!$E$8/100,0)+ROUND(Premissas!$E$35+(B82+C82)*Premissas!$E$36,0)</f>
        <v/>
      </c>
      <c r="S82">
        <f>O82-R82</f>
        <v/>
      </c>
      <c r="T82">
        <f>ROUND(O82*Premissas!$E$9/100,0)</f>
        <v/>
      </c>
      <c r="U82">
        <f>ROUND(AB82*Premissas!$E$33,0)</f>
        <v/>
      </c>
      <c r="V82">
        <f>Premissas!$E$37+ROUND(Premissas!$E$12*Premissas!$E$38+D82*Premissas!$E$27,0)</f>
        <v/>
      </c>
      <c r="W82">
        <f>Premissas!$E$39</f>
        <v/>
      </c>
      <c r="X82">
        <f>S82-T82-ROUND(Premissas!$E$12*Premissas!$E$38+D82*Premissas!$E$27,0)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Premissas!$E$32+(B82+C82)/Premissas!$E$34</f>
        <v/>
      </c>
      <c r="AC82">
        <f>D82+AC70*(1-Premissas!$E$26/12)^12</f>
        <v/>
      </c>
    </row>
    <row r="83">
      <c r="A83" t="n">
        <v>80</v>
      </c>
      <c r="B83">
        <f>B82*(1-Premissas!$E$18/12)+Premissas!$E$12</f>
        <v/>
      </c>
      <c r="C83">
        <f>IF($B$2=1,C82*(1-Premissas!$E$26/12)+D83,0)</f>
        <v/>
      </c>
      <c r="D83">
        <f>IF(AND($B$2=1,A83&gt;=Premissas!$E$23),Premissas!$E$22,0)</f>
        <v/>
      </c>
      <c r="E83">
        <f>B83*Premissas!$E$28</f>
        <v/>
      </c>
      <c r="F83">
        <f>B83*Premissas!$E$13/12*MIN(1,A83/Premissas!$E$17)</f>
        <v/>
      </c>
      <c r="G83">
        <f>F83*Premissas!$E$14</f>
        <v/>
      </c>
      <c r="H83">
        <f>IF(IF(A83-1-Premissas!$E$16&gt;=0,OFFSET($J$4,A83-1-Premissas!$E$16,0),0)&gt;0,ROUND(IF(A83-1-Premissas!$E$16&gt;=0,OFFSET($J$4,A83-1-Premissas!$E$16,0),0)*10000/Premissas!$E$5*Premissas!$E$15,0),0)</f>
        <v/>
      </c>
      <c r="I83">
        <f>ROUND(G83*Premissas!$E$6/10000,0)</f>
        <v/>
      </c>
      <c r="J83">
        <f>ROUND(G83*Premissas!$E$5/10000,0)</f>
        <v/>
      </c>
      <c r="K83">
        <f>IF(IF(A83-1-Premissas!$E$16&gt;=0,OFFSET($A$4,A83-1-Premissas!$E$16,0)&gt;=Premissas!$E$19,FALSE),ROUND(IF(A83-1-Premissas!$E$16&gt;=0,OFFSET($J$4,A83-1-Premissas!$E$16,0),0)*Premissas!$E$15,0),0)</f>
        <v/>
      </c>
      <c r="L83">
        <f>ROUND(C83*Premissas!$E$24/12,0)</f>
        <v/>
      </c>
      <c r="M83">
        <f>ROUND(D83*Premissas!$E$25,0)</f>
        <v/>
      </c>
      <c r="N83">
        <f>ROUND(E83*Premissas!$E$29+B83*Premissas!$E$30,0)</f>
        <v/>
      </c>
      <c r="O83">
        <f>K83+L83+M83+N83</f>
        <v/>
      </c>
      <c r="P83">
        <f>K83+ROUND(AC83*Premissas!$E$24,0)+M83+N83</f>
        <v/>
      </c>
      <c r="Q83">
        <f>ROUND(IF(A83-1-Premissas!$E$21&gt;=0,OFFSET($P$4,A83-1-Premissas!$E$21,0),0)*(1-Premissas!$E$20/100),0)</f>
        <v/>
      </c>
      <c r="R83">
        <f>ROUND(F83*Premissas!$E$11+N83*Premissas!$E$31/100,0)+ROUND((E83+B83)*Premissas!$E$10,0)+ROUND(Q83*Premissas!$E$8/100,0)+ROUND(Premissas!$E$35+(B83+C83)*Premissas!$E$36,0)</f>
        <v/>
      </c>
      <c r="S83">
        <f>O83-R83</f>
        <v/>
      </c>
      <c r="T83">
        <f>ROUND(O83*Premissas!$E$9/100,0)</f>
        <v/>
      </c>
      <c r="U83">
        <f>ROUND(AB83*Premissas!$E$33,0)</f>
        <v/>
      </c>
      <c r="V83">
        <f>Premissas!$E$37+ROUND(Premissas!$E$12*Premissas!$E$38+D83*Premissas!$E$27,0)</f>
        <v/>
      </c>
      <c r="W83">
        <f>Premissas!$E$39</f>
        <v/>
      </c>
      <c r="X83">
        <f>S83-T83-ROUND(Premissas!$E$12*Premissas!$E$38+D83*Premissas!$E$27,0)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Premissas!$E$32+(B83+C83)/Premissas!$E$34</f>
        <v/>
      </c>
      <c r="AC83">
        <f>D83+AC71*(1-Premissas!$E$26/12)^12</f>
        <v/>
      </c>
    </row>
    <row r="84">
      <c r="A84" t="n">
        <v>81</v>
      </c>
      <c r="B84">
        <f>B83*(1-Premissas!$E$18/12)+Premissas!$E$12</f>
        <v/>
      </c>
      <c r="C84">
        <f>IF($B$2=1,C83*(1-Premissas!$E$26/12)+D84,0)</f>
        <v/>
      </c>
      <c r="D84">
        <f>IF(AND($B$2=1,A84&gt;=Premissas!$E$23),Premissas!$E$22,0)</f>
        <v/>
      </c>
      <c r="E84">
        <f>B84*Premissas!$E$28</f>
        <v/>
      </c>
      <c r="F84">
        <f>B84*Premissas!$E$13/12*MIN(1,A84/Premissas!$E$17)</f>
        <v/>
      </c>
      <c r="G84">
        <f>F84*Premissas!$E$14</f>
        <v/>
      </c>
      <c r="H84">
        <f>IF(IF(A84-1-Premissas!$E$16&gt;=0,OFFSET($J$4,A84-1-Premissas!$E$16,0),0)&gt;0,ROUND(IF(A84-1-Premissas!$E$16&gt;=0,OFFSET($J$4,A84-1-Premissas!$E$16,0),0)*10000/Premissas!$E$5*Premissas!$E$15,0),0)</f>
        <v/>
      </c>
      <c r="I84">
        <f>ROUND(G84*Premissas!$E$6/10000,0)</f>
        <v/>
      </c>
      <c r="J84">
        <f>ROUND(G84*Premissas!$E$5/10000,0)</f>
        <v/>
      </c>
      <c r="K84">
        <f>IF(IF(A84-1-Premissas!$E$16&gt;=0,OFFSET($A$4,A84-1-Premissas!$E$16,0)&gt;=Premissas!$E$19,FALSE),ROUND(IF(A84-1-Premissas!$E$16&gt;=0,OFFSET($J$4,A84-1-Premissas!$E$16,0),0)*Premissas!$E$15,0),0)</f>
        <v/>
      </c>
      <c r="L84">
        <f>ROUND(C84*Premissas!$E$24/12,0)</f>
        <v/>
      </c>
      <c r="M84">
        <f>ROUND(D84*Premissas!$E$25,0)</f>
        <v/>
      </c>
      <c r="N84">
        <f>ROUND(E84*Premissas!$E$29+B84*Premissas!$E$30,0)</f>
        <v/>
      </c>
      <c r="O84">
        <f>K84+L84+M84+N84</f>
        <v/>
      </c>
      <c r="P84">
        <f>K84+ROUND(AC84*Premissas!$E$24,0)+M84+N84</f>
        <v/>
      </c>
      <c r="Q84">
        <f>ROUND(IF(A84-1-Premissas!$E$21&gt;=0,OFFSET($P$4,A84-1-Premissas!$E$21,0),0)*(1-Premissas!$E$20/100),0)</f>
        <v/>
      </c>
      <c r="R84">
        <f>ROUND(F84*Premissas!$E$11+N84*Premissas!$E$31/100,0)+ROUND((E84+B84)*Premissas!$E$10,0)+ROUND(Q84*Premissas!$E$8/100,0)+ROUND(Premissas!$E$35+(B84+C84)*Premissas!$E$36,0)</f>
        <v/>
      </c>
      <c r="S84">
        <f>O84-R84</f>
        <v/>
      </c>
      <c r="T84">
        <f>ROUND(O84*Premissas!$E$9/100,0)</f>
        <v/>
      </c>
      <c r="U84">
        <f>ROUND(AB84*Premissas!$E$33,0)</f>
        <v/>
      </c>
      <c r="V84">
        <f>Premissas!$E$37+ROUND(Premissas!$E$12*Premissas!$E$38+D84*Premissas!$E$27,0)</f>
        <v/>
      </c>
      <c r="W84">
        <f>Premissas!$E$39</f>
        <v/>
      </c>
      <c r="X84">
        <f>S84-T84-ROUND(Premissas!$E$12*Premissas!$E$38+D84*Premissas!$E$27,0)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Premissas!$E$32+(B84+C84)/Premissas!$E$34</f>
        <v/>
      </c>
      <c r="AC84">
        <f>D84+AC72*(1-Premissas!$E$26/12)^12</f>
        <v/>
      </c>
    </row>
    <row r="85">
      <c r="A85" t="n">
        <v>82</v>
      </c>
      <c r="B85">
        <f>B84*(1-Premissas!$E$18/12)+Premissas!$E$12</f>
        <v/>
      </c>
      <c r="C85">
        <f>IF($B$2=1,C84*(1-Premissas!$E$26/12)+D85,0)</f>
        <v/>
      </c>
      <c r="D85">
        <f>IF(AND($B$2=1,A85&gt;=Premissas!$E$23),Premissas!$E$22,0)</f>
        <v/>
      </c>
      <c r="E85">
        <f>B85*Premissas!$E$28</f>
        <v/>
      </c>
      <c r="F85">
        <f>B85*Premissas!$E$13/12*MIN(1,A85/Premissas!$E$17)</f>
        <v/>
      </c>
      <c r="G85">
        <f>F85*Premissas!$E$14</f>
        <v/>
      </c>
      <c r="H85">
        <f>IF(IF(A85-1-Premissas!$E$16&gt;=0,OFFSET($J$4,A85-1-Premissas!$E$16,0),0)&gt;0,ROUND(IF(A85-1-Premissas!$E$16&gt;=0,OFFSET($J$4,A85-1-Premissas!$E$16,0),0)*10000/Premissas!$E$5*Premissas!$E$15,0),0)</f>
        <v/>
      </c>
      <c r="I85">
        <f>ROUND(G85*Premissas!$E$6/10000,0)</f>
        <v/>
      </c>
      <c r="J85">
        <f>ROUND(G85*Premissas!$E$5/10000,0)</f>
        <v/>
      </c>
      <c r="K85">
        <f>IF(IF(A85-1-Premissas!$E$16&gt;=0,OFFSET($A$4,A85-1-Premissas!$E$16,0)&gt;=Premissas!$E$19,FALSE),ROUND(IF(A85-1-Premissas!$E$16&gt;=0,OFFSET($J$4,A85-1-Premissas!$E$16,0),0)*Premissas!$E$15,0),0)</f>
        <v/>
      </c>
      <c r="L85">
        <f>ROUND(C85*Premissas!$E$24/12,0)</f>
        <v/>
      </c>
      <c r="M85">
        <f>ROUND(D85*Premissas!$E$25,0)</f>
        <v/>
      </c>
      <c r="N85">
        <f>ROUND(E85*Premissas!$E$29+B85*Premissas!$E$30,0)</f>
        <v/>
      </c>
      <c r="O85">
        <f>K85+L85+M85+N85</f>
        <v/>
      </c>
      <c r="P85">
        <f>K85+ROUND(AC85*Premissas!$E$24,0)+M85+N85</f>
        <v/>
      </c>
      <c r="Q85">
        <f>ROUND(IF(A85-1-Premissas!$E$21&gt;=0,OFFSET($P$4,A85-1-Premissas!$E$21,0),0)*(1-Premissas!$E$20/100),0)</f>
        <v/>
      </c>
      <c r="R85">
        <f>ROUND(F85*Premissas!$E$11+N85*Premissas!$E$31/100,0)+ROUND((E85+B85)*Premissas!$E$10,0)+ROUND(Q85*Premissas!$E$8/100,0)+ROUND(Premissas!$E$35+(B85+C85)*Premissas!$E$36,0)</f>
        <v/>
      </c>
      <c r="S85">
        <f>O85-R85</f>
        <v/>
      </c>
      <c r="T85">
        <f>ROUND(O85*Premissas!$E$9/100,0)</f>
        <v/>
      </c>
      <c r="U85">
        <f>ROUND(AB85*Premissas!$E$33,0)</f>
        <v/>
      </c>
      <c r="V85">
        <f>Premissas!$E$37+ROUND(Premissas!$E$12*Premissas!$E$38+D85*Premissas!$E$27,0)</f>
        <v/>
      </c>
      <c r="W85">
        <f>Premissas!$E$39</f>
        <v/>
      </c>
      <c r="X85">
        <f>S85-T85-ROUND(Premissas!$E$12*Premissas!$E$38+D85*Premissas!$E$27,0)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Premissas!$E$32+(B85+C85)/Premissas!$E$34</f>
        <v/>
      </c>
      <c r="AC85">
        <f>D85+AC73*(1-Premissas!$E$26/12)^12</f>
        <v/>
      </c>
    </row>
    <row r="86">
      <c r="A86" t="n">
        <v>83</v>
      </c>
      <c r="B86">
        <f>B85*(1-Premissas!$E$18/12)+Premissas!$E$12</f>
        <v/>
      </c>
      <c r="C86">
        <f>IF($B$2=1,C85*(1-Premissas!$E$26/12)+D86,0)</f>
        <v/>
      </c>
      <c r="D86">
        <f>IF(AND($B$2=1,A86&gt;=Premissas!$E$23),Premissas!$E$22,0)</f>
        <v/>
      </c>
      <c r="E86">
        <f>B86*Premissas!$E$28</f>
        <v/>
      </c>
      <c r="F86">
        <f>B86*Premissas!$E$13/12*MIN(1,A86/Premissas!$E$17)</f>
        <v/>
      </c>
      <c r="G86">
        <f>F86*Premissas!$E$14</f>
        <v/>
      </c>
      <c r="H86">
        <f>IF(IF(A86-1-Premissas!$E$16&gt;=0,OFFSET($J$4,A86-1-Premissas!$E$16,0),0)&gt;0,ROUND(IF(A86-1-Premissas!$E$16&gt;=0,OFFSET($J$4,A86-1-Premissas!$E$16,0),0)*10000/Premissas!$E$5*Premissas!$E$15,0),0)</f>
        <v/>
      </c>
      <c r="I86">
        <f>ROUND(G86*Premissas!$E$6/10000,0)</f>
        <v/>
      </c>
      <c r="J86">
        <f>ROUND(G86*Premissas!$E$5/10000,0)</f>
        <v/>
      </c>
      <c r="K86">
        <f>IF(IF(A86-1-Premissas!$E$16&gt;=0,OFFSET($A$4,A86-1-Premissas!$E$16,0)&gt;=Premissas!$E$19,FALSE),ROUND(IF(A86-1-Premissas!$E$16&gt;=0,OFFSET($J$4,A86-1-Premissas!$E$16,0),0)*Premissas!$E$15,0),0)</f>
        <v/>
      </c>
      <c r="L86">
        <f>ROUND(C86*Premissas!$E$24/12,0)</f>
        <v/>
      </c>
      <c r="M86">
        <f>ROUND(D86*Premissas!$E$25,0)</f>
        <v/>
      </c>
      <c r="N86">
        <f>ROUND(E86*Premissas!$E$29+B86*Premissas!$E$30,0)</f>
        <v/>
      </c>
      <c r="O86">
        <f>K86+L86+M86+N86</f>
        <v/>
      </c>
      <c r="P86">
        <f>K86+ROUND(AC86*Premissas!$E$24,0)+M86+N86</f>
        <v/>
      </c>
      <c r="Q86">
        <f>ROUND(IF(A86-1-Premissas!$E$21&gt;=0,OFFSET($P$4,A86-1-Premissas!$E$21,0),0)*(1-Premissas!$E$20/100),0)</f>
        <v/>
      </c>
      <c r="R86">
        <f>ROUND(F86*Premissas!$E$11+N86*Premissas!$E$31/100,0)+ROUND((E86+B86)*Premissas!$E$10,0)+ROUND(Q86*Premissas!$E$8/100,0)+ROUND(Premissas!$E$35+(B86+C86)*Premissas!$E$36,0)</f>
        <v/>
      </c>
      <c r="S86">
        <f>O86-R86</f>
        <v/>
      </c>
      <c r="T86">
        <f>ROUND(O86*Premissas!$E$9/100,0)</f>
        <v/>
      </c>
      <c r="U86">
        <f>ROUND(AB86*Premissas!$E$33,0)</f>
        <v/>
      </c>
      <c r="V86">
        <f>Premissas!$E$37+ROUND(Premissas!$E$12*Premissas!$E$38+D86*Premissas!$E$27,0)</f>
        <v/>
      </c>
      <c r="W86">
        <f>Premissas!$E$39</f>
        <v/>
      </c>
      <c r="X86">
        <f>S86-T86-ROUND(Premissas!$E$12*Premissas!$E$38+D86*Premissas!$E$27,0)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Premissas!$E$32+(B86+C86)/Premissas!$E$34</f>
        <v/>
      </c>
      <c r="AC86">
        <f>D86+AC74*(1-Premissas!$E$26/12)^12</f>
        <v/>
      </c>
    </row>
    <row r="87">
      <c r="A87" t="n">
        <v>84</v>
      </c>
      <c r="B87">
        <f>B86*(1-Premissas!$E$18/12)+Premissas!$E$12</f>
        <v/>
      </c>
      <c r="C87">
        <f>IF($B$2=1,C86*(1-Premissas!$E$26/12)+D87,0)</f>
        <v/>
      </c>
      <c r="D87">
        <f>IF(AND($B$2=1,A87&gt;=Premissas!$E$23),Premissas!$E$22,0)</f>
        <v/>
      </c>
      <c r="E87">
        <f>B87*Premissas!$E$28</f>
        <v/>
      </c>
      <c r="F87">
        <f>B87*Premissas!$E$13/12*MIN(1,A87/Premissas!$E$17)</f>
        <v/>
      </c>
      <c r="G87">
        <f>F87*Premissas!$E$14</f>
        <v/>
      </c>
      <c r="H87">
        <f>IF(IF(A87-1-Premissas!$E$16&gt;=0,OFFSET($J$4,A87-1-Premissas!$E$16,0),0)&gt;0,ROUND(IF(A87-1-Premissas!$E$16&gt;=0,OFFSET($J$4,A87-1-Premissas!$E$16,0),0)*10000/Premissas!$E$5*Premissas!$E$15,0),0)</f>
        <v/>
      </c>
      <c r="I87">
        <f>ROUND(G87*Premissas!$E$6/10000,0)</f>
        <v/>
      </c>
      <c r="J87">
        <f>ROUND(G87*Premissas!$E$5/10000,0)</f>
        <v/>
      </c>
      <c r="K87">
        <f>IF(IF(A87-1-Premissas!$E$16&gt;=0,OFFSET($A$4,A87-1-Premissas!$E$16,0)&gt;=Premissas!$E$19,FALSE),ROUND(IF(A87-1-Premissas!$E$16&gt;=0,OFFSET($J$4,A87-1-Premissas!$E$16,0),0)*Premissas!$E$15,0),0)</f>
        <v/>
      </c>
      <c r="L87">
        <f>ROUND(C87*Premissas!$E$24/12,0)</f>
        <v/>
      </c>
      <c r="M87">
        <f>ROUND(D87*Premissas!$E$25,0)</f>
        <v/>
      </c>
      <c r="N87">
        <f>ROUND(E87*Premissas!$E$29+B87*Premissas!$E$30,0)</f>
        <v/>
      </c>
      <c r="O87">
        <f>K87+L87+M87+N87</f>
        <v/>
      </c>
      <c r="P87">
        <f>K87+ROUND(AC87*Premissas!$E$24,0)+M87+N87</f>
        <v/>
      </c>
      <c r="Q87">
        <f>ROUND(IF(A87-1-Premissas!$E$21&gt;=0,OFFSET($P$4,A87-1-Premissas!$E$21,0),0)*(1-Premissas!$E$20/100),0)</f>
        <v/>
      </c>
      <c r="R87">
        <f>ROUND(F87*Premissas!$E$11+N87*Premissas!$E$31/100,0)+ROUND((E87+B87)*Premissas!$E$10,0)+ROUND(Q87*Premissas!$E$8/100,0)+ROUND(Premissas!$E$35+(B87+C87)*Premissas!$E$36,0)</f>
        <v/>
      </c>
      <c r="S87">
        <f>O87-R87</f>
        <v/>
      </c>
      <c r="T87">
        <f>ROUND(O87*Premissas!$E$9/100,0)</f>
        <v/>
      </c>
      <c r="U87">
        <f>ROUND(AB87*Premissas!$E$33,0)</f>
        <v/>
      </c>
      <c r="V87">
        <f>Premissas!$E$37+ROUND(Premissas!$E$12*Premissas!$E$38+D87*Premissas!$E$27,0)</f>
        <v/>
      </c>
      <c r="W87">
        <f>Premissas!$E$39</f>
        <v/>
      </c>
      <c r="X87">
        <f>S87-T87-ROUND(Premissas!$E$12*Premissas!$E$38+D87*Premissas!$E$27,0)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Premissas!$E$32+(B87+C87)/Premissas!$E$34</f>
        <v/>
      </c>
      <c r="AC87">
        <f>D87+AC75*(1-Premissas!$E$26/12)^12</f>
        <v/>
      </c>
    </row>
    <row r="88">
      <c r="A88" t="n">
        <v>85</v>
      </c>
      <c r="B88">
        <f>B87*(1-Premissas!$E$18/12)+Premissas!$E$12</f>
        <v/>
      </c>
      <c r="C88">
        <f>IF($B$2=1,C87*(1-Premissas!$E$26/12)+D88,0)</f>
        <v/>
      </c>
      <c r="D88">
        <f>IF(AND($B$2=1,A88&gt;=Premissas!$E$23),Premissas!$E$22,0)</f>
        <v/>
      </c>
      <c r="E88">
        <f>B88*Premissas!$E$28</f>
        <v/>
      </c>
      <c r="F88">
        <f>B88*Premissas!$E$13/12*MIN(1,A88/Premissas!$E$17)</f>
        <v/>
      </c>
      <c r="G88">
        <f>F88*Premissas!$E$14</f>
        <v/>
      </c>
      <c r="H88">
        <f>IF(IF(A88-1-Premissas!$E$16&gt;=0,OFFSET($J$4,A88-1-Premissas!$E$16,0),0)&gt;0,ROUND(IF(A88-1-Premissas!$E$16&gt;=0,OFFSET($J$4,A88-1-Premissas!$E$16,0),0)*10000/Premissas!$E$5*Premissas!$E$15,0),0)</f>
        <v/>
      </c>
      <c r="I88">
        <f>ROUND(G88*Premissas!$E$6/10000,0)</f>
        <v/>
      </c>
      <c r="J88">
        <f>ROUND(G88*Premissas!$E$5/10000,0)</f>
        <v/>
      </c>
      <c r="K88">
        <f>IF(IF(A88-1-Premissas!$E$16&gt;=0,OFFSET($A$4,A88-1-Premissas!$E$16,0)&gt;=Premissas!$E$19,FALSE),ROUND(IF(A88-1-Premissas!$E$16&gt;=0,OFFSET($J$4,A88-1-Premissas!$E$16,0),0)*Premissas!$E$15,0),0)</f>
        <v/>
      </c>
      <c r="L88">
        <f>ROUND(C88*Premissas!$E$24/12,0)</f>
        <v/>
      </c>
      <c r="M88">
        <f>ROUND(D88*Premissas!$E$25,0)</f>
        <v/>
      </c>
      <c r="N88">
        <f>ROUND(E88*Premissas!$E$29+B88*Premissas!$E$30,0)</f>
        <v/>
      </c>
      <c r="O88">
        <f>K88+L88+M88+N88</f>
        <v/>
      </c>
      <c r="P88">
        <f>K88+ROUND(AC88*Premissas!$E$24,0)+M88+N88</f>
        <v/>
      </c>
      <c r="Q88">
        <f>ROUND(IF(A88-1-Premissas!$E$21&gt;=0,OFFSET($P$4,A88-1-Premissas!$E$21,0),0)*(1-Premissas!$E$20/100),0)</f>
        <v/>
      </c>
      <c r="R88">
        <f>ROUND(F88*Premissas!$E$11+N88*Premissas!$E$31/100,0)+ROUND((E88+B88)*Premissas!$E$10,0)+ROUND(Q88*Premissas!$E$8/100,0)+ROUND(Premissas!$E$35+(B88+C88)*Premissas!$E$36,0)</f>
        <v/>
      </c>
      <c r="S88">
        <f>O88-R88</f>
        <v/>
      </c>
      <c r="T88">
        <f>ROUND(O88*Premissas!$E$9/100,0)</f>
        <v/>
      </c>
      <c r="U88">
        <f>ROUND(AB88*Premissas!$E$33,0)</f>
        <v/>
      </c>
      <c r="V88">
        <f>Premissas!$E$37+ROUND(Premissas!$E$12*Premissas!$E$38+D88*Premissas!$E$27,0)</f>
        <v/>
      </c>
      <c r="W88">
        <f>Premissas!$E$39</f>
        <v/>
      </c>
      <c r="X88">
        <f>S88-T88-ROUND(Premissas!$E$12*Premissas!$E$38+D88*Premissas!$E$27,0)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Premissas!$E$32+(B88+C88)/Premissas!$E$34</f>
        <v/>
      </c>
      <c r="AC88">
        <f>D88+AC76*(1-Premissas!$E$26/12)^12</f>
        <v/>
      </c>
    </row>
    <row r="89">
      <c r="A89" t="n">
        <v>86</v>
      </c>
      <c r="B89">
        <f>B88*(1-Premissas!$E$18/12)+Premissas!$E$12</f>
        <v/>
      </c>
      <c r="C89">
        <f>IF($B$2=1,C88*(1-Premissas!$E$26/12)+D89,0)</f>
        <v/>
      </c>
      <c r="D89">
        <f>IF(AND($B$2=1,A89&gt;=Premissas!$E$23),Premissas!$E$22,0)</f>
        <v/>
      </c>
      <c r="E89">
        <f>B89*Premissas!$E$28</f>
        <v/>
      </c>
      <c r="F89">
        <f>B89*Premissas!$E$13/12*MIN(1,A89/Premissas!$E$17)</f>
        <v/>
      </c>
      <c r="G89">
        <f>F89*Premissas!$E$14</f>
        <v/>
      </c>
      <c r="H89">
        <f>IF(IF(A89-1-Premissas!$E$16&gt;=0,OFFSET($J$4,A89-1-Premissas!$E$16,0),0)&gt;0,ROUND(IF(A89-1-Premissas!$E$16&gt;=0,OFFSET($J$4,A89-1-Premissas!$E$16,0),0)*10000/Premissas!$E$5*Premissas!$E$15,0),0)</f>
        <v/>
      </c>
      <c r="I89">
        <f>ROUND(G89*Premissas!$E$6/10000,0)</f>
        <v/>
      </c>
      <c r="J89">
        <f>ROUND(G89*Premissas!$E$5/10000,0)</f>
        <v/>
      </c>
      <c r="K89">
        <f>IF(IF(A89-1-Premissas!$E$16&gt;=0,OFFSET($A$4,A89-1-Premissas!$E$16,0)&gt;=Premissas!$E$19,FALSE),ROUND(IF(A89-1-Premissas!$E$16&gt;=0,OFFSET($J$4,A89-1-Premissas!$E$16,0),0)*Premissas!$E$15,0),0)</f>
        <v/>
      </c>
      <c r="L89">
        <f>ROUND(C89*Premissas!$E$24/12,0)</f>
        <v/>
      </c>
      <c r="M89">
        <f>ROUND(D89*Premissas!$E$25,0)</f>
        <v/>
      </c>
      <c r="N89">
        <f>ROUND(E89*Premissas!$E$29+B89*Premissas!$E$30,0)</f>
        <v/>
      </c>
      <c r="O89">
        <f>K89+L89+M89+N89</f>
        <v/>
      </c>
      <c r="P89">
        <f>K89+ROUND(AC89*Premissas!$E$24,0)+M89+N89</f>
        <v/>
      </c>
      <c r="Q89">
        <f>ROUND(IF(A89-1-Premissas!$E$21&gt;=0,OFFSET($P$4,A89-1-Premissas!$E$21,0),0)*(1-Premissas!$E$20/100),0)</f>
        <v/>
      </c>
      <c r="R89">
        <f>ROUND(F89*Premissas!$E$11+N89*Premissas!$E$31/100,0)+ROUND((E89+B89)*Premissas!$E$10,0)+ROUND(Q89*Premissas!$E$8/100,0)+ROUND(Premissas!$E$35+(B89+C89)*Premissas!$E$36,0)</f>
        <v/>
      </c>
      <c r="S89">
        <f>O89-R89</f>
        <v/>
      </c>
      <c r="T89">
        <f>ROUND(O89*Premissas!$E$9/100,0)</f>
        <v/>
      </c>
      <c r="U89">
        <f>ROUND(AB89*Premissas!$E$33,0)</f>
        <v/>
      </c>
      <c r="V89">
        <f>Premissas!$E$37+ROUND(Premissas!$E$12*Premissas!$E$38+D89*Premissas!$E$27,0)</f>
        <v/>
      </c>
      <c r="W89">
        <f>Premissas!$E$39</f>
        <v/>
      </c>
      <c r="X89">
        <f>S89-T89-ROUND(Premissas!$E$12*Premissas!$E$38+D89*Premissas!$E$27,0)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Premissas!$E$32+(B89+C89)/Premissas!$E$34</f>
        <v/>
      </c>
      <c r="AC89">
        <f>D89+AC77*(1-Premissas!$E$26/12)^12</f>
        <v/>
      </c>
    </row>
    <row r="90">
      <c r="A90" t="n">
        <v>87</v>
      </c>
      <c r="B90">
        <f>B89*(1-Premissas!$E$18/12)+Premissas!$E$12</f>
        <v/>
      </c>
      <c r="C90">
        <f>IF($B$2=1,C89*(1-Premissas!$E$26/12)+D90,0)</f>
        <v/>
      </c>
      <c r="D90">
        <f>IF(AND($B$2=1,A90&gt;=Premissas!$E$23),Premissas!$E$22,0)</f>
        <v/>
      </c>
      <c r="E90">
        <f>B90*Premissas!$E$28</f>
        <v/>
      </c>
      <c r="F90">
        <f>B90*Premissas!$E$13/12*MIN(1,A90/Premissas!$E$17)</f>
        <v/>
      </c>
      <c r="G90">
        <f>F90*Premissas!$E$14</f>
        <v/>
      </c>
      <c r="H90">
        <f>IF(IF(A90-1-Premissas!$E$16&gt;=0,OFFSET($J$4,A90-1-Premissas!$E$16,0),0)&gt;0,ROUND(IF(A90-1-Premissas!$E$16&gt;=0,OFFSET($J$4,A90-1-Premissas!$E$16,0),0)*10000/Premissas!$E$5*Premissas!$E$15,0),0)</f>
        <v/>
      </c>
      <c r="I90">
        <f>ROUND(G90*Premissas!$E$6/10000,0)</f>
        <v/>
      </c>
      <c r="J90">
        <f>ROUND(G90*Premissas!$E$5/10000,0)</f>
        <v/>
      </c>
      <c r="K90">
        <f>IF(IF(A90-1-Premissas!$E$16&gt;=0,OFFSET($A$4,A90-1-Premissas!$E$16,0)&gt;=Premissas!$E$19,FALSE),ROUND(IF(A90-1-Premissas!$E$16&gt;=0,OFFSET($J$4,A90-1-Premissas!$E$16,0),0)*Premissas!$E$15,0),0)</f>
        <v/>
      </c>
      <c r="L90">
        <f>ROUND(C90*Premissas!$E$24/12,0)</f>
        <v/>
      </c>
      <c r="M90">
        <f>ROUND(D90*Premissas!$E$25,0)</f>
        <v/>
      </c>
      <c r="N90">
        <f>ROUND(E90*Premissas!$E$29+B90*Premissas!$E$30,0)</f>
        <v/>
      </c>
      <c r="O90">
        <f>K90+L90+M90+N90</f>
        <v/>
      </c>
      <c r="P90">
        <f>K90+ROUND(AC90*Premissas!$E$24,0)+M90+N90</f>
        <v/>
      </c>
      <c r="Q90">
        <f>ROUND(IF(A90-1-Premissas!$E$21&gt;=0,OFFSET($P$4,A90-1-Premissas!$E$21,0),0)*(1-Premissas!$E$20/100),0)</f>
        <v/>
      </c>
      <c r="R90">
        <f>ROUND(F90*Premissas!$E$11+N90*Premissas!$E$31/100,0)+ROUND((E90+B90)*Premissas!$E$10,0)+ROUND(Q90*Premissas!$E$8/100,0)+ROUND(Premissas!$E$35+(B90+C90)*Premissas!$E$36,0)</f>
        <v/>
      </c>
      <c r="S90">
        <f>O90-R90</f>
        <v/>
      </c>
      <c r="T90">
        <f>ROUND(O90*Premissas!$E$9/100,0)</f>
        <v/>
      </c>
      <c r="U90">
        <f>ROUND(AB90*Premissas!$E$33,0)</f>
        <v/>
      </c>
      <c r="V90">
        <f>Premissas!$E$37+ROUND(Premissas!$E$12*Premissas!$E$38+D90*Premissas!$E$27,0)</f>
        <v/>
      </c>
      <c r="W90">
        <f>Premissas!$E$39</f>
        <v/>
      </c>
      <c r="X90">
        <f>S90-T90-ROUND(Premissas!$E$12*Premissas!$E$38+D90*Premissas!$E$27,0)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Premissas!$E$32+(B90+C90)/Premissas!$E$34</f>
        <v/>
      </c>
      <c r="AC90">
        <f>D90+AC78*(1-Premissas!$E$26/12)^12</f>
        <v/>
      </c>
    </row>
    <row r="91">
      <c r="A91" t="n">
        <v>88</v>
      </c>
      <c r="B91">
        <f>B90*(1-Premissas!$E$18/12)+Premissas!$E$12</f>
        <v/>
      </c>
      <c r="C91">
        <f>IF($B$2=1,C90*(1-Premissas!$E$26/12)+D91,0)</f>
        <v/>
      </c>
      <c r="D91">
        <f>IF(AND($B$2=1,A91&gt;=Premissas!$E$23),Premissas!$E$22,0)</f>
        <v/>
      </c>
      <c r="E91">
        <f>B91*Premissas!$E$28</f>
        <v/>
      </c>
      <c r="F91">
        <f>B91*Premissas!$E$13/12*MIN(1,A91/Premissas!$E$17)</f>
        <v/>
      </c>
      <c r="G91">
        <f>F91*Premissas!$E$14</f>
        <v/>
      </c>
      <c r="H91">
        <f>IF(IF(A91-1-Premissas!$E$16&gt;=0,OFFSET($J$4,A91-1-Premissas!$E$16,0),0)&gt;0,ROUND(IF(A91-1-Premissas!$E$16&gt;=0,OFFSET($J$4,A91-1-Premissas!$E$16,0),0)*10000/Premissas!$E$5*Premissas!$E$15,0),0)</f>
        <v/>
      </c>
      <c r="I91">
        <f>ROUND(G91*Premissas!$E$6/10000,0)</f>
        <v/>
      </c>
      <c r="J91">
        <f>ROUND(G91*Premissas!$E$5/10000,0)</f>
        <v/>
      </c>
      <c r="K91">
        <f>IF(IF(A91-1-Premissas!$E$16&gt;=0,OFFSET($A$4,A91-1-Premissas!$E$16,0)&gt;=Premissas!$E$19,FALSE),ROUND(IF(A91-1-Premissas!$E$16&gt;=0,OFFSET($J$4,A91-1-Premissas!$E$16,0),0)*Premissas!$E$15,0),0)</f>
        <v/>
      </c>
      <c r="L91">
        <f>ROUND(C91*Premissas!$E$24/12,0)</f>
        <v/>
      </c>
      <c r="M91">
        <f>ROUND(D91*Premissas!$E$25,0)</f>
        <v/>
      </c>
      <c r="N91">
        <f>ROUND(E91*Premissas!$E$29+B91*Premissas!$E$30,0)</f>
        <v/>
      </c>
      <c r="O91">
        <f>K91+L91+M91+N91</f>
        <v/>
      </c>
      <c r="P91">
        <f>K91+ROUND(AC91*Premissas!$E$24,0)+M91+N91</f>
        <v/>
      </c>
      <c r="Q91">
        <f>ROUND(IF(A91-1-Premissas!$E$21&gt;=0,OFFSET($P$4,A91-1-Premissas!$E$21,0),0)*(1-Premissas!$E$20/100),0)</f>
        <v/>
      </c>
      <c r="R91">
        <f>ROUND(F91*Premissas!$E$11+N91*Premissas!$E$31/100,0)+ROUND((E91+B91)*Premissas!$E$10,0)+ROUND(Q91*Premissas!$E$8/100,0)+ROUND(Premissas!$E$35+(B91+C91)*Premissas!$E$36,0)</f>
        <v/>
      </c>
      <c r="S91">
        <f>O91-R91</f>
        <v/>
      </c>
      <c r="T91">
        <f>ROUND(O91*Premissas!$E$9/100,0)</f>
        <v/>
      </c>
      <c r="U91">
        <f>ROUND(AB91*Premissas!$E$33,0)</f>
        <v/>
      </c>
      <c r="V91">
        <f>Premissas!$E$37+ROUND(Premissas!$E$12*Premissas!$E$38+D91*Premissas!$E$27,0)</f>
        <v/>
      </c>
      <c r="W91">
        <f>Premissas!$E$39</f>
        <v/>
      </c>
      <c r="X91">
        <f>S91-T91-ROUND(Premissas!$E$12*Premissas!$E$38+D91*Premissas!$E$27,0)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Premissas!$E$32+(B91+C91)/Premissas!$E$34</f>
        <v/>
      </c>
      <c r="AC91">
        <f>D91+AC79*(1-Premissas!$E$26/12)^12</f>
        <v/>
      </c>
    </row>
    <row r="92">
      <c r="A92" t="n">
        <v>89</v>
      </c>
      <c r="B92">
        <f>B91*(1-Premissas!$E$18/12)+Premissas!$E$12</f>
        <v/>
      </c>
      <c r="C92">
        <f>IF($B$2=1,C91*(1-Premissas!$E$26/12)+D92,0)</f>
        <v/>
      </c>
      <c r="D92">
        <f>IF(AND($B$2=1,A92&gt;=Premissas!$E$23),Premissas!$E$22,0)</f>
        <v/>
      </c>
      <c r="E92">
        <f>B92*Premissas!$E$28</f>
        <v/>
      </c>
      <c r="F92">
        <f>B92*Premissas!$E$13/12*MIN(1,A92/Premissas!$E$17)</f>
        <v/>
      </c>
      <c r="G92">
        <f>F92*Premissas!$E$14</f>
        <v/>
      </c>
      <c r="H92">
        <f>IF(IF(A92-1-Premissas!$E$16&gt;=0,OFFSET($J$4,A92-1-Premissas!$E$16,0),0)&gt;0,ROUND(IF(A92-1-Premissas!$E$16&gt;=0,OFFSET($J$4,A92-1-Premissas!$E$16,0),0)*10000/Premissas!$E$5*Premissas!$E$15,0),0)</f>
        <v/>
      </c>
      <c r="I92">
        <f>ROUND(G92*Premissas!$E$6/10000,0)</f>
        <v/>
      </c>
      <c r="J92">
        <f>ROUND(G92*Premissas!$E$5/10000,0)</f>
        <v/>
      </c>
      <c r="K92">
        <f>IF(IF(A92-1-Premissas!$E$16&gt;=0,OFFSET($A$4,A92-1-Premissas!$E$16,0)&gt;=Premissas!$E$19,FALSE),ROUND(IF(A92-1-Premissas!$E$16&gt;=0,OFFSET($J$4,A92-1-Premissas!$E$16,0),0)*Premissas!$E$15,0),0)</f>
        <v/>
      </c>
      <c r="L92">
        <f>ROUND(C92*Premissas!$E$24/12,0)</f>
        <v/>
      </c>
      <c r="M92">
        <f>ROUND(D92*Premissas!$E$25,0)</f>
        <v/>
      </c>
      <c r="N92">
        <f>ROUND(E92*Premissas!$E$29+B92*Premissas!$E$30,0)</f>
        <v/>
      </c>
      <c r="O92">
        <f>K92+L92+M92+N92</f>
        <v/>
      </c>
      <c r="P92">
        <f>K92+ROUND(AC92*Premissas!$E$24,0)+M92+N92</f>
        <v/>
      </c>
      <c r="Q92">
        <f>ROUND(IF(A92-1-Premissas!$E$21&gt;=0,OFFSET($P$4,A92-1-Premissas!$E$21,0),0)*(1-Premissas!$E$20/100),0)</f>
        <v/>
      </c>
      <c r="R92">
        <f>ROUND(F92*Premissas!$E$11+N92*Premissas!$E$31/100,0)+ROUND((E92+B92)*Premissas!$E$10,0)+ROUND(Q92*Premissas!$E$8/100,0)+ROUND(Premissas!$E$35+(B92+C92)*Premissas!$E$36,0)</f>
        <v/>
      </c>
      <c r="S92">
        <f>O92-R92</f>
        <v/>
      </c>
      <c r="T92">
        <f>ROUND(O92*Premissas!$E$9/100,0)</f>
        <v/>
      </c>
      <c r="U92">
        <f>ROUND(AB92*Premissas!$E$33,0)</f>
        <v/>
      </c>
      <c r="V92">
        <f>Premissas!$E$37+ROUND(Premissas!$E$12*Premissas!$E$38+D92*Premissas!$E$27,0)</f>
        <v/>
      </c>
      <c r="W92">
        <f>Premissas!$E$39</f>
        <v/>
      </c>
      <c r="X92">
        <f>S92-T92-ROUND(Premissas!$E$12*Premissas!$E$38+D92*Premissas!$E$27,0)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Premissas!$E$32+(B92+C92)/Premissas!$E$34</f>
        <v/>
      </c>
      <c r="AC92">
        <f>D92+AC80*(1-Premissas!$E$26/12)^12</f>
        <v/>
      </c>
    </row>
    <row r="93">
      <c r="A93" t="n">
        <v>90</v>
      </c>
      <c r="B93">
        <f>B92*(1-Premissas!$E$18/12)+Premissas!$E$12</f>
        <v/>
      </c>
      <c r="C93">
        <f>IF($B$2=1,C92*(1-Premissas!$E$26/12)+D93,0)</f>
        <v/>
      </c>
      <c r="D93">
        <f>IF(AND($B$2=1,A93&gt;=Premissas!$E$23),Premissas!$E$22,0)</f>
        <v/>
      </c>
      <c r="E93">
        <f>B93*Premissas!$E$28</f>
        <v/>
      </c>
      <c r="F93">
        <f>B93*Premissas!$E$13/12*MIN(1,A93/Premissas!$E$17)</f>
        <v/>
      </c>
      <c r="G93">
        <f>F93*Premissas!$E$14</f>
        <v/>
      </c>
      <c r="H93">
        <f>IF(IF(A93-1-Premissas!$E$16&gt;=0,OFFSET($J$4,A93-1-Premissas!$E$16,0),0)&gt;0,ROUND(IF(A93-1-Premissas!$E$16&gt;=0,OFFSET($J$4,A93-1-Premissas!$E$16,0),0)*10000/Premissas!$E$5*Premissas!$E$15,0),0)</f>
        <v/>
      </c>
      <c r="I93">
        <f>ROUND(G93*Premissas!$E$6/10000,0)</f>
        <v/>
      </c>
      <c r="J93">
        <f>ROUND(G93*Premissas!$E$5/10000,0)</f>
        <v/>
      </c>
      <c r="K93">
        <f>IF(IF(A93-1-Premissas!$E$16&gt;=0,OFFSET($A$4,A93-1-Premissas!$E$16,0)&gt;=Premissas!$E$19,FALSE),ROUND(IF(A93-1-Premissas!$E$16&gt;=0,OFFSET($J$4,A93-1-Premissas!$E$16,0),0)*Premissas!$E$15,0),0)</f>
        <v/>
      </c>
      <c r="L93">
        <f>ROUND(C93*Premissas!$E$24/12,0)</f>
        <v/>
      </c>
      <c r="M93">
        <f>ROUND(D93*Premissas!$E$25,0)</f>
        <v/>
      </c>
      <c r="N93">
        <f>ROUND(E93*Premissas!$E$29+B93*Premissas!$E$30,0)</f>
        <v/>
      </c>
      <c r="O93">
        <f>K93+L93+M93+N93</f>
        <v/>
      </c>
      <c r="P93">
        <f>K93+ROUND(AC93*Premissas!$E$24,0)+M93+N93</f>
        <v/>
      </c>
      <c r="Q93">
        <f>ROUND(IF(A93-1-Premissas!$E$21&gt;=0,OFFSET($P$4,A93-1-Premissas!$E$21,0),0)*(1-Premissas!$E$20/100),0)</f>
        <v/>
      </c>
      <c r="R93">
        <f>ROUND(F93*Premissas!$E$11+N93*Premissas!$E$31/100,0)+ROUND((E93+B93)*Premissas!$E$10,0)+ROUND(Q93*Premissas!$E$8/100,0)+ROUND(Premissas!$E$35+(B93+C93)*Premissas!$E$36,0)</f>
        <v/>
      </c>
      <c r="S93">
        <f>O93-R93</f>
        <v/>
      </c>
      <c r="T93">
        <f>ROUND(O93*Premissas!$E$9/100,0)</f>
        <v/>
      </c>
      <c r="U93">
        <f>ROUND(AB93*Premissas!$E$33,0)</f>
        <v/>
      </c>
      <c r="V93">
        <f>Premissas!$E$37+ROUND(Premissas!$E$12*Premissas!$E$38+D93*Premissas!$E$27,0)</f>
        <v/>
      </c>
      <c r="W93">
        <f>Premissas!$E$39</f>
        <v/>
      </c>
      <c r="X93">
        <f>S93-T93-ROUND(Premissas!$E$12*Premissas!$E$38+D93*Premissas!$E$27,0)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Premissas!$E$32+(B93+C93)/Premissas!$E$34</f>
        <v/>
      </c>
      <c r="AC93">
        <f>D93+AC81*(1-Premissas!$E$26/12)^12</f>
        <v/>
      </c>
    </row>
    <row r="94">
      <c r="A94" t="n">
        <v>91</v>
      </c>
      <c r="B94">
        <f>B93*(1-Premissas!$E$18/12)+Premissas!$E$12</f>
        <v/>
      </c>
      <c r="C94">
        <f>IF($B$2=1,C93*(1-Premissas!$E$26/12)+D94,0)</f>
        <v/>
      </c>
      <c r="D94">
        <f>IF(AND($B$2=1,A94&gt;=Premissas!$E$23),Premissas!$E$22,0)</f>
        <v/>
      </c>
      <c r="E94">
        <f>B94*Premissas!$E$28</f>
        <v/>
      </c>
      <c r="F94">
        <f>B94*Premissas!$E$13/12*MIN(1,A94/Premissas!$E$17)</f>
        <v/>
      </c>
      <c r="G94">
        <f>F94*Premissas!$E$14</f>
        <v/>
      </c>
      <c r="H94">
        <f>IF(IF(A94-1-Premissas!$E$16&gt;=0,OFFSET($J$4,A94-1-Premissas!$E$16,0),0)&gt;0,ROUND(IF(A94-1-Premissas!$E$16&gt;=0,OFFSET($J$4,A94-1-Premissas!$E$16,0),0)*10000/Premissas!$E$5*Premissas!$E$15,0),0)</f>
        <v/>
      </c>
      <c r="I94">
        <f>ROUND(G94*Premissas!$E$6/10000,0)</f>
        <v/>
      </c>
      <c r="J94">
        <f>ROUND(G94*Premissas!$E$5/10000,0)</f>
        <v/>
      </c>
      <c r="K94">
        <f>IF(IF(A94-1-Premissas!$E$16&gt;=0,OFFSET($A$4,A94-1-Premissas!$E$16,0)&gt;=Premissas!$E$19,FALSE),ROUND(IF(A94-1-Premissas!$E$16&gt;=0,OFFSET($J$4,A94-1-Premissas!$E$16,0),0)*Premissas!$E$15,0),0)</f>
        <v/>
      </c>
      <c r="L94">
        <f>ROUND(C94*Premissas!$E$24/12,0)</f>
        <v/>
      </c>
      <c r="M94">
        <f>ROUND(D94*Premissas!$E$25,0)</f>
        <v/>
      </c>
      <c r="N94">
        <f>ROUND(E94*Premissas!$E$29+B94*Premissas!$E$30,0)</f>
        <v/>
      </c>
      <c r="O94">
        <f>K94+L94+M94+N94</f>
        <v/>
      </c>
      <c r="P94">
        <f>K94+ROUND(AC94*Premissas!$E$24,0)+M94+N94</f>
        <v/>
      </c>
      <c r="Q94">
        <f>ROUND(IF(A94-1-Premissas!$E$21&gt;=0,OFFSET($P$4,A94-1-Premissas!$E$21,0),0)*(1-Premissas!$E$20/100),0)</f>
        <v/>
      </c>
      <c r="R94">
        <f>ROUND(F94*Premissas!$E$11+N94*Premissas!$E$31/100,0)+ROUND((E94+B94)*Premissas!$E$10,0)+ROUND(Q94*Premissas!$E$8/100,0)+ROUND(Premissas!$E$35+(B94+C94)*Premissas!$E$36,0)</f>
        <v/>
      </c>
      <c r="S94">
        <f>O94-R94</f>
        <v/>
      </c>
      <c r="T94">
        <f>ROUND(O94*Premissas!$E$9/100,0)</f>
        <v/>
      </c>
      <c r="U94">
        <f>ROUND(AB94*Premissas!$E$33,0)</f>
        <v/>
      </c>
      <c r="V94">
        <f>Premissas!$E$37+ROUND(Premissas!$E$12*Premissas!$E$38+D94*Premissas!$E$27,0)</f>
        <v/>
      </c>
      <c r="W94">
        <f>Premissas!$E$39</f>
        <v/>
      </c>
      <c r="X94">
        <f>S94-T94-ROUND(Premissas!$E$12*Premissas!$E$38+D94*Premissas!$E$27,0)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Premissas!$E$32+(B94+C94)/Premissas!$E$34</f>
        <v/>
      </c>
      <c r="AC94">
        <f>D94+AC82*(1-Premissas!$E$26/12)^12</f>
        <v/>
      </c>
    </row>
    <row r="95">
      <c r="A95" t="n">
        <v>92</v>
      </c>
      <c r="B95">
        <f>B94*(1-Premissas!$E$18/12)+Premissas!$E$12</f>
        <v/>
      </c>
      <c r="C95">
        <f>IF($B$2=1,C94*(1-Premissas!$E$26/12)+D95,0)</f>
        <v/>
      </c>
      <c r="D95">
        <f>IF(AND($B$2=1,A95&gt;=Premissas!$E$23),Premissas!$E$22,0)</f>
        <v/>
      </c>
      <c r="E95">
        <f>B95*Premissas!$E$28</f>
        <v/>
      </c>
      <c r="F95">
        <f>B95*Premissas!$E$13/12*MIN(1,A95/Premissas!$E$17)</f>
        <v/>
      </c>
      <c r="G95">
        <f>F95*Premissas!$E$14</f>
        <v/>
      </c>
      <c r="H95">
        <f>IF(IF(A95-1-Premissas!$E$16&gt;=0,OFFSET($J$4,A95-1-Premissas!$E$16,0),0)&gt;0,ROUND(IF(A95-1-Premissas!$E$16&gt;=0,OFFSET($J$4,A95-1-Premissas!$E$16,0),0)*10000/Premissas!$E$5*Premissas!$E$15,0),0)</f>
        <v/>
      </c>
      <c r="I95">
        <f>ROUND(G95*Premissas!$E$6/10000,0)</f>
        <v/>
      </c>
      <c r="J95">
        <f>ROUND(G95*Premissas!$E$5/10000,0)</f>
        <v/>
      </c>
      <c r="K95">
        <f>IF(IF(A95-1-Premissas!$E$16&gt;=0,OFFSET($A$4,A95-1-Premissas!$E$16,0)&gt;=Premissas!$E$19,FALSE),ROUND(IF(A95-1-Premissas!$E$16&gt;=0,OFFSET($J$4,A95-1-Premissas!$E$16,0),0)*Premissas!$E$15,0),0)</f>
        <v/>
      </c>
      <c r="L95">
        <f>ROUND(C95*Premissas!$E$24/12,0)</f>
        <v/>
      </c>
      <c r="M95">
        <f>ROUND(D95*Premissas!$E$25,0)</f>
        <v/>
      </c>
      <c r="N95">
        <f>ROUND(E95*Premissas!$E$29+B95*Premissas!$E$30,0)</f>
        <v/>
      </c>
      <c r="O95">
        <f>K95+L95+M95+N95</f>
        <v/>
      </c>
      <c r="P95">
        <f>K95+ROUND(AC95*Premissas!$E$24,0)+M95+N95</f>
        <v/>
      </c>
      <c r="Q95">
        <f>ROUND(IF(A95-1-Premissas!$E$21&gt;=0,OFFSET($P$4,A95-1-Premissas!$E$21,0),0)*(1-Premissas!$E$20/100),0)</f>
        <v/>
      </c>
      <c r="R95">
        <f>ROUND(F95*Premissas!$E$11+N95*Premissas!$E$31/100,0)+ROUND((E95+B95)*Premissas!$E$10,0)+ROUND(Q95*Premissas!$E$8/100,0)+ROUND(Premissas!$E$35+(B95+C95)*Premissas!$E$36,0)</f>
        <v/>
      </c>
      <c r="S95">
        <f>O95-R95</f>
        <v/>
      </c>
      <c r="T95">
        <f>ROUND(O95*Premissas!$E$9/100,0)</f>
        <v/>
      </c>
      <c r="U95">
        <f>ROUND(AB95*Premissas!$E$33,0)</f>
        <v/>
      </c>
      <c r="V95">
        <f>Premissas!$E$37+ROUND(Premissas!$E$12*Premissas!$E$38+D95*Premissas!$E$27,0)</f>
        <v/>
      </c>
      <c r="W95">
        <f>Premissas!$E$39</f>
        <v/>
      </c>
      <c r="X95">
        <f>S95-T95-ROUND(Premissas!$E$12*Premissas!$E$38+D95*Premissas!$E$27,0)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Premissas!$E$32+(B95+C95)/Premissas!$E$34</f>
        <v/>
      </c>
      <c r="AC95">
        <f>D95+AC83*(1-Premissas!$E$26/12)^12</f>
        <v/>
      </c>
    </row>
    <row r="96">
      <c r="A96" t="n">
        <v>93</v>
      </c>
      <c r="B96">
        <f>B95*(1-Premissas!$E$18/12)+Premissas!$E$12</f>
        <v/>
      </c>
      <c r="C96">
        <f>IF($B$2=1,C95*(1-Premissas!$E$26/12)+D96,0)</f>
        <v/>
      </c>
      <c r="D96">
        <f>IF(AND($B$2=1,A96&gt;=Premissas!$E$23),Premissas!$E$22,0)</f>
        <v/>
      </c>
      <c r="E96">
        <f>B96*Premissas!$E$28</f>
        <v/>
      </c>
      <c r="F96">
        <f>B96*Premissas!$E$13/12*MIN(1,A96/Premissas!$E$17)</f>
        <v/>
      </c>
      <c r="G96">
        <f>F96*Premissas!$E$14</f>
        <v/>
      </c>
      <c r="H96">
        <f>IF(IF(A96-1-Premissas!$E$16&gt;=0,OFFSET($J$4,A96-1-Premissas!$E$16,0),0)&gt;0,ROUND(IF(A96-1-Premissas!$E$16&gt;=0,OFFSET($J$4,A96-1-Premissas!$E$16,0),0)*10000/Premissas!$E$5*Premissas!$E$15,0),0)</f>
        <v/>
      </c>
      <c r="I96">
        <f>ROUND(G96*Premissas!$E$6/10000,0)</f>
        <v/>
      </c>
      <c r="J96">
        <f>ROUND(G96*Premissas!$E$5/10000,0)</f>
        <v/>
      </c>
      <c r="K96">
        <f>IF(IF(A96-1-Premissas!$E$16&gt;=0,OFFSET($A$4,A96-1-Premissas!$E$16,0)&gt;=Premissas!$E$19,FALSE),ROUND(IF(A96-1-Premissas!$E$16&gt;=0,OFFSET($J$4,A96-1-Premissas!$E$16,0),0)*Premissas!$E$15,0),0)</f>
        <v/>
      </c>
      <c r="L96">
        <f>ROUND(C96*Premissas!$E$24/12,0)</f>
        <v/>
      </c>
      <c r="M96">
        <f>ROUND(D96*Premissas!$E$25,0)</f>
        <v/>
      </c>
      <c r="N96">
        <f>ROUND(E96*Premissas!$E$29+B96*Premissas!$E$30,0)</f>
        <v/>
      </c>
      <c r="O96">
        <f>K96+L96+M96+N96</f>
        <v/>
      </c>
      <c r="P96">
        <f>K96+ROUND(AC96*Premissas!$E$24,0)+M96+N96</f>
        <v/>
      </c>
      <c r="Q96">
        <f>ROUND(IF(A96-1-Premissas!$E$21&gt;=0,OFFSET($P$4,A96-1-Premissas!$E$21,0),0)*(1-Premissas!$E$20/100),0)</f>
        <v/>
      </c>
      <c r="R96">
        <f>ROUND(F96*Premissas!$E$11+N96*Premissas!$E$31/100,0)+ROUND((E96+B96)*Premissas!$E$10,0)+ROUND(Q96*Premissas!$E$8/100,0)+ROUND(Premissas!$E$35+(B96+C96)*Premissas!$E$36,0)</f>
        <v/>
      </c>
      <c r="S96">
        <f>O96-R96</f>
        <v/>
      </c>
      <c r="T96">
        <f>ROUND(O96*Premissas!$E$9/100,0)</f>
        <v/>
      </c>
      <c r="U96">
        <f>ROUND(AB96*Premissas!$E$33,0)</f>
        <v/>
      </c>
      <c r="V96">
        <f>Premissas!$E$37+ROUND(Premissas!$E$12*Premissas!$E$38+D96*Premissas!$E$27,0)</f>
        <v/>
      </c>
      <c r="W96">
        <f>Premissas!$E$39</f>
        <v/>
      </c>
      <c r="X96">
        <f>S96-T96-ROUND(Premissas!$E$12*Premissas!$E$38+D96*Premissas!$E$27,0)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Premissas!$E$32+(B96+C96)/Premissas!$E$34</f>
        <v/>
      </c>
      <c r="AC96">
        <f>D96+AC84*(1-Premissas!$E$26/12)^12</f>
        <v/>
      </c>
    </row>
    <row r="97">
      <c r="A97" t="n">
        <v>94</v>
      </c>
      <c r="B97">
        <f>B96*(1-Premissas!$E$18/12)+Premissas!$E$12</f>
        <v/>
      </c>
      <c r="C97">
        <f>IF($B$2=1,C96*(1-Premissas!$E$26/12)+D97,0)</f>
        <v/>
      </c>
      <c r="D97">
        <f>IF(AND($B$2=1,A97&gt;=Premissas!$E$23),Premissas!$E$22,0)</f>
        <v/>
      </c>
      <c r="E97">
        <f>B97*Premissas!$E$28</f>
        <v/>
      </c>
      <c r="F97">
        <f>B97*Premissas!$E$13/12*MIN(1,A97/Premissas!$E$17)</f>
        <v/>
      </c>
      <c r="G97">
        <f>F97*Premissas!$E$14</f>
        <v/>
      </c>
      <c r="H97">
        <f>IF(IF(A97-1-Premissas!$E$16&gt;=0,OFFSET($J$4,A97-1-Premissas!$E$16,0),0)&gt;0,ROUND(IF(A97-1-Premissas!$E$16&gt;=0,OFFSET($J$4,A97-1-Premissas!$E$16,0),0)*10000/Premissas!$E$5*Premissas!$E$15,0),0)</f>
        <v/>
      </c>
      <c r="I97">
        <f>ROUND(G97*Premissas!$E$6/10000,0)</f>
        <v/>
      </c>
      <c r="J97">
        <f>ROUND(G97*Premissas!$E$5/10000,0)</f>
        <v/>
      </c>
      <c r="K97">
        <f>IF(IF(A97-1-Premissas!$E$16&gt;=0,OFFSET($A$4,A97-1-Premissas!$E$16,0)&gt;=Premissas!$E$19,FALSE),ROUND(IF(A97-1-Premissas!$E$16&gt;=0,OFFSET($J$4,A97-1-Premissas!$E$16,0),0)*Premissas!$E$15,0),0)</f>
        <v/>
      </c>
      <c r="L97">
        <f>ROUND(C97*Premissas!$E$24/12,0)</f>
        <v/>
      </c>
      <c r="M97">
        <f>ROUND(D97*Premissas!$E$25,0)</f>
        <v/>
      </c>
      <c r="N97">
        <f>ROUND(E97*Premissas!$E$29+B97*Premissas!$E$30,0)</f>
        <v/>
      </c>
      <c r="O97">
        <f>K97+L97+M97+N97</f>
        <v/>
      </c>
      <c r="P97">
        <f>K97+ROUND(AC97*Premissas!$E$24,0)+M97+N97</f>
        <v/>
      </c>
      <c r="Q97">
        <f>ROUND(IF(A97-1-Premissas!$E$21&gt;=0,OFFSET($P$4,A97-1-Premissas!$E$21,0),0)*(1-Premissas!$E$20/100),0)</f>
        <v/>
      </c>
      <c r="R97">
        <f>ROUND(F97*Premissas!$E$11+N97*Premissas!$E$31/100,0)+ROUND((E97+B97)*Premissas!$E$10,0)+ROUND(Q97*Premissas!$E$8/100,0)+ROUND(Premissas!$E$35+(B97+C97)*Premissas!$E$36,0)</f>
        <v/>
      </c>
      <c r="S97">
        <f>O97-R97</f>
        <v/>
      </c>
      <c r="T97">
        <f>ROUND(O97*Premissas!$E$9/100,0)</f>
        <v/>
      </c>
      <c r="U97">
        <f>ROUND(AB97*Premissas!$E$33,0)</f>
        <v/>
      </c>
      <c r="V97">
        <f>Premissas!$E$37+ROUND(Premissas!$E$12*Premissas!$E$38+D97*Premissas!$E$27,0)</f>
        <v/>
      </c>
      <c r="W97">
        <f>Premissas!$E$39</f>
        <v/>
      </c>
      <c r="X97">
        <f>S97-T97-ROUND(Premissas!$E$12*Premissas!$E$38+D97*Premissas!$E$27,0)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Premissas!$E$32+(B97+C97)/Premissas!$E$34</f>
        <v/>
      </c>
      <c r="AC97">
        <f>D97+AC85*(1-Premissas!$E$26/12)^12</f>
        <v/>
      </c>
    </row>
    <row r="98">
      <c r="A98" t="n">
        <v>95</v>
      </c>
      <c r="B98">
        <f>B97*(1-Premissas!$E$18/12)+Premissas!$E$12</f>
        <v/>
      </c>
      <c r="C98">
        <f>IF($B$2=1,C97*(1-Premissas!$E$26/12)+D98,0)</f>
        <v/>
      </c>
      <c r="D98">
        <f>IF(AND($B$2=1,A98&gt;=Premissas!$E$23),Premissas!$E$22,0)</f>
        <v/>
      </c>
      <c r="E98">
        <f>B98*Premissas!$E$28</f>
        <v/>
      </c>
      <c r="F98">
        <f>B98*Premissas!$E$13/12*MIN(1,A98/Premissas!$E$17)</f>
        <v/>
      </c>
      <c r="G98">
        <f>F98*Premissas!$E$14</f>
        <v/>
      </c>
      <c r="H98">
        <f>IF(IF(A98-1-Premissas!$E$16&gt;=0,OFFSET($J$4,A98-1-Premissas!$E$16,0),0)&gt;0,ROUND(IF(A98-1-Premissas!$E$16&gt;=0,OFFSET($J$4,A98-1-Premissas!$E$16,0),0)*10000/Premissas!$E$5*Premissas!$E$15,0),0)</f>
        <v/>
      </c>
      <c r="I98">
        <f>ROUND(G98*Premissas!$E$6/10000,0)</f>
        <v/>
      </c>
      <c r="J98">
        <f>ROUND(G98*Premissas!$E$5/10000,0)</f>
        <v/>
      </c>
      <c r="K98">
        <f>IF(IF(A98-1-Premissas!$E$16&gt;=0,OFFSET($A$4,A98-1-Premissas!$E$16,0)&gt;=Premissas!$E$19,FALSE),ROUND(IF(A98-1-Premissas!$E$16&gt;=0,OFFSET($J$4,A98-1-Premissas!$E$16,0),0)*Premissas!$E$15,0),0)</f>
        <v/>
      </c>
      <c r="L98">
        <f>ROUND(C98*Premissas!$E$24/12,0)</f>
        <v/>
      </c>
      <c r="M98">
        <f>ROUND(D98*Premissas!$E$25,0)</f>
        <v/>
      </c>
      <c r="N98">
        <f>ROUND(E98*Premissas!$E$29+B98*Premissas!$E$30,0)</f>
        <v/>
      </c>
      <c r="O98">
        <f>K98+L98+M98+N98</f>
        <v/>
      </c>
      <c r="P98">
        <f>K98+ROUND(AC98*Premissas!$E$24,0)+M98+N98</f>
        <v/>
      </c>
      <c r="Q98">
        <f>ROUND(IF(A98-1-Premissas!$E$21&gt;=0,OFFSET($P$4,A98-1-Premissas!$E$21,0),0)*(1-Premissas!$E$20/100),0)</f>
        <v/>
      </c>
      <c r="R98">
        <f>ROUND(F98*Premissas!$E$11+N98*Premissas!$E$31/100,0)+ROUND((E98+B98)*Premissas!$E$10,0)+ROUND(Q98*Premissas!$E$8/100,0)+ROUND(Premissas!$E$35+(B98+C98)*Premissas!$E$36,0)</f>
        <v/>
      </c>
      <c r="S98">
        <f>O98-R98</f>
        <v/>
      </c>
      <c r="T98">
        <f>ROUND(O98*Premissas!$E$9/100,0)</f>
        <v/>
      </c>
      <c r="U98">
        <f>ROUND(AB98*Premissas!$E$33,0)</f>
        <v/>
      </c>
      <c r="V98">
        <f>Premissas!$E$37+ROUND(Premissas!$E$12*Premissas!$E$38+D98*Premissas!$E$27,0)</f>
        <v/>
      </c>
      <c r="W98">
        <f>Premissas!$E$39</f>
        <v/>
      </c>
      <c r="X98">
        <f>S98-T98-ROUND(Premissas!$E$12*Premissas!$E$38+D98*Premissas!$E$27,0)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Premissas!$E$32+(B98+C98)/Premissas!$E$34</f>
        <v/>
      </c>
      <c r="AC98">
        <f>D98+AC86*(1-Premissas!$E$26/12)^12</f>
        <v/>
      </c>
    </row>
    <row r="99">
      <c r="A99" t="n">
        <v>96</v>
      </c>
      <c r="B99">
        <f>B98*(1-Premissas!$E$18/12)+Premissas!$E$12</f>
        <v/>
      </c>
      <c r="C99">
        <f>IF($B$2=1,C98*(1-Premissas!$E$26/12)+D99,0)</f>
        <v/>
      </c>
      <c r="D99">
        <f>IF(AND($B$2=1,A99&gt;=Premissas!$E$23),Premissas!$E$22,0)</f>
        <v/>
      </c>
      <c r="E99">
        <f>B99*Premissas!$E$28</f>
        <v/>
      </c>
      <c r="F99">
        <f>B99*Premissas!$E$13/12*MIN(1,A99/Premissas!$E$17)</f>
        <v/>
      </c>
      <c r="G99">
        <f>F99*Premissas!$E$14</f>
        <v/>
      </c>
      <c r="H99">
        <f>IF(IF(A99-1-Premissas!$E$16&gt;=0,OFFSET($J$4,A99-1-Premissas!$E$16,0),0)&gt;0,ROUND(IF(A99-1-Premissas!$E$16&gt;=0,OFFSET($J$4,A99-1-Premissas!$E$16,0),0)*10000/Premissas!$E$5*Premissas!$E$15,0),0)</f>
        <v/>
      </c>
      <c r="I99">
        <f>ROUND(G99*Premissas!$E$6/10000,0)</f>
        <v/>
      </c>
      <c r="J99">
        <f>ROUND(G99*Premissas!$E$5/10000,0)</f>
        <v/>
      </c>
      <c r="K99">
        <f>IF(IF(A99-1-Premissas!$E$16&gt;=0,OFFSET($A$4,A99-1-Premissas!$E$16,0)&gt;=Premissas!$E$19,FALSE),ROUND(IF(A99-1-Premissas!$E$16&gt;=0,OFFSET($J$4,A99-1-Premissas!$E$16,0),0)*Premissas!$E$15,0),0)</f>
        <v/>
      </c>
      <c r="L99">
        <f>ROUND(C99*Premissas!$E$24/12,0)</f>
        <v/>
      </c>
      <c r="M99">
        <f>ROUND(D99*Premissas!$E$25,0)</f>
        <v/>
      </c>
      <c r="N99">
        <f>ROUND(E99*Premissas!$E$29+B99*Premissas!$E$30,0)</f>
        <v/>
      </c>
      <c r="O99">
        <f>K99+L99+M99+N99</f>
        <v/>
      </c>
      <c r="P99">
        <f>K99+ROUND(AC99*Premissas!$E$24,0)+M99+N99</f>
        <v/>
      </c>
      <c r="Q99">
        <f>ROUND(IF(A99-1-Premissas!$E$21&gt;=0,OFFSET($P$4,A99-1-Premissas!$E$21,0),0)*(1-Premissas!$E$20/100),0)</f>
        <v/>
      </c>
      <c r="R99">
        <f>ROUND(F99*Premissas!$E$11+N99*Premissas!$E$31/100,0)+ROUND((E99+B99)*Premissas!$E$10,0)+ROUND(Q99*Premissas!$E$8/100,0)+ROUND(Premissas!$E$35+(B99+C99)*Premissas!$E$36,0)</f>
        <v/>
      </c>
      <c r="S99">
        <f>O99-R99</f>
        <v/>
      </c>
      <c r="T99">
        <f>ROUND(O99*Premissas!$E$9/100,0)</f>
        <v/>
      </c>
      <c r="U99">
        <f>ROUND(AB99*Premissas!$E$33,0)</f>
        <v/>
      </c>
      <c r="V99">
        <f>Premissas!$E$37+ROUND(Premissas!$E$12*Premissas!$E$38+D99*Premissas!$E$27,0)</f>
        <v/>
      </c>
      <c r="W99">
        <f>Premissas!$E$39</f>
        <v/>
      </c>
      <c r="X99">
        <f>S99-T99-ROUND(Premissas!$E$12*Premissas!$E$38+D99*Premissas!$E$27,0)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Premissas!$E$32+(B99+C99)/Premissas!$E$34</f>
        <v/>
      </c>
      <c r="AC99">
        <f>D99+AC87*(1-Premissas!$E$26/12)^12</f>
        <v/>
      </c>
    </row>
    <row r="100">
      <c r="A100" t="n">
        <v>97</v>
      </c>
      <c r="B100">
        <f>B99*(1-Premissas!$E$18/12)+Premissas!$E$12</f>
        <v/>
      </c>
      <c r="C100">
        <f>IF($B$2=1,C99*(1-Premissas!$E$26/12)+D100,0)</f>
        <v/>
      </c>
      <c r="D100">
        <f>IF(AND($B$2=1,A100&gt;=Premissas!$E$23),Premissas!$E$22,0)</f>
        <v/>
      </c>
      <c r="E100">
        <f>B100*Premissas!$E$28</f>
        <v/>
      </c>
      <c r="F100">
        <f>B100*Premissas!$E$13/12*MIN(1,A100/Premissas!$E$17)</f>
        <v/>
      </c>
      <c r="G100">
        <f>F100*Premissas!$E$14</f>
        <v/>
      </c>
      <c r="H100">
        <f>IF(IF(A100-1-Premissas!$E$16&gt;=0,OFFSET($J$4,A100-1-Premissas!$E$16,0),0)&gt;0,ROUND(IF(A100-1-Premissas!$E$16&gt;=0,OFFSET($J$4,A100-1-Premissas!$E$16,0),0)*10000/Premissas!$E$5*Premissas!$E$15,0),0)</f>
        <v/>
      </c>
      <c r="I100">
        <f>ROUND(G100*Premissas!$E$6/10000,0)</f>
        <v/>
      </c>
      <c r="J100">
        <f>ROUND(G100*Premissas!$E$5/10000,0)</f>
        <v/>
      </c>
      <c r="K100">
        <f>IF(IF(A100-1-Premissas!$E$16&gt;=0,OFFSET($A$4,A100-1-Premissas!$E$16,0)&gt;=Premissas!$E$19,FALSE),ROUND(IF(A100-1-Premissas!$E$16&gt;=0,OFFSET($J$4,A100-1-Premissas!$E$16,0),0)*Premissas!$E$15,0),0)</f>
        <v/>
      </c>
      <c r="L100">
        <f>ROUND(C100*Premissas!$E$24/12,0)</f>
        <v/>
      </c>
      <c r="M100">
        <f>ROUND(D100*Premissas!$E$25,0)</f>
        <v/>
      </c>
      <c r="N100">
        <f>ROUND(E100*Premissas!$E$29+B100*Premissas!$E$30,0)</f>
        <v/>
      </c>
      <c r="O100">
        <f>K100+L100+M100+N100</f>
        <v/>
      </c>
      <c r="P100">
        <f>K100+ROUND(AC100*Premissas!$E$24,0)+M100+N100</f>
        <v/>
      </c>
      <c r="Q100">
        <f>ROUND(IF(A100-1-Premissas!$E$21&gt;=0,OFFSET($P$4,A100-1-Premissas!$E$21,0),0)*(1-Premissas!$E$20/100),0)</f>
        <v/>
      </c>
      <c r="R100">
        <f>ROUND(F100*Premissas!$E$11+N100*Premissas!$E$31/100,0)+ROUND((E100+B100)*Premissas!$E$10,0)+ROUND(Q100*Premissas!$E$8/100,0)+ROUND(Premissas!$E$35+(B100+C100)*Premissas!$E$36,0)</f>
        <v/>
      </c>
      <c r="S100">
        <f>O100-R100</f>
        <v/>
      </c>
      <c r="T100">
        <f>ROUND(O100*Premissas!$E$9/100,0)</f>
        <v/>
      </c>
      <c r="U100">
        <f>ROUND(AB100*Premissas!$E$33,0)</f>
        <v/>
      </c>
      <c r="V100">
        <f>Premissas!$E$37+ROUND(Premissas!$E$12*Premissas!$E$38+D100*Premissas!$E$27,0)</f>
        <v/>
      </c>
      <c r="W100">
        <f>Premissas!$E$39</f>
        <v/>
      </c>
      <c r="X100">
        <f>S100-T100-ROUND(Premissas!$E$12*Premissas!$E$38+D100*Premissas!$E$27,0)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Premissas!$E$32+(B100+C100)/Premissas!$E$34</f>
        <v/>
      </c>
      <c r="AC100">
        <f>D100+AC88*(1-Premissas!$E$26/12)^12</f>
        <v/>
      </c>
    </row>
    <row r="101">
      <c r="A101" t="n">
        <v>98</v>
      </c>
      <c r="B101">
        <f>B100*(1-Premissas!$E$18/12)+Premissas!$E$12</f>
        <v/>
      </c>
      <c r="C101">
        <f>IF($B$2=1,C100*(1-Premissas!$E$26/12)+D101,0)</f>
        <v/>
      </c>
      <c r="D101">
        <f>IF(AND($B$2=1,A101&gt;=Premissas!$E$23),Premissas!$E$22,0)</f>
        <v/>
      </c>
      <c r="E101">
        <f>B101*Premissas!$E$28</f>
        <v/>
      </c>
      <c r="F101">
        <f>B101*Premissas!$E$13/12*MIN(1,A101/Premissas!$E$17)</f>
        <v/>
      </c>
      <c r="G101">
        <f>F101*Premissas!$E$14</f>
        <v/>
      </c>
      <c r="H101">
        <f>IF(IF(A101-1-Premissas!$E$16&gt;=0,OFFSET($J$4,A101-1-Premissas!$E$16,0),0)&gt;0,ROUND(IF(A101-1-Premissas!$E$16&gt;=0,OFFSET($J$4,A101-1-Premissas!$E$16,0),0)*10000/Premissas!$E$5*Premissas!$E$15,0),0)</f>
        <v/>
      </c>
      <c r="I101">
        <f>ROUND(G101*Premissas!$E$6/10000,0)</f>
        <v/>
      </c>
      <c r="J101">
        <f>ROUND(G101*Premissas!$E$5/10000,0)</f>
        <v/>
      </c>
      <c r="K101">
        <f>IF(IF(A101-1-Premissas!$E$16&gt;=0,OFFSET($A$4,A101-1-Premissas!$E$16,0)&gt;=Premissas!$E$19,FALSE),ROUND(IF(A101-1-Premissas!$E$16&gt;=0,OFFSET($J$4,A101-1-Premissas!$E$16,0),0)*Premissas!$E$15,0),0)</f>
        <v/>
      </c>
      <c r="L101">
        <f>ROUND(C101*Premissas!$E$24/12,0)</f>
        <v/>
      </c>
      <c r="M101">
        <f>ROUND(D101*Premissas!$E$25,0)</f>
        <v/>
      </c>
      <c r="N101">
        <f>ROUND(E101*Premissas!$E$29+B101*Premissas!$E$30,0)</f>
        <v/>
      </c>
      <c r="O101">
        <f>K101+L101+M101+N101</f>
        <v/>
      </c>
      <c r="P101">
        <f>K101+ROUND(AC101*Premissas!$E$24,0)+M101+N101</f>
        <v/>
      </c>
      <c r="Q101">
        <f>ROUND(IF(A101-1-Premissas!$E$21&gt;=0,OFFSET($P$4,A101-1-Premissas!$E$21,0),0)*(1-Premissas!$E$20/100),0)</f>
        <v/>
      </c>
      <c r="R101">
        <f>ROUND(F101*Premissas!$E$11+N101*Premissas!$E$31/100,0)+ROUND((E101+B101)*Premissas!$E$10,0)+ROUND(Q101*Premissas!$E$8/100,0)+ROUND(Premissas!$E$35+(B101+C101)*Premissas!$E$36,0)</f>
        <v/>
      </c>
      <c r="S101">
        <f>O101-R101</f>
        <v/>
      </c>
      <c r="T101">
        <f>ROUND(O101*Premissas!$E$9/100,0)</f>
        <v/>
      </c>
      <c r="U101">
        <f>ROUND(AB101*Premissas!$E$33,0)</f>
        <v/>
      </c>
      <c r="V101">
        <f>Premissas!$E$37+ROUND(Premissas!$E$12*Premissas!$E$38+D101*Premissas!$E$27,0)</f>
        <v/>
      </c>
      <c r="W101">
        <f>Premissas!$E$39</f>
        <v/>
      </c>
      <c r="X101">
        <f>S101-T101-ROUND(Premissas!$E$12*Premissas!$E$38+D101*Premissas!$E$27,0)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Premissas!$E$32+(B101+C101)/Premissas!$E$34</f>
        <v/>
      </c>
      <c r="AC101">
        <f>D101+AC89*(1-Premissas!$E$26/12)^12</f>
        <v/>
      </c>
    </row>
    <row r="102">
      <c r="A102" t="n">
        <v>99</v>
      </c>
      <c r="B102">
        <f>B101*(1-Premissas!$E$18/12)+Premissas!$E$12</f>
        <v/>
      </c>
      <c r="C102">
        <f>IF($B$2=1,C101*(1-Premissas!$E$26/12)+D102,0)</f>
        <v/>
      </c>
      <c r="D102">
        <f>IF(AND($B$2=1,A102&gt;=Premissas!$E$23),Premissas!$E$22,0)</f>
        <v/>
      </c>
      <c r="E102">
        <f>B102*Premissas!$E$28</f>
        <v/>
      </c>
      <c r="F102">
        <f>B102*Premissas!$E$13/12*MIN(1,A102/Premissas!$E$17)</f>
        <v/>
      </c>
      <c r="G102">
        <f>F102*Premissas!$E$14</f>
        <v/>
      </c>
      <c r="H102">
        <f>IF(IF(A102-1-Premissas!$E$16&gt;=0,OFFSET($J$4,A102-1-Premissas!$E$16,0),0)&gt;0,ROUND(IF(A102-1-Premissas!$E$16&gt;=0,OFFSET($J$4,A102-1-Premissas!$E$16,0),0)*10000/Premissas!$E$5*Premissas!$E$15,0),0)</f>
        <v/>
      </c>
      <c r="I102">
        <f>ROUND(G102*Premissas!$E$6/10000,0)</f>
        <v/>
      </c>
      <c r="J102">
        <f>ROUND(G102*Premissas!$E$5/10000,0)</f>
        <v/>
      </c>
      <c r="K102">
        <f>IF(IF(A102-1-Premissas!$E$16&gt;=0,OFFSET($A$4,A102-1-Premissas!$E$16,0)&gt;=Premissas!$E$19,FALSE),ROUND(IF(A102-1-Premissas!$E$16&gt;=0,OFFSET($J$4,A102-1-Premissas!$E$16,0),0)*Premissas!$E$15,0),0)</f>
        <v/>
      </c>
      <c r="L102">
        <f>ROUND(C102*Premissas!$E$24/12,0)</f>
        <v/>
      </c>
      <c r="M102">
        <f>ROUND(D102*Premissas!$E$25,0)</f>
        <v/>
      </c>
      <c r="N102">
        <f>ROUND(E102*Premissas!$E$29+B102*Premissas!$E$30,0)</f>
        <v/>
      </c>
      <c r="O102">
        <f>K102+L102+M102+N102</f>
        <v/>
      </c>
      <c r="P102">
        <f>K102+ROUND(AC102*Premissas!$E$24,0)+M102+N102</f>
        <v/>
      </c>
      <c r="Q102">
        <f>ROUND(IF(A102-1-Premissas!$E$21&gt;=0,OFFSET($P$4,A102-1-Premissas!$E$21,0),0)*(1-Premissas!$E$20/100),0)</f>
        <v/>
      </c>
      <c r="R102">
        <f>ROUND(F102*Premissas!$E$11+N102*Premissas!$E$31/100,0)+ROUND((E102+B102)*Premissas!$E$10,0)+ROUND(Q102*Premissas!$E$8/100,0)+ROUND(Premissas!$E$35+(B102+C102)*Premissas!$E$36,0)</f>
        <v/>
      </c>
      <c r="S102">
        <f>O102-R102</f>
        <v/>
      </c>
      <c r="T102">
        <f>ROUND(O102*Premissas!$E$9/100,0)</f>
        <v/>
      </c>
      <c r="U102">
        <f>ROUND(AB102*Premissas!$E$33,0)</f>
        <v/>
      </c>
      <c r="V102">
        <f>Premissas!$E$37+ROUND(Premissas!$E$12*Premissas!$E$38+D102*Premissas!$E$27,0)</f>
        <v/>
      </c>
      <c r="W102">
        <f>Premissas!$E$39</f>
        <v/>
      </c>
      <c r="X102">
        <f>S102-T102-ROUND(Premissas!$E$12*Premissas!$E$38+D102*Premissas!$E$27,0)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Premissas!$E$32+(B102+C102)/Premissas!$E$34</f>
        <v/>
      </c>
      <c r="AC102">
        <f>D102+AC90*(1-Premissas!$E$26/12)^12</f>
        <v/>
      </c>
    </row>
    <row r="103">
      <c r="A103" t="n">
        <v>100</v>
      </c>
      <c r="B103">
        <f>B102*(1-Premissas!$E$18/12)+Premissas!$E$12</f>
        <v/>
      </c>
      <c r="C103">
        <f>IF($B$2=1,C102*(1-Premissas!$E$26/12)+D103,0)</f>
        <v/>
      </c>
      <c r="D103">
        <f>IF(AND($B$2=1,A103&gt;=Premissas!$E$23),Premissas!$E$22,0)</f>
        <v/>
      </c>
      <c r="E103">
        <f>B103*Premissas!$E$28</f>
        <v/>
      </c>
      <c r="F103">
        <f>B103*Premissas!$E$13/12*MIN(1,A103/Premissas!$E$17)</f>
        <v/>
      </c>
      <c r="G103">
        <f>F103*Premissas!$E$14</f>
        <v/>
      </c>
      <c r="H103">
        <f>IF(IF(A103-1-Premissas!$E$16&gt;=0,OFFSET($J$4,A103-1-Premissas!$E$16,0),0)&gt;0,ROUND(IF(A103-1-Premissas!$E$16&gt;=0,OFFSET($J$4,A103-1-Premissas!$E$16,0),0)*10000/Premissas!$E$5*Premissas!$E$15,0),0)</f>
        <v/>
      </c>
      <c r="I103">
        <f>ROUND(G103*Premissas!$E$6/10000,0)</f>
        <v/>
      </c>
      <c r="J103">
        <f>ROUND(G103*Premissas!$E$5/10000,0)</f>
        <v/>
      </c>
      <c r="K103">
        <f>IF(IF(A103-1-Premissas!$E$16&gt;=0,OFFSET($A$4,A103-1-Premissas!$E$16,0)&gt;=Premissas!$E$19,FALSE),ROUND(IF(A103-1-Premissas!$E$16&gt;=0,OFFSET($J$4,A103-1-Premissas!$E$16,0),0)*Premissas!$E$15,0),0)</f>
        <v/>
      </c>
      <c r="L103">
        <f>ROUND(C103*Premissas!$E$24/12,0)</f>
        <v/>
      </c>
      <c r="M103">
        <f>ROUND(D103*Premissas!$E$25,0)</f>
        <v/>
      </c>
      <c r="N103">
        <f>ROUND(E103*Premissas!$E$29+B103*Premissas!$E$30,0)</f>
        <v/>
      </c>
      <c r="O103">
        <f>K103+L103+M103+N103</f>
        <v/>
      </c>
      <c r="P103">
        <f>K103+ROUND(AC103*Premissas!$E$24,0)+M103+N103</f>
        <v/>
      </c>
      <c r="Q103">
        <f>ROUND(IF(A103-1-Premissas!$E$21&gt;=0,OFFSET($P$4,A103-1-Premissas!$E$21,0),0)*(1-Premissas!$E$20/100),0)</f>
        <v/>
      </c>
      <c r="R103">
        <f>ROUND(F103*Premissas!$E$11+N103*Premissas!$E$31/100,0)+ROUND((E103+B103)*Premissas!$E$10,0)+ROUND(Q103*Premissas!$E$8/100,0)+ROUND(Premissas!$E$35+(B103+C103)*Premissas!$E$36,0)</f>
        <v/>
      </c>
      <c r="S103">
        <f>O103-R103</f>
        <v/>
      </c>
      <c r="T103">
        <f>ROUND(O103*Premissas!$E$9/100,0)</f>
        <v/>
      </c>
      <c r="U103">
        <f>ROUND(AB103*Premissas!$E$33,0)</f>
        <v/>
      </c>
      <c r="V103">
        <f>Premissas!$E$37+ROUND(Premissas!$E$12*Premissas!$E$38+D103*Premissas!$E$27,0)</f>
        <v/>
      </c>
      <c r="W103">
        <f>Premissas!$E$39</f>
        <v/>
      </c>
      <c r="X103">
        <f>S103-T103-ROUND(Premissas!$E$12*Premissas!$E$38+D103*Premissas!$E$27,0)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Premissas!$E$32+(B103+C103)/Premissas!$E$34</f>
        <v/>
      </c>
      <c r="AC103">
        <f>D103+AC91*(1-Premissas!$E$26/12)^12</f>
        <v/>
      </c>
    </row>
    <row r="104">
      <c r="A104" t="n">
        <v>101</v>
      </c>
      <c r="B104">
        <f>B103*(1-Premissas!$E$18/12)+Premissas!$E$12</f>
        <v/>
      </c>
      <c r="C104">
        <f>IF($B$2=1,C103*(1-Premissas!$E$26/12)+D104,0)</f>
        <v/>
      </c>
      <c r="D104">
        <f>IF(AND($B$2=1,A104&gt;=Premissas!$E$23),Premissas!$E$22,0)</f>
        <v/>
      </c>
      <c r="E104">
        <f>B104*Premissas!$E$28</f>
        <v/>
      </c>
      <c r="F104">
        <f>B104*Premissas!$E$13/12*MIN(1,A104/Premissas!$E$17)</f>
        <v/>
      </c>
      <c r="G104">
        <f>F104*Premissas!$E$14</f>
        <v/>
      </c>
      <c r="H104">
        <f>IF(IF(A104-1-Premissas!$E$16&gt;=0,OFFSET($J$4,A104-1-Premissas!$E$16,0),0)&gt;0,ROUND(IF(A104-1-Premissas!$E$16&gt;=0,OFFSET($J$4,A104-1-Premissas!$E$16,0),0)*10000/Premissas!$E$5*Premissas!$E$15,0),0)</f>
        <v/>
      </c>
      <c r="I104">
        <f>ROUND(G104*Premissas!$E$6/10000,0)</f>
        <v/>
      </c>
      <c r="J104">
        <f>ROUND(G104*Premissas!$E$5/10000,0)</f>
        <v/>
      </c>
      <c r="K104">
        <f>IF(IF(A104-1-Premissas!$E$16&gt;=0,OFFSET($A$4,A104-1-Premissas!$E$16,0)&gt;=Premissas!$E$19,FALSE),ROUND(IF(A104-1-Premissas!$E$16&gt;=0,OFFSET($J$4,A104-1-Premissas!$E$16,0),0)*Premissas!$E$15,0),0)</f>
        <v/>
      </c>
      <c r="L104">
        <f>ROUND(C104*Premissas!$E$24/12,0)</f>
        <v/>
      </c>
      <c r="M104">
        <f>ROUND(D104*Premissas!$E$25,0)</f>
        <v/>
      </c>
      <c r="N104">
        <f>ROUND(E104*Premissas!$E$29+B104*Premissas!$E$30,0)</f>
        <v/>
      </c>
      <c r="O104">
        <f>K104+L104+M104+N104</f>
        <v/>
      </c>
      <c r="P104">
        <f>K104+ROUND(AC104*Premissas!$E$24,0)+M104+N104</f>
        <v/>
      </c>
      <c r="Q104">
        <f>ROUND(IF(A104-1-Premissas!$E$21&gt;=0,OFFSET($P$4,A104-1-Premissas!$E$21,0),0)*(1-Premissas!$E$20/100),0)</f>
        <v/>
      </c>
      <c r="R104">
        <f>ROUND(F104*Premissas!$E$11+N104*Premissas!$E$31/100,0)+ROUND((E104+B104)*Premissas!$E$10,0)+ROUND(Q104*Premissas!$E$8/100,0)+ROUND(Premissas!$E$35+(B104+C104)*Premissas!$E$36,0)</f>
        <v/>
      </c>
      <c r="S104">
        <f>O104-R104</f>
        <v/>
      </c>
      <c r="T104">
        <f>ROUND(O104*Premissas!$E$9/100,0)</f>
        <v/>
      </c>
      <c r="U104">
        <f>ROUND(AB104*Premissas!$E$33,0)</f>
        <v/>
      </c>
      <c r="V104">
        <f>Premissas!$E$37+ROUND(Premissas!$E$12*Premissas!$E$38+D104*Premissas!$E$27,0)</f>
        <v/>
      </c>
      <c r="W104">
        <f>Premissas!$E$39</f>
        <v/>
      </c>
      <c r="X104">
        <f>S104-T104-ROUND(Premissas!$E$12*Premissas!$E$38+D104*Premissas!$E$27,0)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Premissas!$E$32+(B104+C104)/Premissas!$E$34</f>
        <v/>
      </c>
      <c r="AC104">
        <f>D104+AC92*(1-Premissas!$E$26/12)^12</f>
        <v/>
      </c>
    </row>
    <row r="105">
      <c r="A105" t="n">
        <v>102</v>
      </c>
      <c r="B105">
        <f>B104*(1-Premissas!$E$18/12)+Premissas!$E$12</f>
        <v/>
      </c>
      <c r="C105">
        <f>IF($B$2=1,C104*(1-Premissas!$E$26/12)+D105,0)</f>
        <v/>
      </c>
      <c r="D105">
        <f>IF(AND($B$2=1,A105&gt;=Premissas!$E$23),Premissas!$E$22,0)</f>
        <v/>
      </c>
      <c r="E105">
        <f>B105*Premissas!$E$28</f>
        <v/>
      </c>
      <c r="F105">
        <f>B105*Premissas!$E$13/12*MIN(1,A105/Premissas!$E$17)</f>
        <v/>
      </c>
      <c r="G105">
        <f>F105*Premissas!$E$14</f>
        <v/>
      </c>
      <c r="H105">
        <f>IF(IF(A105-1-Premissas!$E$16&gt;=0,OFFSET($J$4,A105-1-Premissas!$E$16,0),0)&gt;0,ROUND(IF(A105-1-Premissas!$E$16&gt;=0,OFFSET($J$4,A105-1-Premissas!$E$16,0),0)*10000/Premissas!$E$5*Premissas!$E$15,0),0)</f>
        <v/>
      </c>
      <c r="I105">
        <f>ROUND(G105*Premissas!$E$6/10000,0)</f>
        <v/>
      </c>
      <c r="J105">
        <f>ROUND(G105*Premissas!$E$5/10000,0)</f>
        <v/>
      </c>
      <c r="K105">
        <f>IF(IF(A105-1-Premissas!$E$16&gt;=0,OFFSET($A$4,A105-1-Premissas!$E$16,0)&gt;=Premissas!$E$19,FALSE),ROUND(IF(A105-1-Premissas!$E$16&gt;=0,OFFSET($J$4,A105-1-Premissas!$E$16,0),0)*Premissas!$E$15,0),0)</f>
        <v/>
      </c>
      <c r="L105">
        <f>ROUND(C105*Premissas!$E$24/12,0)</f>
        <v/>
      </c>
      <c r="M105">
        <f>ROUND(D105*Premissas!$E$25,0)</f>
        <v/>
      </c>
      <c r="N105">
        <f>ROUND(E105*Premissas!$E$29+B105*Premissas!$E$30,0)</f>
        <v/>
      </c>
      <c r="O105">
        <f>K105+L105+M105+N105</f>
        <v/>
      </c>
      <c r="P105">
        <f>K105+ROUND(AC105*Premissas!$E$24,0)+M105+N105</f>
        <v/>
      </c>
      <c r="Q105">
        <f>ROUND(IF(A105-1-Premissas!$E$21&gt;=0,OFFSET($P$4,A105-1-Premissas!$E$21,0),0)*(1-Premissas!$E$20/100),0)</f>
        <v/>
      </c>
      <c r="R105">
        <f>ROUND(F105*Premissas!$E$11+N105*Premissas!$E$31/100,0)+ROUND((E105+B105)*Premissas!$E$10,0)+ROUND(Q105*Premissas!$E$8/100,0)+ROUND(Premissas!$E$35+(B105+C105)*Premissas!$E$36,0)</f>
        <v/>
      </c>
      <c r="S105">
        <f>O105-R105</f>
        <v/>
      </c>
      <c r="T105">
        <f>ROUND(O105*Premissas!$E$9/100,0)</f>
        <v/>
      </c>
      <c r="U105">
        <f>ROUND(AB105*Premissas!$E$33,0)</f>
        <v/>
      </c>
      <c r="V105">
        <f>Premissas!$E$37+ROUND(Premissas!$E$12*Premissas!$E$38+D105*Premissas!$E$27,0)</f>
        <v/>
      </c>
      <c r="W105">
        <f>Premissas!$E$39</f>
        <v/>
      </c>
      <c r="X105">
        <f>S105-T105-ROUND(Premissas!$E$12*Premissas!$E$38+D105*Premissas!$E$27,0)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Premissas!$E$32+(B105+C105)/Premissas!$E$34</f>
        <v/>
      </c>
      <c r="AC105">
        <f>D105+AC93*(1-Premissas!$E$26/12)^12</f>
        <v/>
      </c>
    </row>
    <row r="106">
      <c r="A106" t="n">
        <v>103</v>
      </c>
      <c r="B106">
        <f>B105*(1-Premissas!$E$18/12)+Premissas!$E$12</f>
        <v/>
      </c>
      <c r="C106">
        <f>IF($B$2=1,C105*(1-Premissas!$E$26/12)+D106,0)</f>
        <v/>
      </c>
      <c r="D106">
        <f>IF(AND($B$2=1,A106&gt;=Premissas!$E$23),Premissas!$E$22,0)</f>
        <v/>
      </c>
      <c r="E106">
        <f>B106*Premissas!$E$28</f>
        <v/>
      </c>
      <c r="F106">
        <f>B106*Premissas!$E$13/12*MIN(1,A106/Premissas!$E$17)</f>
        <v/>
      </c>
      <c r="G106">
        <f>F106*Premissas!$E$14</f>
        <v/>
      </c>
      <c r="H106">
        <f>IF(IF(A106-1-Premissas!$E$16&gt;=0,OFFSET($J$4,A106-1-Premissas!$E$16,0),0)&gt;0,ROUND(IF(A106-1-Premissas!$E$16&gt;=0,OFFSET($J$4,A106-1-Premissas!$E$16,0),0)*10000/Premissas!$E$5*Premissas!$E$15,0),0)</f>
        <v/>
      </c>
      <c r="I106">
        <f>ROUND(G106*Premissas!$E$6/10000,0)</f>
        <v/>
      </c>
      <c r="J106">
        <f>ROUND(G106*Premissas!$E$5/10000,0)</f>
        <v/>
      </c>
      <c r="K106">
        <f>IF(IF(A106-1-Premissas!$E$16&gt;=0,OFFSET($A$4,A106-1-Premissas!$E$16,0)&gt;=Premissas!$E$19,FALSE),ROUND(IF(A106-1-Premissas!$E$16&gt;=0,OFFSET($J$4,A106-1-Premissas!$E$16,0),0)*Premissas!$E$15,0),0)</f>
        <v/>
      </c>
      <c r="L106">
        <f>ROUND(C106*Premissas!$E$24/12,0)</f>
        <v/>
      </c>
      <c r="M106">
        <f>ROUND(D106*Premissas!$E$25,0)</f>
        <v/>
      </c>
      <c r="N106">
        <f>ROUND(E106*Premissas!$E$29+B106*Premissas!$E$30,0)</f>
        <v/>
      </c>
      <c r="O106">
        <f>K106+L106+M106+N106</f>
        <v/>
      </c>
      <c r="P106">
        <f>K106+ROUND(AC106*Premissas!$E$24,0)+M106+N106</f>
        <v/>
      </c>
      <c r="Q106">
        <f>ROUND(IF(A106-1-Premissas!$E$21&gt;=0,OFFSET($P$4,A106-1-Premissas!$E$21,0),0)*(1-Premissas!$E$20/100),0)</f>
        <v/>
      </c>
      <c r="R106">
        <f>ROUND(F106*Premissas!$E$11+N106*Premissas!$E$31/100,0)+ROUND((E106+B106)*Premissas!$E$10,0)+ROUND(Q106*Premissas!$E$8/100,0)+ROUND(Premissas!$E$35+(B106+C106)*Premissas!$E$36,0)</f>
        <v/>
      </c>
      <c r="S106">
        <f>O106-R106</f>
        <v/>
      </c>
      <c r="T106">
        <f>ROUND(O106*Premissas!$E$9/100,0)</f>
        <v/>
      </c>
      <c r="U106">
        <f>ROUND(AB106*Premissas!$E$33,0)</f>
        <v/>
      </c>
      <c r="V106">
        <f>Premissas!$E$37+ROUND(Premissas!$E$12*Premissas!$E$38+D106*Premissas!$E$27,0)</f>
        <v/>
      </c>
      <c r="W106">
        <f>Premissas!$E$39</f>
        <v/>
      </c>
      <c r="X106">
        <f>S106-T106-ROUND(Premissas!$E$12*Premissas!$E$38+D106*Premissas!$E$27,0)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Premissas!$E$32+(B106+C106)/Premissas!$E$34</f>
        <v/>
      </c>
      <c r="AC106">
        <f>D106+AC94*(1-Premissas!$E$26/12)^12</f>
        <v/>
      </c>
    </row>
    <row r="107">
      <c r="A107" t="n">
        <v>104</v>
      </c>
      <c r="B107">
        <f>B106*(1-Premissas!$E$18/12)+Premissas!$E$12</f>
        <v/>
      </c>
      <c r="C107">
        <f>IF($B$2=1,C106*(1-Premissas!$E$26/12)+D107,0)</f>
        <v/>
      </c>
      <c r="D107">
        <f>IF(AND($B$2=1,A107&gt;=Premissas!$E$23),Premissas!$E$22,0)</f>
        <v/>
      </c>
      <c r="E107">
        <f>B107*Premissas!$E$28</f>
        <v/>
      </c>
      <c r="F107">
        <f>B107*Premissas!$E$13/12*MIN(1,A107/Premissas!$E$17)</f>
        <v/>
      </c>
      <c r="G107">
        <f>F107*Premissas!$E$14</f>
        <v/>
      </c>
      <c r="H107">
        <f>IF(IF(A107-1-Premissas!$E$16&gt;=0,OFFSET($J$4,A107-1-Premissas!$E$16,0),0)&gt;0,ROUND(IF(A107-1-Premissas!$E$16&gt;=0,OFFSET($J$4,A107-1-Premissas!$E$16,0),0)*10000/Premissas!$E$5*Premissas!$E$15,0),0)</f>
        <v/>
      </c>
      <c r="I107">
        <f>ROUND(G107*Premissas!$E$6/10000,0)</f>
        <v/>
      </c>
      <c r="J107">
        <f>ROUND(G107*Premissas!$E$5/10000,0)</f>
        <v/>
      </c>
      <c r="K107">
        <f>IF(IF(A107-1-Premissas!$E$16&gt;=0,OFFSET($A$4,A107-1-Premissas!$E$16,0)&gt;=Premissas!$E$19,FALSE),ROUND(IF(A107-1-Premissas!$E$16&gt;=0,OFFSET($J$4,A107-1-Premissas!$E$16,0),0)*Premissas!$E$15,0),0)</f>
        <v/>
      </c>
      <c r="L107">
        <f>ROUND(C107*Premissas!$E$24/12,0)</f>
        <v/>
      </c>
      <c r="M107">
        <f>ROUND(D107*Premissas!$E$25,0)</f>
        <v/>
      </c>
      <c r="N107">
        <f>ROUND(E107*Premissas!$E$29+B107*Premissas!$E$30,0)</f>
        <v/>
      </c>
      <c r="O107">
        <f>K107+L107+M107+N107</f>
        <v/>
      </c>
      <c r="P107">
        <f>K107+ROUND(AC107*Premissas!$E$24,0)+M107+N107</f>
        <v/>
      </c>
      <c r="Q107">
        <f>ROUND(IF(A107-1-Premissas!$E$21&gt;=0,OFFSET($P$4,A107-1-Premissas!$E$21,0),0)*(1-Premissas!$E$20/100),0)</f>
        <v/>
      </c>
      <c r="R107">
        <f>ROUND(F107*Premissas!$E$11+N107*Premissas!$E$31/100,0)+ROUND((E107+B107)*Premissas!$E$10,0)+ROUND(Q107*Premissas!$E$8/100,0)+ROUND(Premissas!$E$35+(B107+C107)*Premissas!$E$36,0)</f>
        <v/>
      </c>
      <c r="S107">
        <f>O107-R107</f>
        <v/>
      </c>
      <c r="T107">
        <f>ROUND(O107*Premissas!$E$9/100,0)</f>
        <v/>
      </c>
      <c r="U107">
        <f>ROUND(AB107*Premissas!$E$33,0)</f>
        <v/>
      </c>
      <c r="V107">
        <f>Premissas!$E$37+ROUND(Premissas!$E$12*Premissas!$E$38+D107*Premissas!$E$27,0)</f>
        <v/>
      </c>
      <c r="W107">
        <f>Premissas!$E$39</f>
        <v/>
      </c>
      <c r="X107">
        <f>S107-T107-ROUND(Premissas!$E$12*Premissas!$E$38+D107*Premissas!$E$27,0)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Premissas!$E$32+(B107+C107)/Premissas!$E$34</f>
        <v/>
      </c>
      <c r="AC107">
        <f>D107+AC95*(1-Premissas!$E$26/12)^12</f>
        <v/>
      </c>
    </row>
    <row r="108">
      <c r="A108" t="n">
        <v>105</v>
      </c>
      <c r="B108">
        <f>B107*(1-Premissas!$E$18/12)+Premissas!$E$12</f>
        <v/>
      </c>
      <c r="C108">
        <f>IF($B$2=1,C107*(1-Premissas!$E$26/12)+D108,0)</f>
        <v/>
      </c>
      <c r="D108">
        <f>IF(AND($B$2=1,A108&gt;=Premissas!$E$23),Premissas!$E$22,0)</f>
        <v/>
      </c>
      <c r="E108">
        <f>B108*Premissas!$E$28</f>
        <v/>
      </c>
      <c r="F108">
        <f>B108*Premissas!$E$13/12*MIN(1,A108/Premissas!$E$17)</f>
        <v/>
      </c>
      <c r="G108">
        <f>F108*Premissas!$E$14</f>
        <v/>
      </c>
      <c r="H108">
        <f>IF(IF(A108-1-Premissas!$E$16&gt;=0,OFFSET($J$4,A108-1-Premissas!$E$16,0),0)&gt;0,ROUND(IF(A108-1-Premissas!$E$16&gt;=0,OFFSET($J$4,A108-1-Premissas!$E$16,0),0)*10000/Premissas!$E$5*Premissas!$E$15,0),0)</f>
        <v/>
      </c>
      <c r="I108">
        <f>ROUND(G108*Premissas!$E$6/10000,0)</f>
        <v/>
      </c>
      <c r="J108">
        <f>ROUND(G108*Premissas!$E$5/10000,0)</f>
        <v/>
      </c>
      <c r="K108">
        <f>IF(IF(A108-1-Premissas!$E$16&gt;=0,OFFSET($A$4,A108-1-Premissas!$E$16,0)&gt;=Premissas!$E$19,FALSE),ROUND(IF(A108-1-Premissas!$E$16&gt;=0,OFFSET($J$4,A108-1-Premissas!$E$16,0),0)*Premissas!$E$15,0),0)</f>
        <v/>
      </c>
      <c r="L108">
        <f>ROUND(C108*Premissas!$E$24/12,0)</f>
        <v/>
      </c>
      <c r="M108">
        <f>ROUND(D108*Premissas!$E$25,0)</f>
        <v/>
      </c>
      <c r="N108">
        <f>ROUND(E108*Premissas!$E$29+B108*Premissas!$E$30,0)</f>
        <v/>
      </c>
      <c r="O108">
        <f>K108+L108+M108+N108</f>
        <v/>
      </c>
      <c r="P108">
        <f>K108+ROUND(AC108*Premissas!$E$24,0)+M108+N108</f>
        <v/>
      </c>
      <c r="Q108">
        <f>ROUND(IF(A108-1-Premissas!$E$21&gt;=0,OFFSET($P$4,A108-1-Premissas!$E$21,0),0)*(1-Premissas!$E$20/100),0)</f>
        <v/>
      </c>
      <c r="R108">
        <f>ROUND(F108*Premissas!$E$11+N108*Premissas!$E$31/100,0)+ROUND((E108+B108)*Premissas!$E$10,0)+ROUND(Q108*Premissas!$E$8/100,0)+ROUND(Premissas!$E$35+(B108+C108)*Premissas!$E$36,0)</f>
        <v/>
      </c>
      <c r="S108">
        <f>O108-R108</f>
        <v/>
      </c>
      <c r="T108">
        <f>ROUND(O108*Premissas!$E$9/100,0)</f>
        <v/>
      </c>
      <c r="U108">
        <f>ROUND(AB108*Premissas!$E$33,0)</f>
        <v/>
      </c>
      <c r="V108">
        <f>Premissas!$E$37+ROUND(Premissas!$E$12*Premissas!$E$38+D108*Premissas!$E$27,0)</f>
        <v/>
      </c>
      <c r="W108">
        <f>Premissas!$E$39</f>
        <v/>
      </c>
      <c r="X108">
        <f>S108-T108-ROUND(Premissas!$E$12*Premissas!$E$38+D108*Premissas!$E$27,0)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Premissas!$E$32+(B108+C108)/Premissas!$E$34</f>
        <v/>
      </c>
      <c r="AC108">
        <f>D108+AC96*(1-Premissas!$E$26/12)^12</f>
        <v/>
      </c>
    </row>
    <row r="109">
      <c r="A109" t="n">
        <v>106</v>
      </c>
      <c r="B109">
        <f>B108*(1-Premissas!$E$18/12)+Premissas!$E$12</f>
        <v/>
      </c>
      <c r="C109">
        <f>IF($B$2=1,C108*(1-Premissas!$E$26/12)+D109,0)</f>
        <v/>
      </c>
      <c r="D109">
        <f>IF(AND($B$2=1,A109&gt;=Premissas!$E$23),Premissas!$E$22,0)</f>
        <v/>
      </c>
      <c r="E109">
        <f>B109*Premissas!$E$28</f>
        <v/>
      </c>
      <c r="F109">
        <f>B109*Premissas!$E$13/12*MIN(1,A109/Premissas!$E$17)</f>
        <v/>
      </c>
      <c r="G109">
        <f>F109*Premissas!$E$14</f>
        <v/>
      </c>
      <c r="H109">
        <f>IF(IF(A109-1-Premissas!$E$16&gt;=0,OFFSET($J$4,A109-1-Premissas!$E$16,0),0)&gt;0,ROUND(IF(A109-1-Premissas!$E$16&gt;=0,OFFSET($J$4,A109-1-Premissas!$E$16,0),0)*10000/Premissas!$E$5*Premissas!$E$15,0),0)</f>
        <v/>
      </c>
      <c r="I109">
        <f>ROUND(G109*Premissas!$E$6/10000,0)</f>
        <v/>
      </c>
      <c r="J109">
        <f>ROUND(G109*Premissas!$E$5/10000,0)</f>
        <v/>
      </c>
      <c r="K109">
        <f>IF(IF(A109-1-Premissas!$E$16&gt;=0,OFFSET($A$4,A109-1-Premissas!$E$16,0)&gt;=Premissas!$E$19,FALSE),ROUND(IF(A109-1-Premissas!$E$16&gt;=0,OFFSET($J$4,A109-1-Premissas!$E$16,0),0)*Premissas!$E$15,0),0)</f>
        <v/>
      </c>
      <c r="L109">
        <f>ROUND(C109*Premissas!$E$24/12,0)</f>
        <v/>
      </c>
      <c r="M109">
        <f>ROUND(D109*Premissas!$E$25,0)</f>
        <v/>
      </c>
      <c r="N109">
        <f>ROUND(E109*Premissas!$E$29+B109*Premissas!$E$30,0)</f>
        <v/>
      </c>
      <c r="O109">
        <f>K109+L109+M109+N109</f>
        <v/>
      </c>
      <c r="P109">
        <f>K109+ROUND(AC109*Premissas!$E$24,0)+M109+N109</f>
        <v/>
      </c>
      <c r="Q109">
        <f>ROUND(IF(A109-1-Premissas!$E$21&gt;=0,OFFSET($P$4,A109-1-Premissas!$E$21,0),0)*(1-Premissas!$E$20/100),0)</f>
        <v/>
      </c>
      <c r="R109">
        <f>ROUND(F109*Premissas!$E$11+N109*Premissas!$E$31/100,0)+ROUND((E109+B109)*Premissas!$E$10,0)+ROUND(Q109*Premissas!$E$8/100,0)+ROUND(Premissas!$E$35+(B109+C109)*Premissas!$E$36,0)</f>
        <v/>
      </c>
      <c r="S109">
        <f>O109-R109</f>
        <v/>
      </c>
      <c r="T109">
        <f>ROUND(O109*Premissas!$E$9/100,0)</f>
        <v/>
      </c>
      <c r="U109">
        <f>ROUND(AB109*Premissas!$E$33,0)</f>
        <v/>
      </c>
      <c r="V109">
        <f>Premissas!$E$37+ROUND(Premissas!$E$12*Premissas!$E$38+D109*Premissas!$E$27,0)</f>
        <v/>
      </c>
      <c r="W109">
        <f>Premissas!$E$39</f>
        <v/>
      </c>
      <c r="X109">
        <f>S109-T109-ROUND(Premissas!$E$12*Premissas!$E$38+D109*Premissas!$E$27,0)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Premissas!$E$32+(B109+C109)/Premissas!$E$34</f>
        <v/>
      </c>
      <c r="AC109">
        <f>D109+AC97*(1-Premissas!$E$26/12)^12</f>
        <v/>
      </c>
    </row>
    <row r="110">
      <c r="A110" t="n">
        <v>107</v>
      </c>
      <c r="B110">
        <f>B109*(1-Premissas!$E$18/12)+Premissas!$E$12</f>
        <v/>
      </c>
      <c r="C110">
        <f>IF($B$2=1,C109*(1-Premissas!$E$26/12)+D110,0)</f>
        <v/>
      </c>
      <c r="D110">
        <f>IF(AND($B$2=1,A110&gt;=Premissas!$E$23),Premissas!$E$22,0)</f>
        <v/>
      </c>
      <c r="E110">
        <f>B110*Premissas!$E$28</f>
        <v/>
      </c>
      <c r="F110">
        <f>B110*Premissas!$E$13/12*MIN(1,A110/Premissas!$E$17)</f>
        <v/>
      </c>
      <c r="G110">
        <f>F110*Premissas!$E$14</f>
        <v/>
      </c>
      <c r="H110">
        <f>IF(IF(A110-1-Premissas!$E$16&gt;=0,OFFSET($J$4,A110-1-Premissas!$E$16,0),0)&gt;0,ROUND(IF(A110-1-Premissas!$E$16&gt;=0,OFFSET($J$4,A110-1-Premissas!$E$16,0),0)*10000/Premissas!$E$5*Premissas!$E$15,0),0)</f>
        <v/>
      </c>
      <c r="I110">
        <f>ROUND(G110*Premissas!$E$6/10000,0)</f>
        <v/>
      </c>
      <c r="J110">
        <f>ROUND(G110*Premissas!$E$5/10000,0)</f>
        <v/>
      </c>
      <c r="K110">
        <f>IF(IF(A110-1-Premissas!$E$16&gt;=0,OFFSET($A$4,A110-1-Premissas!$E$16,0)&gt;=Premissas!$E$19,FALSE),ROUND(IF(A110-1-Premissas!$E$16&gt;=0,OFFSET($J$4,A110-1-Premissas!$E$16,0),0)*Premissas!$E$15,0),0)</f>
        <v/>
      </c>
      <c r="L110">
        <f>ROUND(C110*Premissas!$E$24/12,0)</f>
        <v/>
      </c>
      <c r="M110">
        <f>ROUND(D110*Premissas!$E$25,0)</f>
        <v/>
      </c>
      <c r="N110">
        <f>ROUND(E110*Premissas!$E$29+B110*Premissas!$E$30,0)</f>
        <v/>
      </c>
      <c r="O110">
        <f>K110+L110+M110+N110</f>
        <v/>
      </c>
      <c r="P110">
        <f>K110+ROUND(AC110*Premissas!$E$24,0)+M110+N110</f>
        <v/>
      </c>
      <c r="Q110">
        <f>ROUND(IF(A110-1-Premissas!$E$21&gt;=0,OFFSET($P$4,A110-1-Premissas!$E$21,0),0)*(1-Premissas!$E$20/100),0)</f>
        <v/>
      </c>
      <c r="R110">
        <f>ROUND(F110*Premissas!$E$11+N110*Premissas!$E$31/100,0)+ROUND((E110+B110)*Premissas!$E$10,0)+ROUND(Q110*Premissas!$E$8/100,0)+ROUND(Premissas!$E$35+(B110+C110)*Premissas!$E$36,0)</f>
        <v/>
      </c>
      <c r="S110">
        <f>O110-R110</f>
        <v/>
      </c>
      <c r="T110">
        <f>ROUND(O110*Premissas!$E$9/100,0)</f>
        <v/>
      </c>
      <c r="U110">
        <f>ROUND(AB110*Premissas!$E$33,0)</f>
        <v/>
      </c>
      <c r="V110">
        <f>Premissas!$E$37+ROUND(Premissas!$E$12*Premissas!$E$38+D110*Premissas!$E$27,0)</f>
        <v/>
      </c>
      <c r="W110">
        <f>Premissas!$E$39</f>
        <v/>
      </c>
      <c r="X110">
        <f>S110-T110-ROUND(Premissas!$E$12*Premissas!$E$38+D110*Premissas!$E$27,0)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Premissas!$E$32+(B110+C110)/Premissas!$E$34</f>
        <v/>
      </c>
      <c r="AC110">
        <f>D110+AC98*(1-Premissas!$E$26/12)^12</f>
        <v/>
      </c>
    </row>
    <row r="111">
      <c r="A111" t="n">
        <v>108</v>
      </c>
      <c r="B111">
        <f>B110*(1-Premissas!$E$18/12)+Premissas!$E$12</f>
        <v/>
      </c>
      <c r="C111">
        <f>IF($B$2=1,C110*(1-Premissas!$E$26/12)+D111,0)</f>
        <v/>
      </c>
      <c r="D111">
        <f>IF(AND($B$2=1,A111&gt;=Premissas!$E$23),Premissas!$E$22,0)</f>
        <v/>
      </c>
      <c r="E111">
        <f>B111*Premissas!$E$28</f>
        <v/>
      </c>
      <c r="F111">
        <f>B111*Premissas!$E$13/12*MIN(1,A111/Premissas!$E$17)</f>
        <v/>
      </c>
      <c r="G111">
        <f>F111*Premissas!$E$14</f>
        <v/>
      </c>
      <c r="H111">
        <f>IF(IF(A111-1-Premissas!$E$16&gt;=0,OFFSET($J$4,A111-1-Premissas!$E$16,0),0)&gt;0,ROUND(IF(A111-1-Premissas!$E$16&gt;=0,OFFSET($J$4,A111-1-Premissas!$E$16,0),0)*10000/Premissas!$E$5*Premissas!$E$15,0),0)</f>
        <v/>
      </c>
      <c r="I111">
        <f>ROUND(G111*Premissas!$E$6/10000,0)</f>
        <v/>
      </c>
      <c r="J111">
        <f>ROUND(G111*Premissas!$E$5/10000,0)</f>
        <v/>
      </c>
      <c r="K111">
        <f>IF(IF(A111-1-Premissas!$E$16&gt;=0,OFFSET($A$4,A111-1-Premissas!$E$16,0)&gt;=Premissas!$E$19,FALSE),ROUND(IF(A111-1-Premissas!$E$16&gt;=0,OFFSET($J$4,A111-1-Premissas!$E$16,0),0)*Premissas!$E$15,0),0)</f>
        <v/>
      </c>
      <c r="L111">
        <f>ROUND(C111*Premissas!$E$24/12,0)</f>
        <v/>
      </c>
      <c r="M111">
        <f>ROUND(D111*Premissas!$E$25,0)</f>
        <v/>
      </c>
      <c r="N111">
        <f>ROUND(E111*Premissas!$E$29+B111*Premissas!$E$30,0)</f>
        <v/>
      </c>
      <c r="O111">
        <f>K111+L111+M111+N111</f>
        <v/>
      </c>
      <c r="P111">
        <f>K111+ROUND(AC111*Premissas!$E$24,0)+M111+N111</f>
        <v/>
      </c>
      <c r="Q111">
        <f>ROUND(IF(A111-1-Premissas!$E$21&gt;=0,OFFSET($P$4,A111-1-Premissas!$E$21,0),0)*(1-Premissas!$E$20/100),0)</f>
        <v/>
      </c>
      <c r="R111">
        <f>ROUND(F111*Premissas!$E$11+N111*Premissas!$E$31/100,0)+ROUND((E111+B111)*Premissas!$E$10,0)+ROUND(Q111*Premissas!$E$8/100,0)+ROUND(Premissas!$E$35+(B111+C111)*Premissas!$E$36,0)</f>
        <v/>
      </c>
      <c r="S111">
        <f>O111-R111</f>
        <v/>
      </c>
      <c r="T111">
        <f>ROUND(O111*Premissas!$E$9/100,0)</f>
        <v/>
      </c>
      <c r="U111">
        <f>ROUND(AB111*Premissas!$E$33,0)</f>
        <v/>
      </c>
      <c r="V111">
        <f>Premissas!$E$37+ROUND(Premissas!$E$12*Premissas!$E$38+D111*Premissas!$E$27,0)</f>
        <v/>
      </c>
      <c r="W111">
        <f>Premissas!$E$39</f>
        <v/>
      </c>
      <c r="X111">
        <f>S111-T111-ROUND(Premissas!$E$12*Premissas!$E$38+D111*Premissas!$E$27,0)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Premissas!$E$32+(B111+C111)/Premissas!$E$34</f>
        <v/>
      </c>
      <c r="AC111">
        <f>D111+AC99*(1-Premissas!$E$26/12)^12</f>
        <v/>
      </c>
    </row>
    <row r="112">
      <c r="A112" t="n">
        <v>109</v>
      </c>
      <c r="B112">
        <f>B111*(1-Premissas!$E$18/12)+Premissas!$E$12</f>
        <v/>
      </c>
      <c r="C112">
        <f>IF($B$2=1,C111*(1-Premissas!$E$26/12)+D112,0)</f>
        <v/>
      </c>
      <c r="D112">
        <f>IF(AND($B$2=1,A112&gt;=Premissas!$E$23),Premissas!$E$22,0)</f>
        <v/>
      </c>
      <c r="E112">
        <f>B112*Premissas!$E$28</f>
        <v/>
      </c>
      <c r="F112">
        <f>B112*Premissas!$E$13/12*MIN(1,A112/Premissas!$E$17)</f>
        <v/>
      </c>
      <c r="G112">
        <f>F112*Premissas!$E$14</f>
        <v/>
      </c>
      <c r="H112">
        <f>IF(IF(A112-1-Premissas!$E$16&gt;=0,OFFSET($J$4,A112-1-Premissas!$E$16,0),0)&gt;0,ROUND(IF(A112-1-Premissas!$E$16&gt;=0,OFFSET($J$4,A112-1-Premissas!$E$16,0),0)*10000/Premissas!$E$5*Premissas!$E$15,0),0)</f>
        <v/>
      </c>
      <c r="I112">
        <f>ROUND(G112*Premissas!$E$6/10000,0)</f>
        <v/>
      </c>
      <c r="J112">
        <f>ROUND(G112*Premissas!$E$5/10000,0)</f>
        <v/>
      </c>
      <c r="K112">
        <f>IF(IF(A112-1-Premissas!$E$16&gt;=0,OFFSET($A$4,A112-1-Premissas!$E$16,0)&gt;=Premissas!$E$19,FALSE),ROUND(IF(A112-1-Premissas!$E$16&gt;=0,OFFSET($J$4,A112-1-Premissas!$E$16,0),0)*Premissas!$E$15,0),0)</f>
        <v/>
      </c>
      <c r="L112">
        <f>ROUND(C112*Premissas!$E$24/12,0)</f>
        <v/>
      </c>
      <c r="M112">
        <f>ROUND(D112*Premissas!$E$25,0)</f>
        <v/>
      </c>
      <c r="N112">
        <f>ROUND(E112*Premissas!$E$29+B112*Premissas!$E$30,0)</f>
        <v/>
      </c>
      <c r="O112">
        <f>K112+L112+M112+N112</f>
        <v/>
      </c>
      <c r="P112">
        <f>K112+ROUND(AC112*Premissas!$E$24,0)+M112+N112</f>
        <v/>
      </c>
      <c r="Q112">
        <f>ROUND(IF(A112-1-Premissas!$E$21&gt;=0,OFFSET($P$4,A112-1-Premissas!$E$21,0),0)*(1-Premissas!$E$20/100),0)</f>
        <v/>
      </c>
      <c r="R112">
        <f>ROUND(F112*Premissas!$E$11+N112*Premissas!$E$31/100,0)+ROUND((E112+B112)*Premissas!$E$10,0)+ROUND(Q112*Premissas!$E$8/100,0)+ROUND(Premissas!$E$35+(B112+C112)*Premissas!$E$36,0)</f>
        <v/>
      </c>
      <c r="S112">
        <f>O112-R112</f>
        <v/>
      </c>
      <c r="T112">
        <f>ROUND(O112*Premissas!$E$9/100,0)</f>
        <v/>
      </c>
      <c r="U112">
        <f>ROUND(AB112*Premissas!$E$33,0)</f>
        <v/>
      </c>
      <c r="V112">
        <f>Premissas!$E$37+ROUND(Premissas!$E$12*Premissas!$E$38+D112*Premissas!$E$27,0)</f>
        <v/>
      </c>
      <c r="W112">
        <f>Premissas!$E$39</f>
        <v/>
      </c>
      <c r="X112">
        <f>S112-T112-ROUND(Premissas!$E$12*Premissas!$E$38+D112*Premissas!$E$27,0)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Premissas!$E$32+(B112+C112)/Premissas!$E$34</f>
        <v/>
      </c>
      <c r="AC112">
        <f>D112+AC100*(1-Premissas!$E$26/12)^12</f>
        <v/>
      </c>
    </row>
    <row r="113">
      <c r="A113" t="n">
        <v>110</v>
      </c>
      <c r="B113">
        <f>B112*(1-Premissas!$E$18/12)+Premissas!$E$12</f>
        <v/>
      </c>
      <c r="C113">
        <f>IF($B$2=1,C112*(1-Premissas!$E$26/12)+D113,0)</f>
        <v/>
      </c>
      <c r="D113">
        <f>IF(AND($B$2=1,A113&gt;=Premissas!$E$23),Premissas!$E$22,0)</f>
        <v/>
      </c>
      <c r="E113">
        <f>B113*Premissas!$E$28</f>
        <v/>
      </c>
      <c r="F113">
        <f>B113*Premissas!$E$13/12*MIN(1,A113/Premissas!$E$17)</f>
        <v/>
      </c>
      <c r="G113">
        <f>F113*Premissas!$E$14</f>
        <v/>
      </c>
      <c r="H113">
        <f>IF(IF(A113-1-Premissas!$E$16&gt;=0,OFFSET($J$4,A113-1-Premissas!$E$16,0),0)&gt;0,ROUND(IF(A113-1-Premissas!$E$16&gt;=0,OFFSET($J$4,A113-1-Premissas!$E$16,0),0)*10000/Premissas!$E$5*Premissas!$E$15,0),0)</f>
        <v/>
      </c>
      <c r="I113">
        <f>ROUND(G113*Premissas!$E$6/10000,0)</f>
        <v/>
      </c>
      <c r="J113">
        <f>ROUND(G113*Premissas!$E$5/10000,0)</f>
        <v/>
      </c>
      <c r="K113">
        <f>IF(IF(A113-1-Premissas!$E$16&gt;=0,OFFSET($A$4,A113-1-Premissas!$E$16,0)&gt;=Premissas!$E$19,FALSE),ROUND(IF(A113-1-Premissas!$E$16&gt;=0,OFFSET($J$4,A113-1-Premissas!$E$16,0),0)*Premissas!$E$15,0),0)</f>
        <v/>
      </c>
      <c r="L113">
        <f>ROUND(C113*Premissas!$E$24/12,0)</f>
        <v/>
      </c>
      <c r="M113">
        <f>ROUND(D113*Premissas!$E$25,0)</f>
        <v/>
      </c>
      <c r="N113">
        <f>ROUND(E113*Premissas!$E$29+B113*Premissas!$E$30,0)</f>
        <v/>
      </c>
      <c r="O113">
        <f>K113+L113+M113+N113</f>
        <v/>
      </c>
      <c r="P113">
        <f>K113+ROUND(AC113*Premissas!$E$24,0)+M113+N113</f>
        <v/>
      </c>
      <c r="Q113">
        <f>ROUND(IF(A113-1-Premissas!$E$21&gt;=0,OFFSET($P$4,A113-1-Premissas!$E$21,0),0)*(1-Premissas!$E$20/100),0)</f>
        <v/>
      </c>
      <c r="R113">
        <f>ROUND(F113*Premissas!$E$11+N113*Premissas!$E$31/100,0)+ROUND((E113+B113)*Premissas!$E$10,0)+ROUND(Q113*Premissas!$E$8/100,0)+ROUND(Premissas!$E$35+(B113+C113)*Premissas!$E$36,0)</f>
        <v/>
      </c>
      <c r="S113">
        <f>O113-R113</f>
        <v/>
      </c>
      <c r="T113">
        <f>ROUND(O113*Premissas!$E$9/100,0)</f>
        <v/>
      </c>
      <c r="U113">
        <f>ROUND(AB113*Premissas!$E$33,0)</f>
        <v/>
      </c>
      <c r="V113">
        <f>Premissas!$E$37+ROUND(Premissas!$E$12*Premissas!$E$38+D113*Premissas!$E$27,0)</f>
        <v/>
      </c>
      <c r="W113">
        <f>Premissas!$E$39</f>
        <v/>
      </c>
      <c r="X113">
        <f>S113-T113-ROUND(Premissas!$E$12*Premissas!$E$38+D113*Premissas!$E$27,0)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Premissas!$E$32+(B113+C113)/Premissas!$E$34</f>
        <v/>
      </c>
      <c r="AC113">
        <f>D113+AC101*(1-Premissas!$E$26/12)^12</f>
        <v/>
      </c>
    </row>
    <row r="114">
      <c r="A114" t="n">
        <v>111</v>
      </c>
      <c r="B114">
        <f>B113*(1-Premissas!$E$18/12)+Premissas!$E$12</f>
        <v/>
      </c>
      <c r="C114">
        <f>IF($B$2=1,C113*(1-Premissas!$E$26/12)+D114,0)</f>
        <v/>
      </c>
      <c r="D114">
        <f>IF(AND($B$2=1,A114&gt;=Premissas!$E$23),Premissas!$E$22,0)</f>
        <v/>
      </c>
      <c r="E114">
        <f>B114*Premissas!$E$28</f>
        <v/>
      </c>
      <c r="F114">
        <f>B114*Premissas!$E$13/12*MIN(1,A114/Premissas!$E$17)</f>
        <v/>
      </c>
      <c r="G114">
        <f>F114*Premissas!$E$14</f>
        <v/>
      </c>
      <c r="H114">
        <f>IF(IF(A114-1-Premissas!$E$16&gt;=0,OFFSET($J$4,A114-1-Premissas!$E$16,0),0)&gt;0,ROUND(IF(A114-1-Premissas!$E$16&gt;=0,OFFSET($J$4,A114-1-Premissas!$E$16,0),0)*10000/Premissas!$E$5*Premissas!$E$15,0),0)</f>
        <v/>
      </c>
      <c r="I114">
        <f>ROUND(G114*Premissas!$E$6/10000,0)</f>
        <v/>
      </c>
      <c r="J114">
        <f>ROUND(G114*Premissas!$E$5/10000,0)</f>
        <v/>
      </c>
      <c r="K114">
        <f>IF(IF(A114-1-Premissas!$E$16&gt;=0,OFFSET($A$4,A114-1-Premissas!$E$16,0)&gt;=Premissas!$E$19,FALSE),ROUND(IF(A114-1-Premissas!$E$16&gt;=0,OFFSET($J$4,A114-1-Premissas!$E$16,0),0)*Premissas!$E$15,0),0)</f>
        <v/>
      </c>
      <c r="L114">
        <f>ROUND(C114*Premissas!$E$24/12,0)</f>
        <v/>
      </c>
      <c r="M114">
        <f>ROUND(D114*Premissas!$E$25,0)</f>
        <v/>
      </c>
      <c r="N114">
        <f>ROUND(E114*Premissas!$E$29+B114*Premissas!$E$30,0)</f>
        <v/>
      </c>
      <c r="O114">
        <f>K114+L114+M114+N114</f>
        <v/>
      </c>
      <c r="P114">
        <f>K114+ROUND(AC114*Premissas!$E$24,0)+M114+N114</f>
        <v/>
      </c>
      <c r="Q114">
        <f>ROUND(IF(A114-1-Premissas!$E$21&gt;=0,OFFSET($P$4,A114-1-Premissas!$E$21,0),0)*(1-Premissas!$E$20/100),0)</f>
        <v/>
      </c>
      <c r="R114">
        <f>ROUND(F114*Premissas!$E$11+N114*Premissas!$E$31/100,0)+ROUND((E114+B114)*Premissas!$E$10,0)+ROUND(Q114*Premissas!$E$8/100,0)+ROUND(Premissas!$E$35+(B114+C114)*Premissas!$E$36,0)</f>
        <v/>
      </c>
      <c r="S114">
        <f>O114-R114</f>
        <v/>
      </c>
      <c r="T114">
        <f>ROUND(O114*Premissas!$E$9/100,0)</f>
        <v/>
      </c>
      <c r="U114">
        <f>ROUND(AB114*Premissas!$E$33,0)</f>
        <v/>
      </c>
      <c r="V114">
        <f>Premissas!$E$37+ROUND(Premissas!$E$12*Premissas!$E$38+D114*Premissas!$E$27,0)</f>
        <v/>
      </c>
      <c r="W114">
        <f>Premissas!$E$39</f>
        <v/>
      </c>
      <c r="X114">
        <f>S114-T114-ROUND(Premissas!$E$12*Premissas!$E$38+D114*Premissas!$E$27,0)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Premissas!$E$32+(B114+C114)/Premissas!$E$34</f>
        <v/>
      </c>
      <c r="AC114">
        <f>D114+AC102*(1-Premissas!$E$26/12)^12</f>
        <v/>
      </c>
    </row>
    <row r="115">
      <c r="A115" t="n">
        <v>112</v>
      </c>
      <c r="B115">
        <f>B114*(1-Premissas!$E$18/12)+Premissas!$E$12</f>
        <v/>
      </c>
      <c r="C115">
        <f>IF($B$2=1,C114*(1-Premissas!$E$26/12)+D115,0)</f>
        <v/>
      </c>
      <c r="D115">
        <f>IF(AND($B$2=1,A115&gt;=Premissas!$E$23),Premissas!$E$22,0)</f>
        <v/>
      </c>
      <c r="E115">
        <f>B115*Premissas!$E$28</f>
        <v/>
      </c>
      <c r="F115">
        <f>B115*Premissas!$E$13/12*MIN(1,A115/Premissas!$E$17)</f>
        <v/>
      </c>
      <c r="G115">
        <f>F115*Premissas!$E$14</f>
        <v/>
      </c>
      <c r="H115">
        <f>IF(IF(A115-1-Premissas!$E$16&gt;=0,OFFSET($J$4,A115-1-Premissas!$E$16,0),0)&gt;0,ROUND(IF(A115-1-Premissas!$E$16&gt;=0,OFFSET($J$4,A115-1-Premissas!$E$16,0),0)*10000/Premissas!$E$5*Premissas!$E$15,0),0)</f>
        <v/>
      </c>
      <c r="I115">
        <f>ROUND(G115*Premissas!$E$6/10000,0)</f>
        <v/>
      </c>
      <c r="J115">
        <f>ROUND(G115*Premissas!$E$5/10000,0)</f>
        <v/>
      </c>
      <c r="K115">
        <f>IF(IF(A115-1-Premissas!$E$16&gt;=0,OFFSET($A$4,A115-1-Premissas!$E$16,0)&gt;=Premissas!$E$19,FALSE),ROUND(IF(A115-1-Premissas!$E$16&gt;=0,OFFSET($J$4,A115-1-Premissas!$E$16,0),0)*Premissas!$E$15,0),0)</f>
        <v/>
      </c>
      <c r="L115">
        <f>ROUND(C115*Premissas!$E$24/12,0)</f>
        <v/>
      </c>
      <c r="M115">
        <f>ROUND(D115*Premissas!$E$25,0)</f>
        <v/>
      </c>
      <c r="N115">
        <f>ROUND(E115*Premissas!$E$29+B115*Premissas!$E$30,0)</f>
        <v/>
      </c>
      <c r="O115">
        <f>K115+L115+M115+N115</f>
        <v/>
      </c>
      <c r="P115">
        <f>K115+ROUND(AC115*Premissas!$E$24,0)+M115+N115</f>
        <v/>
      </c>
      <c r="Q115">
        <f>ROUND(IF(A115-1-Premissas!$E$21&gt;=0,OFFSET($P$4,A115-1-Premissas!$E$21,0),0)*(1-Premissas!$E$20/100),0)</f>
        <v/>
      </c>
      <c r="R115">
        <f>ROUND(F115*Premissas!$E$11+N115*Premissas!$E$31/100,0)+ROUND((E115+B115)*Premissas!$E$10,0)+ROUND(Q115*Premissas!$E$8/100,0)+ROUND(Premissas!$E$35+(B115+C115)*Premissas!$E$36,0)</f>
        <v/>
      </c>
      <c r="S115">
        <f>O115-R115</f>
        <v/>
      </c>
      <c r="T115">
        <f>ROUND(O115*Premissas!$E$9/100,0)</f>
        <v/>
      </c>
      <c r="U115">
        <f>ROUND(AB115*Premissas!$E$33,0)</f>
        <v/>
      </c>
      <c r="V115">
        <f>Premissas!$E$37+ROUND(Premissas!$E$12*Premissas!$E$38+D115*Premissas!$E$27,0)</f>
        <v/>
      </c>
      <c r="W115">
        <f>Premissas!$E$39</f>
        <v/>
      </c>
      <c r="X115">
        <f>S115-T115-ROUND(Premissas!$E$12*Premissas!$E$38+D115*Premissas!$E$27,0)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Premissas!$E$32+(B115+C115)/Premissas!$E$34</f>
        <v/>
      </c>
      <c r="AC115">
        <f>D115+AC103*(1-Premissas!$E$26/12)^12</f>
        <v/>
      </c>
    </row>
    <row r="116">
      <c r="A116" t="n">
        <v>113</v>
      </c>
      <c r="B116">
        <f>B115*(1-Premissas!$E$18/12)+Premissas!$E$12</f>
        <v/>
      </c>
      <c r="C116">
        <f>IF($B$2=1,C115*(1-Premissas!$E$26/12)+D116,0)</f>
        <v/>
      </c>
      <c r="D116">
        <f>IF(AND($B$2=1,A116&gt;=Premissas!$E$23),Premissas!$E$22,0)</f>
        <v/>
      </c>
      <c r="E116">
        <f>B116*Premissas!$E$28</f>
        <v/>
      </c>
      <c r="F116">
        <f>B116*Premissas!$E$13/12*MIN(1,A116/Premissas!$E$17)</f>
        <v/>
      </c>
      <c r="G116">
        <f>F116*Premissas!$E$14</f>
        <v/>
      </c>
      <c r="H116">
        <f>IF(IF(A116-1-Premissas!$E$16&gt;=0,OFFSET($J$4,A116-1-Premissas!$E$16,0),0)&gt;0,ROUND(IF(A116-1-Premissas!$E$16&gt;=0,OFFSET($J$4,A116-1-Premissas!$E$16,0),0)*10000/Premissas!$E$5*Premissas!$E$15,0),0)</f>
        <v/>
      </c>
      <c r="I116">
        <f>ROUND(G116*Premissas!$E$6/10000,0)</f>
        <v/>
      </c>
      <c r="J116">
        <f>ROUND(G116*Premissas!$E$5/10000,0)</f>
        <v/>
      </c>
      <c r="K116">
        <f>IF(IF(A116-1-Premissas!$E$16&gt;=0,OFFSET($A$4,A116-1-Premissas!$E$16,0)&gt;=Premissas!$E$19,FALSE),ROUND(IF(A116-1-Premissas!$E$16&gt;=0,OFFSET($J$4,A116-1-Premissas!$E$16,0),0)*Premissas!$E$15,0),0)</f>
        <v/>
      </c>
      <c r="L116">
        <f>ROUND(C116*Premissas!$E$24/12,0)</f>
        <v/>
      </c>
      <c r="M116">
        <f>ROUND(D116*Premissas!$E$25,0)</f>
        <v/>
      </c>
      <c r="N116">
        <f>ROUND(E116*Premissas!$E$29+B116*Premissas!$E$30,0)</f>
        <v/>
      </c>
      <c r="O116">
        <f>K116+L116+M116+N116</f>
        <v/>
      </c>
      <c r="P116">
        <f>K116+ROUND(AC116*Premissas!$E$24,0)+M116+N116</f>
        <v/>
      </c>
      <c r="Q116">
        <f>ROUND(IF(A116-1-Premissas!$E$21&gt;=0,OFFSET($P$4,A116-1-Premissas!$E$21,0),0)*(1-Premissas!$E$20/100),0)</f>
        <v/>
      </c>
      <c r="R116">
        <f>ROUND(F116*Premissas!$E$11+N116*Premissas!$E$31/100,0)+ROUND((E116+B116)*Premissas!$E$10,0)+ROUND(Q116*Premissas!$E$8/100,0)+ROUND(Premissas!$E$35+(B116+C116)*Premissas!$E$36,0)</f>
        <v/>
      </c>
      <c r="S116">
        <f>O116-R116</f>
        <v/>
      </c>
      <c r="T116">
        <f>ROUND(O116*Premissas!$E$9/100,0)</f>
        <v/>
      </c>
      <c r="U116">
        <f>ROUND(AB116*Premissas!$E$33,0)</f>
        <v/>
      </c>
      <c r="V116">
        <f>Premissas!$E$37+ROUND(Premissas!$E$12*Premissas!$E$38+D116*Premissas!$E$27,0)</f>
        <v/>
      </c>
      <c r="W116">
        <f>Premissas!$E$39</f>
        <v/>
      </c>
      <c r="X116">
        <f>S116-T116-ROUND(Premissas!$E$12*Premissas!$E$38+D116*Premissas!$E$27,0)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Premissas!$E$32+(B116+C116)/Premissas!$E$34</f>
        <v/>
      </c>
      <c r="AC116">
        <f>D116+AC104*(1-Premissas!$E$26/12)^12</f>
        <v/>
      </c>
    </row>
    <row r="117">
      <c r="A117" t="n">
        <v>114</v>
      </c>
      <c r="B117">
        <f>B116*(1-Premissas!$E$18/12)+Premissas!$E$12</f>
        <v/>
      </c>
      <c r="C117">
        <f>IF($B$2=1,C116*(1-Premissas!$E$26/12)+D117,0)</f>
        <v/>
      </c>
      <c r="D117">
        <f>IF(AND($B$2=1,A117&gt;=Premissas!$E$23),Premissas!$E$22,0)</f>
        <v/>
      </c>
      <c r="E117">
        <f>B117*Premissas!$E$28</f>
        <v/>
      </c>
      <c r="F117">
        <f>B117*Premissas!$E$13/12*MIN(1,A117/Premissas!$E$17)</f>
        <v/>
      </c>
      <c r="G117">
        <f>F117*Premissas!$E$14</f>
        <v/>
      </c>
      <c r="H117">
        <f>IF(IF(A117-1-Premissas!$E$16&gt;=0,OFFSET($J$4,A117-1-Premissas!$E$16,0),0)&gt;0,ROUND(IF(A117-1-Premissas!$E$16&gt;=0,OFFSET($J$4,A117-1-Premissas!$E$16,0),0)*10000/Premissas!$E$5*Premissas!$E$15,0),0)</f>
        <v/>
      </c>
      <c r="I117">
        <f>ROUND(G117*Premissas!$E$6/10000,0)</f>
        <v/>
      </c>
      <c r="J117">
        <f>ROUND(G117*Premissas!$E$5/10000,0)</f>
        <v/>
      </c>
      <c r="K117">
        <f>IF(IF(A117-1-Premissas!$E$16&gt;=0,OFFSET($A$4,A117-1-Premissas!$E$16,0)&gt;=Premissas!$E$19,FALSE),ROUND(IF(A117-1-Premissas!$E$16&gt;=0,OFFSET($J$4,A117-1-Premissas!$E$16,0),0)*Premissas!$E$15,0),0)</f>
        <v/>
      </c>
      <c r="L117">
        <f>ROUND(C117*Premissas!$E$24/12,0)</f>
        <v/>
      </c>
      <c r="M117">
        <f>ROUND(D117*Premissas!$E$25,0)</f>
        <v/>
      </c>
      <c r="N117">
        <f>ROUND(E117*Premissas!$E$29+B117*Premissas!$E$30,0)</f>
        <v/>
      </c>
      <c r="O117">
        <f>K117+L117+M117+N117</f>
        <v/>
      </c>
      <c r="P117">
        <f>K117+ROUND(AC117*Premissas!$E$24,0)+M117+N117</f>
        <v/>
      </c>
      <c r="Q117">
        <f>ROUND(IF(A117-1-Premissas!$E$21&gt;=0,OFFSET($P$4,A117-1-Premissas!$E$21,0),0)*(1-Premissas!$E$20/100),0)</f>
        <v/>
      </c>
      <c r="R117">
        <f>ROUND(F117*Premissas!$E$11+N117*Premissas!$E$31/100,0)+ROUND((E117+B117)*Premissas!$E$10,0)+ROUND(Q117*Premissas!$E$8/100,0)+ROUND(Premissas!$E$35+(B117+C117)*Premissas!$E$36,0)</f>
        <v/>
      </c>
      <c r="S117">
        <f>O117-R117</f>
        <v/>
      </c>
      <c r="T117">
        <f>ROUND(O117*Premissas!$E$9/100,0)</f>
        <v/>
      </c>
      <c r="U117">
        <f>ROUND(AB117*Premissas!$E$33,0)</f>
        <v/>
      </c>
      <c r="V117">
        <f>Premissas!$E$37+ROUND(Premissas!$E$12*Premissas!$E$38+D117*Premissas!$E$27,0)</f>
        <v/>
      </c>
      <c r="W117">
        <f>Premissas!$E$39</f>
        <v/>
      </c>
      <c r="X117">
        <f>S117-T117-ROUND(Premissas!$E$12*Premissas!$E$38+D117*Premissas!$E$27,0)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Premissas!$E$32+(B117+C117)/Premissas!$E$34</f>
        <v/>
      </c>
      <c r="AC117">
        <f>D117+AC105*(1-Premissas!$E$26/12)^12</f>
        <v/>
      </c>
    </row>
    <row r="118">
      <c r="A118" t="n">
        <v>115</v>
      </c>
      <c r="B118">
        <f>B117*(1-Premissas!$E$18/12)+Premissas!$E$12</f>
        <v/>
      </c>
      <c r="C118">
        <f>IF($B$2=1,C117*(1-Premissas!$E$26/12)+D118,0)</f>
        <v/>
      </c>
      <c r="D118">
        <f>IF(AND($B$2=1,A118&gt;=Premissas!$E$23),Premissas!$E$22,0)</f>
        <v/>
      </c>
      <c r="E118">
        <f>B118*Premissas!$E$28</f>
        <v/>
      </c>
      <c r="F118">
        <f>B118*Premissas!$E$13/12*MIN(1,A118/Premissas!$E$17)</f>
        <v/>
      </c>
      <c r="G118">
        <f>F118*Premissas!$E$14</f>
        <v/>
      </c>
      <c r="H118">
        <f>IF(IF(A118-1-Premissas!$E$16&gt;=0,OFFSET($J$4,A118-1-Premissas!$E$16,0),0)&gt;0,ROUND(IF(A118-1-Premissas!$E$16&gt;=0,OFFSET($J$4,A118-1-Premissas!$E$16,0),0)*10000/Premissas!$E$5*Premissas!$E$15,0),0)</f>
        <v/>
      </c>
      <c r="I118">
        <f>ROUND(G118*Premissas!$E$6/10000,0)</f>
        <v/>
      </c>
      <c r="J118">
        <f>ROUND(G118*Premissas!$E$5/10000,0)</f>
        <v/>
      </c>
      <c r="K118">
        <f>IF(IF(A118-1-Premissas!$E$16&gt;=0,OFFSET($A$4,A118-1-Premissas!$E$16,0)&gt;=Premissas!$E$19,FALSE),ROUND(IF(A118-1-Premissas!$E$16&gt;=0,OFFSET($J$4,A118-1-Premissas!$E$16,0),0)*Premissas!$E$15,0),0)</f>
        <v/>
      </c>
      <c r="L118">
        <f>ROUND(C118*Premissas!$E$24/12,0)</f>
        <v/>
      </c>
      <c r="M118">
        <f>ROUND(D118*Premissas!$E$25,0)</f>
        <v/>
      </c>
      <c r="N118">
        <f>ROUND(E118*Premissas!$E$29+B118*Premissas!$E$30,0)</f>
        <v/>
      </c>
      <c r="O118">
        <f>K118+L118+M118+N118</f>
        <v/>
      </c>
      <c r="P118">
        <f>K118+ROUND(AC118*Premissas!$E$24,0)+M118+N118</f>
        <v/>
      </c>
      <c r="Q118">
        <f>ROUND(IF(A118-1-Premissas!$E$21&gt;=0,OFFSET($P$4,A118-1-Premissas!$E$21,0),0)*(1-Premissas!$E$20/100),0)</f>
        <v/>
      </c>
      <c r="R118">
        <f>ROUND(F118*Premissas!$E$11+N118*Premissas!$E$31/100,0)+ROUND((E118+B118)*Premissas!$E$10,0)+ROUND(Q118*Premissas!$E$8/100,0)+ROUND(Premissas!$E$35+(B118+C118)*Premissas!$E$36,0)</f>
        <v/>
      </c>
      <c r="S118">
        <f>O118-R118</f>
        <v/>
      </c>
      <c r="T118">
        <f>ROUND(O118*Premissas!$E$9/100,0)</f>
        <v/>
      </c>
      <c r="U118">
        <f>ROUND(AB118*Premissas!$E$33,0)</f>
        <v/>
      </c>
      <c r="V118">
        <f>Premissas!$E$37+ROUND(Premissas!$E$12*Premissas!$E$38+D118*Premissas!$E$27,0)</f>
        <v/>
      </c>
      <c r="W118">
        <f>Premissas!$E$39</f>
        <v/>
      </c>
      <c r="X118">
        <f>S118-T118-ROUND(Premissas!$E$12*Premissas!$E$38+D118*Premissas!$E$27,0)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Premissas!$E$32+(B118+C118)/Premissas!$E$34</f>
        <v/>
      </c>
      <c r="AC118">
        <f>D118+AC106*(1-Premissas!$E$26/12)^12</f>
        <v/>
      </c>
    </row>
    <row r="119">
      <c r="A119" t="n">
        <v>116</v>
      </c>
      <c r="B119">
        <f>B118*(1-Premissas!$E$18/12)+Premissas!$E$12</f>
        <v/>
      </c>
      <c r="C119">
        <f>IF($B$2=1,C118*(1-Premissas!$E$26/12)+D119,0)</f>
        <v/>
      </c>
      <c r="D119">
        <f>IF(AND($B$2=1,A119&gt;=Premissas!$E$23),Premissas!$E$22,0)</f>
        <v/>
      </c>
      <c r="E119">
        <f>B119*Premissas!$E$28</f>
        <v/>
      </c>
      <c r="F119">
        <f>B119*Premissas!$E$13/12*MIN(1,A119/Premissas!$E$17)</f>
        <v/>
      </c>
      <c r="G119">
        <f>F119*Premissas!$E$14</f>
        <v/>
      </c>
      <c r="H119">
        <f>IF(IF(A119-1-Premissas!$E$16&gt;=0,OFFSET($J$4,A119-1-Premissas!$E$16,0),0)&gt;0,ROUND(IF(A119-1-Premissas!$E$16&gt;=0,OFFSET($J$4,A119-1-Premissas!$E$16,0),0)*10000/Premissas!$E$5*Premissas!$E$15,0),0)</f>
        <v/>
      </c>
      <c r="I119">
        <f>ROUND(G119*Premissas!$E$6/10000,0)</f>
        <v/>
      </c>
      <c r="J119">
        <f>ROUND(G119*Premissas!$E$5/10000,0)</f>
        <v/>
      </c>
      <c r="K119">
        <f>IF(IF(A119-1-Premissas!$E$16&gt;=0,OFFSET($A$4,A119-1-Premissas!$E$16,0)&gt;=Premissas!$E$19,FALSE),ROUND(IF(A119-1-Premissas!$E$16&gt;=0,OFFSET($J$4,A119-1-Premissas!$E$16,0),0)*Premissas!$E$15,0),0)</f>
        <v/>
      </c>
      <c r="L119">
        <f>ROUND(C119*Premissas!$E$24/12,0)</f>
        <v/>
      </c>
      <c r="M119">
        <f>ROUND(D119*Premissas!$E$25,0)</f>
        <v/>
      </c>
      <c r="N119">
        <f>ROUND(E119*Premissas!$E$29+B119*Premissas!$E$30,0)</f>
        <v/>
      </c>
      <c r="O119">
        <f>K119+L119+M119+N119</f>
        <v/>
      </c>
      <c r="P119">
        <f>K119+ROUND(AC119*Premissas!$E$24,0)+M119+N119</f>
        <v/>
      </c>
      <c r="Q119">
        <f>ROUND(IF(A119-1-Premissas!$E$21&gt;=0,OFFSET($P$4,A119-1-Premissas!$E$21,0),0)*(1-Premissas!$E$20/100),0)</f>
        <v/>
      </c>
      <c r="R119">
        <f>ROUND(F119*Premissas!$E$11+N119*Premissas!$E$31/100,0)+ROUND((E119+B119)*Premissas!$E$10,0)+ROUND(Q119*Premissas!$E$8/100,0)+ROUND(Premissas!$E$35+(B119+C119)*Premissas!$E$36,0)</f>
        <v/>
      </c>
      <c r="S119">
        <f>O119-R119</f>
        <v/>
      </c>
      <c r="T119">
        <f>ROUND(O119*Premissas!$E$9/100,0)</f>
        <v/>
      </c>
      <c r="U119">
        <f>ROUND(AB119*Premissas!$E$33,0)</f>
        <v/>
      </c>
      <c r="V119">
        <f>Premissas!$E$37+ROUND(Premissas!$E$12*Premissas!$E$38+D119*Premissas!$E$27,0)</f>
        <v/>
      </c>
      <c r="W119">
        <f>Premissas!$E$39</f>
        <v/>
      </c>
      <c r="X119">
        <f>S119-T119-ROUND(Premissas!$E$12*Premissas!$E$38+D119*Premissas!$E$27,0)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Premissas!$E$32+(B119+C119)/Premissas!$E$34</f>
        <v/>
      </c>
      <c r="AC119">
        <f>D119+AC107*(1-Premissas!$E$26/12)^12</f>
        <v/>
      </c>
    </row>
    <row r="120">
      <c r="A120" t="n">
        <v>117</v>
      </c>
      <c r="B120">
        <f>B119*(1-Premissas!$E$18/12)+Premissas!$E$12</f>
        <v/>
      </c>
      <c r="C120">
        <f>IF($B$2=1,C119*(1-Premissas!$E$26/12)+D120,0)</f>
        <v/>
      </c>
      <c r="D120">
        <f>IF(AND($B$2=1,A120&gt;=Premissas!$E$23),Premissas!$E$22,0)</f>
        <v/>
      </c>
      <c r="E120">
        <f>B120*Premissas!$E$28</f>
        <v/>
      </c>
      <c r="F120">
        <f>B120*Premissas!$E$13/12*MIN(1,A120/Premissas!$E$17)</f>
        <v/>
      </c>
      <c r="G120">
        <f>F120*Premissas!$E$14</f>
        <v/>
      </c>
      <c r="H120">
        <f>IF(IF(A120-1-Premissas!$E$16&gt;=0,OFFSET($J$4,A120-1-Premissas!$E$16,0),0)&gt;0,ROUND(IF(A120-1-Premissas!$E$16&gt;=0,OFFSET($J$4,A120-1-Premissas!$E$16,0),0)*10000/Premissas!$E$5*Premissas!$E$15,0),0)</f>
        <v/>
      </c>
      <c r="I120">
        <f>ROUND(G120*Premissas!$E$6/10000,0)</f>
        <v/>
      </c>
      <c r="J120">
        <f>ROUND(G120*Premissas!$E$5/10000,0)</f>
        <v/>
      </c>
      <c r="K120">
        <f>IF(IF(A120-1-Premissas!$E$16&gt;=0,OFFSET($A$4,A120-1-Premissas!$E$16,0)&gt;=Premissas!$E$19,FALSE),ROUND(IF(A120-1-Premissas!$E$16&gt;=0,OFFSET($J$4,A120-1-Premissas!$E$16,0),0)*Premissas!$E$15,0),0)</f>
        <v/>
      </c>
      <c r="L120">
        <f>ROUND(C120*Premissas!$E$24/12,0)</f>
        <v/>
      </c>
      <c r="M120">
        <f>ROUND(D120*Premissas!$E$25,0)</f>
        <v/>
      </c>
      <c r="N120">
        <f>ROUND(E120*Premissas!$E$29+B120*Premissas!$E$30,0)</f>
        <v/>
      </c>
      <c r="O120">
        <f>K120+L120+M120+N120</f>
        <v/>
      </c>
      <c r="P120">
        <f>K120+ROUND(AC120*Premissas!$E$24,0)+M120+N120</f>
        <v/>
      </c>
      <c r="Q120">
        <f>ROUND(IF(A120-1-Premissas!$E$21&gt;=0,OFFSET($P$4,A120-1-Premissas!$E$21,0),0)*(1-Premissas!$E$20/100),0)</f>
        <v/>
      </c>
      <c r="R120">
        <f>ROUND(F120*Premissas!$E$11+N120*Premissas!$E$31/100,0)+ROUND((E120+B120)*Premissas!$E$10,0)+ROUND(Q120*Premissas!$E$8/100,0)+ROUND(Premissas!$E$35+(B120+C120)*Premissas!$E$36,0)</f>
        <v/>
      </c>
      <c r="S120">
        <f>O120-R120</f>
        <v/>
      </c>
      <c r="T120">
        <f>ROUND(O120*Premissas!$E$9/100,0)</f>
        <v/>
      </c>
      <c r="U120">
        <f>ROUND(AB120*Premissas!$E$33,0)</f>
        <v/>
      </c>
      <c r="V120">
        <f>Premissas!$E$37+ROUND(Premissas!$E$12*Premissas!$E$38+D120*Premissas!$E$27,0)</f>
        <v/>
      </c>
      <c r="W120">
        <f>Premissas!$E$39</f>
        <v/>
      </c>
      <c r="X120">
        <f>S120-T120-ROUND(Premissas!$E$12*Premissas!$E$38+D120*Premissas!$E$27,0)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Premissas!$E$32+(B120+C120)/Premissas!$E$34</f>
        <v/>
      </c>
      <c r="AC120">
        <f>D120+AC108*(1-Premissas!$E$26/12)^12</f>
        <v/>
      </c>
    </row>
    <row r="121">
      <c r="A121" t="n">
        <v>118</v>
      </c>
      <c r="B121">
        <f>B120*(1-Premissas!$E$18/12)+Premissas!$E$12</f>
        <v/>
      </c>
      <c r="C121">
        <f>IF($B$2=1,C120*(1-Premissas!$E$26/12)+D121,0)</f>
        <v/>
      </c>
      <c r="D121">
        <f>IF(AND($B$2=1,A121&gt;=Premissas!$E$23),Premissas!$E$22,0)</f>
        <v/>
      </c>
      <c r="E121">
        <f>B121*Premissas!$E$28</f>
        <v/>
      </c>
      <c r="F121">
        <f>B121*Premissas!$E$13/12*MIN(1,A121/Premissas!$E$17)</f>
        <v/>
      </c>
      <c r="G121">
        <f>F121*Premissas!$E$14</f>
        <v/>
      </c>
      <c r="H121">
        <f>IF(IF(A121-1-Premissas!$E$16&gt;=0,OFFSET($J$4,A121-1-Premissas!$E$16,0),0)&gt;0,ROUND(IF(A121-1-Premissas!$E$16&gt;=0,OFFSET($J$4,A121-1-Premissas!$E$16,0),0)*10000/Premissas!$E$5*Premissas!$E$15,0),0)</f>
        <v/>
      </c>
      <c r="I121">
        <f>ROUND(G121*Premissas!$E$6/10000,0)</f>
        <v/>
      </c>
      <c r="J121">
        <f>ROUND(G121*Premissas!$E$5/10000,0)</f>
        <v/>
      </c>
      <c r="K121">
        <f>IF(IF(A121-1-Premissas!$E$16&gt;=0,OFFSET($A$4,A121-1-Premissas!$E$16,0)&gt;=Premissas!$E$19,FALSE),ROUND(IF(A121-1-Premissas!$E$16&gt;=0,OFFSET($J$4,A121-1-Premissas!$E$16,0),0)*Premissas!$E$15,0),0)</f>
        <v/>
      </c>
      <c r="L121">
        <f>ROUND(C121*Premissas!$E$24/12,0)</f>
        <v/>
      </c>
      <c r="M121">
        <f>ROUND(D121*Premissas!$E$25,0)</f>
        <v/>
      </c>
      <c r="N121">
        <f>ROUND(E121*Premissas!$E$29+B121*Premissas!$E$30,0)</f>
        <v/>
      </c>
      <c r="O121">
        <f>K121+L121+M121+N121</f>
        <v/>
      </c>
      <c r="P121">
        <f>K121+ROUND(AC121*Premissas!$E$24,0)+M121+N121</f>
        <v/>
      </c>
      <c r="Q121">
        <f>ROUND(IF(A121-1-Premissas!$E$21&gt;=0,OFFSET($P$4,A121-1-Premissas!$E$21,0),0)*(1-Premissas!$E$20/100),0)</f>
        <v/>
      </c>
      <c r="R121">
        <f>ROUND(F121*Premissas!$E$11+N121*Premissas!$E$31/100,0)+ROUND((E121+B121)*Premissas!$E$10,0)+ROUND(Q121*Premissas!$E$8/100,0)+ROUND(Premissas!$E$35+(B121+C121)*Premissas!$E$36,0)</f>
        <v/>
      </c>
      <c r="S121">
        <f>O121-R121</f>
        <v/>
      </c>
      <c r="T121">
        <f>ROUND(O121*Premissas!$E$9/100,0)</f>
        <v/>
      </c>
      <c r="U121">
        <f>ROUND(AB121*Premissas!$E$33,0)</f>
        <v/>
      </c>
      <c r="V121">
        <f>Premissas!$E$37+ROUND(Premissas!$E$12*Premissas!$E$38+D121*Premissas!$E$27,0)</f>
        <v/>
      </c>
      <c r="W121">
        <f>Premissas!$E$39</f>
        <v/>
      </c>
      <c r="X121">
        <f>S121-T121-ROUND(Premissas!$E$12*Premissas!$E$38+D121*Premissas!$E$27,0)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Premissas!$E$32+(B121+C121)/Premissas!$E$34</f>
        <v/>
      </c>
      <c r="AC121">
        <f>D121+AC109*(1-Premissas!$E$26/12)^12</f>
        <v/>
      </c>
    </row>
    <row r="122">
      <c r="A122" t="n">
        <v>119</v>
      </c>
      <c r="B122">
        <f>B121*(1-Premissas!$E$18/12)+Premissas!$E$12</f>
        <v/>
      </c>
      <c r="C122">
        <f>IF($B$2=1,C121*(1-Premissas!$E$26/12)+D122,0)</f>
        <v/>
      </c>
      <c r="D122">
        <f>IF(AND($B$2=1,A122&gt;=Premissas!$E$23),Premissas!$E$22,0)</f>
        <v/>
      </c>
      <c r="E122">
        <f>B122*Premissas!$E$28</f>
        <v/>
      </c>
      <c r="F122">
        <f>B122*Premissas!$E$13/12*MIN(1,A122/Premissas!$E$17)</f>
        <v/>
      </c>
      <c r="G122">
        <f>F122*Premissas!$E$14</f>
        <v/>
      </c>
      <c r="H122">
        <f>IF(IF(A122-1-Premissas!$E$16&gt;=0,OFFSET($J$4,A122-1-Premissas!$E$16,0),0)&gt;0,ROUND(IF(A122-1-Premissas!$E$16&gt;=0,OFFSET($J$4,A122-1-Premissas!$E$16,0),0)*10000/Premissas!$E$5*Premissas!$E$15,0),0)</f>
        <v/>
      </c>
      <c r="I122">
        <f>ROUND(G122*Premissas!$E$6/10000,0)</f>
        <v/>
      </c>
      <c r="J122">
        <f>ROUND(G122*Premissas!$E$5/10000,0)</f>
        <v/>
      </c>
      <c r="K122">
        <f>IF(IF(A122-1-Premissas!$E$16&gt;=0,OFFSET($A$4,A122-1-Premissas!$E$16,0)&gt;=Premissas!$E$19,FALSE),ROUND(IF(A122-1-Premissas!$E$16&gt;=0,OFFSET($J$4,A122-1-Premissas!$E$16,0),0)*Premissas!$E$15,0),0)</f>
        <v/>
      </c>
      <c r="L122">
        <f>ROUND(C122*Premissas!$E$24/12,0)</f>
        <v/>
      </c>
      <c r="M122">
        <f>ROUND(D122*Premissas!$E$25,0)</f>
        <v/>
      </c>
      <c r="N122">
        <f>ROUND(E122*Premissas!$E$29+B122*Premissas!$E$30,0)</f>
        <v/>
      </c>
      <c r="O122">
        <f>K122+L122+M122+N122</f>
        <v/>
      </c>
      <c r="P122">
        <f>K122+ROUND(AC122*Premissas!$E$24,0)+M122+N122</f>
        <v/>
      </c>
      <c r="Q122">
        <f>ROUND(IF(A122-1-Premissas!$E$21&gt;=0,OFFSET($P$4,A122-1-Premissas!$E$21,0),0)*(1-Premissas!$E$20/100),0)</f>
        <v/>
      </c>
      <c r="R122">
        <f>ROUND(F122*Premissas!$E$11+N122*Premissas!$E$31/100,0)+ROUND((E122+B122)*Premissas!$E$10,0)+ROUND(Q122*Premissas!$E$8/100,0)+ROUND(Premissas!$E$35+(B122+C122)*Premissas!$E$36,0)</f>
        <v/>
      </c>
      <c r="S122">
        <f>O122-R122</f>
        <v/>
      </c>
      <c r="T122">
        <f>ROUND(O122*Premissas!$E$9/100,0)</f>
        <v/>
      </c>
      <c r="U122">
        <f>ROUND(AB122*Premissas!$E$33,0)</f>
        <v/>
      </c>
      <c r="V122">
        <f>Premissas!$E$37+ROUND(Premissas!$E$12*Premissas!$E$38+D122*Premissas!$E$27,0)</f>
        <v/>
      </c>
      <c r="W122">
        <f>Premissas!$E$39</f>
        <v/>
      </c>
      <c r="X122">
        <f>S122-T122-ROUND(Premissas!$E$12*Premissas!$E$38+D122*Premissas!$E$27,0)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Premissas!$E$32+(B122+C122)/Premissas!$E$34</f>
        <v/>
      </c>
      <c r="AC122">
        <f>D122+AC110*(1-Premissas!$E$26/12)^12</f>
        <v/>
      </c>
    </row>
    <row r="123">
      <c r="A123" t="n">
        <v>120</v>
      </c>
      <c r="B123">
        <f>B122*(1-Premissas!$E$18/12)+Premissas!$E$12</f>
        <v/>
      </c>
      <c r="C123">
        <f>IF($B$2=1,C122*(1-Premissas!$E$26/12)+D123,0)</f>
        <v/>
      </c>
      <c r="D123">
        <f>IF(AND($B$2=1,A123&gt;=Premissas!$E$23),Premissas!$E$22,0)</f>
        <v/>
      </c>
      <c r="E123">
        <f>B123*Premissas!$E$28</f>
        <v/>
      </c>
      <c r="F123">
        <f>B123*Premissas!$E$13/12*MIN(1,A123/Premissas!$E$17)</f>
        <v/>
      </c>
      <c r="G123">
        <f>F123*Premissas!$E$14</f>
        <v/>
      </c>
      <c r="H123">
        <f>IF(IF(A123-1-Premissas!$E$16&gt;=0,OFFSET($J$4,A123-1-Premissas!$E$16,0),0)&gt;0,ROUND(IF(A123-1-Premissas!$E$16&gt;=0,OFFSET($J$4,A123-1-Premissas!$E$16,0),0)*10000/Premissas!$E$5*Premissas!$E$15,0),0)</f>
        <v/>
      </c>
      <c r="I123">
        <f>ROUND(G123*Premissas!$E$6/10000,0)</f>
        <v/>
      </c>
      <c r="J123">
        <f>ROUND(G123*Premissas!$E$5/10000,0)</f>
        <v/>
      </c>
      <c r="K123">
        <f>IF(IF(A123-1-Premissas!$E$16&gt;=0,OFFSET($A$4,A123-1-Premissas!$E$16,0)&gt;=Premissas!$E$19,FALSE),ROUND(IF(A123-1-Premissas!$E$16&gt;=0,OFFSET($J$4,A123-1-Premissas!$E$16,0),0)*Premissas!$E$15,0),0)</f>
        <v/>
      </c>
      <c r="L123">
        <f>ROUND(C123*Premissas!$E$24/12,0)</f>
        <v/>
      </c>
      <c r="M123">
        <f>ROUND(D123*Premissas!$E$25,0)</f>
        <v/>
      </c>
      <c r="N123">
        <f>ROUND(E123*Premissas!$E$29+B123*Premissas!$E$30,0)</f>
        <v/>
      </c>
      <c r="O123">
        <f>K123+L123+M123+N123</f>
        <v/>
      </c>
      <c r="P123">
        <f>K123+ROUND(AC123*Premissas!$E$24,0)+M123+N123</f>
        <v/>
      </c>
      <c r="Q123">
        <f>ROUND(IF(A123-1-Premissas!$E$21&gt;=0,OFFSET($P$4,A123-1-Premissas!$E$21,0),0)*(1-Premissas!$E$20/100),0)</f>
        <v/>
      </c>
      <c r="R123">
        <f>ROUND(F123*Premissas!$E$11+N123*Premissas!$E$31/100,0)+ROUND((E123+B123)*Premissas!$E$10,0)+ROUND(Q123*Premissas!$E$8/100,0)+ROUND(Premissas!$E$35+(B123+C123)*Premissas!$E$36,0)</f>
        <v/>
      </c>
      <c r="S123">
        <f>O123-R123</f>
        <v/>
      </c>
      <c r="T123">
        <f>ROUND(O123*Premissas!$E$9/100,0)</f>
        <v/>
      </c>
      <c r="U123">
        <f>ROUND(AB123*Premissas!$E$33,0)</f>
        <v/>
      </c>
      <c r="V123">
        <f>Premissas!$E$37+ROUND(Premissas!$E$12*Premissas!$E$38+D123*Premissas!$E$27,0)</f>
        <v/>
      </c>
      <c r="W123">
        <f>Premissas!$E$39</f>
        <v/>
      </c>
      <c r="X123">
        <f>S123-T123-ROUND(Premissas!$E$12*Premissas!$E$38+D123*Premissas!$E$27,0)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Premissas!$E$32+(B123+C123)/Premissas!$E$34</f>
        <v/>
      </c>
      <c r="AC123">
        <f>D123+AC111*(1-Premissas!$E$26/12)^12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Cenário agressivo · desenho Híbrido (0 = sem contratos institucionais; 1 = com) · valores em CENTAVOS · fórmulas abertas</t>
        </is>
      </c>
    </row>
    <row r="2">
      <c r="A2" t="inlineStr">
        <is>
          <t>hybrid</t>
        </is>
      </c>
      <c r="B2" t="n">
        <v>1</v>
      </c>
    </row>
    <row r="3">
      <c r="A3" s="1" t="inlineStr">
        <is>
          <t>Mês</t>
        </is>
      </c>
      <c r="B3" s="1" t="inlineStr">
        <is>
          <t>Financiadores ativos</t>
        </is>
      </c>
      <c r="C3" s="1" t="inlineStr">
        <is>
          <t>Contratos inst. ativos</t>
        </is>
      </c>
      <c r="D3" s="1" t="inlineStr">
        <is>
          <t>Novos contratos inst.</t>
        </is>
      </c>
      <c r="E3" s="1" t="inlineStr">
        <is>
          <t>OSCs ativas</t>
        </is>
      </c>
      <c r="F3" s="1" t="inlineStr">
        <is>
          <t>Operações</t>
        </is>
      </c>
      <c r="G3" s="1" t="inlineStr">
        <is>
          <t>GMV originado</t>
        </is>
      </c>
      <c r="H3" s="1" t="inlineStr">
        <is>
          <t>GMV quitado</t>
        </is>
      </c>
      <c r="I3" s="1" t="inlineStr">
        <is>
          <t>Participação de autoria (não é receita)</t>
        </is>
      </c>
      <c r="J3" s="1" t="inlineStr">
        <is>
          <t>Taxa registrada</t>
        </is>
      </c>
      <c r="K3" s="1" t="inlineStr">
        <is>
          <t>Taxa reconhecida (quitação, regra ativa)</t>
        </is>
      </c>
      <c r="L3" s="1" t="inlineStr">
        <is>
          <t>MRR software</t>
        </is>
      </c>
      <c r="M3" s="1" t="inlineStr">
        <is>
          <t>Implantação reconhecida</t>
        </is>
      </c>
      <c r="N3" s="1" t="inlineStr">
        <is>
          <t>Serviços</t>
        </is>
      </c>
      <c r="O3" s="1" t="inlineStr">
        <is>
          <t>RECEITA RECONHECIDA</t>
        </is>
      </c>
      <c r="P3" s="1" t="inlineStr">
        <is>
          <t>Faturado</t>
        </is>
      </c>
      <c r="Q3" s="1" t="inlineStr">
        <is>
          <t>Recebido (após inadimplência)</t>
        </is>
      </c>
      <c r="R3" s="1" t="inlineStr">
        <is>
          <t>COGS</t>
        </is>
      </c>
      <c r="S3" s="1" t="inlineStr">
        <is>
          <t>Margem bruta</t>
        </is>
      </c>
      <c r="T3" s="1" t="inlineStr">
        <is>
          <t>Tributos</t>
        </is>
      </c>
      <c r="U3" s="1" t="inlineStr">
        <is>
          <t>Pessoal</t>
        </is>
      </c>
      <c r="V3" s="1" t="inlineStr">
        <is>
          <t>Marketing+CAC</t>
        </is>
      </c>
      <c r="W3" s="1" t="inlineStr">
        <is>
          <t>Admin</t>
        </is>
      </c>
      <c r="X3" s="1" t="inlineStr">
        <is>
          <t>Margem de contribuição</t>
        </is>
      </c>
      <c r="Y3" s="1" t="inlineStr">
        <is>
          <t>EBITDA</t>
        </is>
      </c>
      <c r="Z3" s="1" t="inlineStr">
        <is>
          <t>Fluxo de caixa</t>
        </is>
      </c>
      <c r="AA3" s="1" t="inlineStr">
        <is>
          <t>Caixa acumulado</t>
        </is>
      </c>
      <c r="AB3" s="1" t="inlineStr">
        <is>
          <t>FTE</t>
        </is>
      </c>
      <c r="AC3" s="1" t="inlineStr">
        <is>
          <t>Contratos faturados no mês (novos + renovações anuais)</t>
        </is>
      </c>
    </row>
    <row r="4">
      <c r="A4" t="n">
        <v>1</v>
      </c>
      <c r="B4">
        <f>0*(1-Premissas!$E$18/12)+Premissas!$E$12</f>
        <v/>
      </c>
      <c r="C4">
        <f>IF($B$2=1,0*(1-Premissas!$E$26/12)+D4,0)</f>
        <v/>
      </c>
      <c r="D4">
        <f>IF(AND($B$2=1,A4&gt;=Premissas!$E$23),Premissas!$E$22,0)</f>
        <v/>
      </c>
      <c r="E4">
        <f>B4*Premissas!$E$28</f>
        <v/>
      </c>
      <c r="F4">
        <f>B4*Premissas!$E$13/12*MIN(1,A4/Premissas!$E$17)</f>
        <v/>
      </c>
      <c r="G4">
        <f>F4*Premissas!$E$14</f>
        <v/>
      </c>
      <c r="H4">
        <f>IF(IF(A4-1-Premissas!$E$16&gt;=0,OFFSET($J$4,A4-1-Premissas!$E$16,0),0)&gt;0,ROUND(IF(A4-1-Premissas!$E$16&gt;=0,OFFSET($J$4,A4-1-Premissas!$E$16,0),0)*10000/Premissas!$E$5*Premissas!$E$15,0),0)</f>
        <v/>
      </c>
      <c r="I4">
        <f>ROUND(G4*Premissas!$E$6/10000,0)</f>
        <v/>
      </c>
      <c r="J4">
        <f>ROUND(G4*Premissas!$E$5/10000,0)</f>
        <v/>
      </c>
      <c r="K4">
        <f>IF(IF(A4-1-Premissas!$E$16&gt;=0,OFFSET($A$4,A4-1-Premissas!$E$16,0)&gt;=Premissas!$E$19,FALSE),ROUND(IF(A4-1-Premissas!$E$16&gt;=0,OFFSET($J$4,A4-1-Premissas!$E$16,0),0)*Premissas!$E$15,0),0)</f>
        <v/>
      </c>
      <c r="L4">
        <f>ROUND(C4*Premissas!$E$24/12,0)</f>
        <v/>
      </c>
      <c r="M4">
        <f>ROUND(D4*Premissas!$E$25,0)</f>
        <v/>
      </c>
      <c r="N4">
        <f>ROUND(E4*Premissas!$E$29+B4*Premissas!$E$30,0)</f>
        <v/>
      </c>
      <c r="O4">
        <f>K4+L4+M4+N4</f>
        <v/>
      </c>
      <c r="P4">
        <f>K4+ROUND(AC4*Premissas!$E$24,0)+M4+N4</f>
        <v/>
      </c>
      <c r="Q4">
        <f>ROUND(IF(A4-1-Premissas!$E$21&gt;=0,OFFSET($P$4,A4-1-Premissas!$E$21,0),0)*(1-Premissas!$E$20/100),0)</f>
        <v/>
      </c>
      <c r="R4">
        <f>ROUND(F4*Premissas!$E$11+N4*Premissas!$E$31/100,0)+ROUND((E4+B4)*Premissas!$E$10,0)+ROUND(Q4*Premissas!$E$8/100,0)+ROUND(Premissas!$E$35+(B4+C4)*Premissas!$E$36,0)</f>
        <v/>
      </c>
      <c r="S4">
        <f>O4-R4</f>
        <v/>
      </c>
      <c r="T4">
        <f>ROUND(O4*Premissas!$E$9/100,0)</f>
        <v/>
      </c>
      <c r="U4">
        <f>ROUND(AB4*Premissas!$E$33,0)</f>
        <v/>
      </c>
      <c r="V4">
        <f>Premissas!$E$37+ROUND(Premissas!$E$12*Premissas!$E$38+D4*Premissas!$E$27,0)</f>
        <v/>
      </c>
      <c r="W4">
        <f>Premissas!$E$39</f>
        <v/>
      </c>
      <c r="X4">
        <f>S4-T4-ROUND(Premissas!$E$12*Premissas!$E$38+D4*Premissas!$E$27,0)</f>
        <v/>
      </c>
      <c r="Y4">
        <f>O4-R4-T4-U4-V4-W4</f>
        <v/>
      </c>
      <c r="Z4">
        <f>Q4-R4-T4-U4-V4-W4</f>
        <v/>
      </c>
      <c r="AA4">
        <f>Premissas!$E$40+Z4</f>
        <v/>
      </c>
      <c r="AB4">
        <f>Premissas!$E$32+(B4+C4)/Premissas!$E$34</f>
        <v/>
      </c>
      <c r="AC4">
        <f>D4</f>
        <v/>
      </c>
    </row>
    <row r="5">
      <c r="A5" t="n">
        <v>2</v>
      </c>
      <c r="B5">
        <f>B4*(1-Premissas!$E$18/12)+Premissas!$E$12</f>
        <v/>
      </c>
      <c r="C5">
        <f>IF($B$2=1,C4*(1-Premissas!$E$26/12)+D5,0)</f>
        <v/>
      </c>
      <c r="D5">
        <f>IF(AND($B$2=1,A5&gt;=Premissas!$E$23),Premissas!$E$22,0)</f>
        <v/>
      </c>
      <c r="E5">
        <f>B5*Premissas!$E$28</f>
        <v/>
      </c>
      <c r="F5">
        <f>B5*Premissas!$E$13/12*MIN(1,A5/Premissas!$E$17)</f>
        <v/>
      </c>
      <c r="G5">
        <f>F5*Premissas!$E$14</f>
        <v/>
      </c>
      <c r="H5">
        <f>IF(IF(A5-1-Premissas!$E$16&gt;=0,OFFSET($J$4,A5-1-Premissas!$E$16,0),0)&gt;0,ROUND(IF(A5-1-Premissas!$E$16&gt;=0,OFFSET($J$4,A5-1-Premissas!$E$16,0),0)*10000/Premissas!$E$5*Premissas!$E$15,0),0)</f>
        <v/>
      </c>
      <c r="I5">
        <f>ROUND(G5*Premissas!$E$6/10000,0)</f>
        <v/>
      </c>
      <c r="J5">
        <f>ROUND(G5*Premissas!$E$5/10000,0)</f>
        <v/>
      </c>
      <c r="K5">
        <f>IF(IF(A5-1-Premissas!$E$16&gt;=0,OFFSET($A$4,A5-1-Premissas!$E$16,0)&gt;=Premissas!$E$19,FALSE),ROUND(IF(A5-1-Premissas!$E$16&gt;=0,OFFSET($J$4,A5-1-Premissas!$E$16,0),0)*Premissas!$E$15,0),0)</f>
        <v/>
      </c>
      <c r="L5">
        <f>ROUND(C5*Premissas!$E$24/12,0)</f>
        <v/>
      </c>
      <c r="M5">
        <f>ROUND(D5*Premissas!$E$25,0)</f>
        <v/>
      </c>
      <c r="N5">
        <f>ROUND(E5*Premissas!$E$29+B5*Premissas!$E$30,0)</f>
        <v/>
      </c>
      <c r="O5">
        <f>K5+L5+M5+N5</f>
        <v/>
      </c>
      <c r="P5">
        <f>K5+ROUND(AC5*Premissas!$E$24,0)+M5+N5</f>
        <v/>
      </c>
      <c r="Q5">
        <f>ROUND(IF(A5-1-Premissas!$E$21&gt;=0,OFFSET($P$4,A5-1-Premissas!$E$21,0),0)*(1-Premissas!$E$20/100),0)</f>
        <v/>
      </c>
      <c r="R5">
        <f>ROUND(F5*Premissas!$E$11+N5*Premissas!$E$31/100,0)+ROUND((E5+B5)*Premissas!$E$10,0)+ROUND(Q5*Premissas!$E$8/100,0)+ROUND(Premissas!$E$35+(B5+C5)*Premissas!$E$36,0)</f>
        <v/>
      </c>
      <c r="S5">
        <f>O5-R5</f>
        <v/>
      </c>
      <c r="T5">
        <f>ROUND(O5*Premissas!$E$9/100,0)</f>
        <v/>
      </c>
      <c r="U5">
        <f>ROUND(AB5*Premissas!$E$33,0)</f>
        <v/>
      </c>
      <c r="V5">
        <f>Premissas!$E$37+ROUND(Premissas!$E$12*Premissas!$E$38+D5*Premissas!$E$27,0)</f>
        <v/>
      </c>
      <c r="W5">
        <f>Premissas!$E$39</f>
        <v/>
      </c>
      <c r="X5">
        <f>S5-T5-ROUND(Premissas!$E$12*Premissas!$E$38+D5*Premissas!$E$27,0)</f>
        <v/>
      </c>
      <c r="Y5">
        <f>O5-R5-T5-U5-V5-W5</f>
        <v/>
      </c>
      <c r="Z5">
        <f>Q5-R5-T5-U5-V5-W5</f>
        <v/>
      </c>
      <c r="AA5">
        <f>AA4+Z5</f>
        <v/>
      </c>
      <c r="AB5">
        <f>Premissas!$E$32+(B5+C5)/Premissas!$E$34</f>
        <v/>
      </c>
      <c r="AC5">
        <f>D5</f>
        <v/>
      </c>
    </row>
    <row r="6">
      <c r="A6" t="n">
        <v>3</v>
      </c>
      <c r="B6">
        <f>B5*(1-Premissas!$E$18/12)+Premissas!$E$12</f>
        <v/>
      </c>
      <c r="C6">
        <f>IF($B$2=1,C5*(1-Premissas!$E$26/12)+D6,0)</f>
        <v/>
      </c>
      <c r="D6">
        <f>IF(AND($B$2=1,A6&gt;=Premissas!$E$23),Premissas!$E$22,0)</f>
        <v/>
      </c>
      <c r="E6">
        <f>B6*Premissas!$E$28</f>
        <v/>
      </c>
      <c r="F6">
        <f>B6*Premissas!$E$13/12*MIN(1,A6/Premissas!$E$17)</f>
        <v/>
      </c>
      <c r="G6">
        <f>F6*Premissas!$E$14</f>
        <v/>
      </c>
      <c r="H6">
        <f>IF(IF(A6-1-Premissas!$E$16&gt;=0,OFFSET($J$4,A6-1-Premissas!$E$16,0),0)&gt;0,ROUND(IF(A6-1-Premissas!$E$16&gt;=0,OFFSET($J$4,A6-1-Premissas!$E$16,0),0)*10000/Premissas!$E$5*Premissas!$E$15,0),0)</f>
        <v/>
      </c>
      <c r="I6">
        <f>ROUND(G6*Premissas!$E$6/10000,0)</f>
        <v/>
      </c>
      <c r="J6">
        <f>ROUND(G6*Premissas!$E$5/10000,0)</f>
        <v/>
      </c>
      <c r="K6">
        <f>IF(IF(A6-1-Premissas!$E$16&gt;=0,OFFSET($A$4,A6-1-Premissas!$E$16,0)&gt;=Premissas!$E$19,FALSE),ROUND(IF(A6-1-Premissas!$E$16&gt;=0,OFFSET($J$4,A6-1-Premissas!$E$16,0),0)*Premissas!$E$15,0),0)</f>
        <v/>
      </c>
      <c r="L6">
        <f>ROUND(C6*Premissas!$E$24/12,0)</f>
        <v/>
      </c>
      <c r="M6">
        <f>ROUND(D6*Premissas!$E$25,0)</f>
        <v/>
      </c>
      <c r="N6">
        <f>ROUND(E6*Premissas!$E$29+B6*Premissas!$E$30,0)</f>
        <v/>
      </c>
      <c r="O6">
        <f>K6+L6+M6+N6</f>
        <v/>
      </c>
      <c r="P6">
        <f>K6+ROUND(AC6*Premissas!$E$24,0)+M6+N6</f>
        <v/>
      </c>
      <c r="Q6">
        <f>ROUND(IF(A6-1-Premissas!$E$21&gt;=0,OFFSET($P$4,A6-1-Premissas!$E$21,0),0)*(1-Premissas!$E$20/100),0)</f>
        <v/>
      </c>
      <c r="R6">
        <f>ROUND(F6*Premissas!$E$11+N6*Premissas!$E$31/100,0)+ROUND((E6+B6)*Premissas!$E$10,0)+ROUND(Q6*Premissas!$E$8/100,0)+ROUND(Premissas!$E$35+(B6+C6)*Premissas!$E$36,0)</f>
        <v/>
      </c>
      <c r="S6">
        <f>O6-R6</f>
        <v/>
      </c>
      <c r="T6">
        <f>ROUND(O6*Premissas!$E$9/100,0)</f>
        <v/>
      </c>
      <c r="U6">
        <f>ROUND(AB6*Premissas!$E$33,0)</f>
        <v/>
      </c>
      <c r="V6">
        <f>Premissas!$E$37+ROUND(Premissas!$E$12*Premissas!$E$38+D6*Premissas!$E$27,0)</f>
        <v/>
      </c>
      <c r="W6">
        <f>Premissas!$E$39</f>
        <v/>
      </c>
      <c r="X6">
        <f>S6-T6-ROUND(Premissas!$E$12*Premissas!$E$38+D6*Premissas!$E$27,0)</f>
        <v/>
      </c>
      <c r="Y6">
        <f>O6-R6-T6-U6-V6-W6</f>
        <v/>
      </c>
      <c r="Z6">
        <f>Q6-R6-T6-U6-V6-W6</f>
        <v/>
      </c>
      <c r="AA6">
        <f>AA5+Z6</f>
        <v/>
      </c>
      <c r="AB6">
        <f>Premissas!$E$32+(B6+C6)/Premissas!$E$34</f>
        <v/>
      </c>
      <c r="AC6">
        <f>D6</f>
        <v/>
      </c>
    </row>
    <row r="7">
      <c r="A7" t="n">
        <v>4</v>
      </c>
      <c r="B7">
        <f>B6*(1-Premissas!$E$18/12)+Premissas!$E$12</f>
        <v/>
      </c>
      <c r="C7">
        <f>IF($B$2=1,C6*(1-Premissas!$E$26/12)+D7,0)</f>
        <v/>
      </c>
      <c r="D7">
        <f>IF(AND($B$2=1,A7&gt;=Premissas!$E$23),Premissas!$E$22,0)</f>
        <v/>
      </c>
      <c r="E7">
        <f>B7*Premissas!$E$28</f>
        <v/>
      </c>
      <c r="F7">
        <f>B7*Premissas!$E$13/12*MIN(1,A7/Premissas!$E$17)</f>
        <v/>
      </c>
      <c r="G7">
        <f>F7*Premissas!$E$14</f>
        <v/>
      </c>
      <c r="H7">
        <f>IF(IF(A7-1-Premissas!$E$16&gt;=0,OFFSET($J$4,A7-1-Premissas!$E$16,0),0)&gt;0,ROUND(IF(A7-1-Premissas!$E$16&gt;=0,OFFSET($J$4,A7-1-Premissas!$E$16,0),0)*10000/Premissas!$E$5*Premissas!$E$15,0),0)</f>
        <v/>
      </c>
      <c r="I7">
        <f>ROUND(G7*Premissas!$E$6/10000,0)</f>
        <v/>
      </c>
      <c r="J7">
        <f>ROUND(G7*Premissas!$E$5/10000,0)</f>
        <v/>
      </c>
      <c r="K7">
        <f>IF(IF(A7-1-Premissas!$E$16&gt;=0,OFFSET($A$4,A7-1-Premissas!$E$16,0)&gt;=Premissas!$E$19,FALSE),ROUND(IF(A7-1-Premissas!$E$16&gt;=0,OFFSET($J$4,A7-1-Premissas!$E$16,0),0)*Premissas!$E$15,0),0)</f>
        <v/>
      </c>
      <c r="L7">
        <f>ROUND(C7*Premissas!$E$24/12,0)</f>
        <v/>
      </c>
      <c r="M7">
        <f>ROUND(D7*Premissas!$E$25,0)</f>
        <v/>
      </c>
      <c r="N7">
        <f>ROUND(E7*Premissas!$E$29+B7*Premissas!$E$30,0)</f>
        <v/>
      </c>
      <c r="O7">
        <f>K7+L7+M7+N7</f>
        <v/>
      </c>
      <c r="P7">
        <f>K7+ROUND(AC7*Premissas!$E$24,0)+M7+N7</f>
        <v/>
      </c>
      <c r="Q7">
        <f>ROUND(IF(A7-1-Premissas!$E$21&gt;=0,OFFSET($P$4,A7-1-Premissas!$E$21,0),0)*(1-Premissas!$E$20/100),0)</f>
        <v/>
      </c>
      <c r="R7">
        <f>ROUND(F7*Premissas!$E$11+N7*Premissas!$E$31/100,0)+ROUND((E7+B7)*Premissas!$E$10,0)+ROUND(Q7*Premissas!$E$8/100,0)+ROUND(Premissas!$E$35+(B7+C7)*Premissas!$E$36,0)</f>
        <v/>
      </c>
      <c r="S7">
        <f>O7-R7</f>
        <v/>
      </c>
      <c r="T7">
        <f>ROUND(O7*Premissas!$E$9/100,0)</f>
        <v/>
      </c>
      <c r="U7">
        <f>ROUND(AB7*Premissas!$E$33,0)</f>
        <v/>
      </c>
      <c r="V7">
        <f>Premissas!$E$37+ROUND(Premissas!$E$12*Premissas!$E$38+D7*Premissas!$E$27,0)</f>
        <v/>
      </c>
      <c r="W7">
        <f>Premissas!$E$39</f>
        <v/>
      </c>
      <c r="X7">
        <f>S7-T7-ROUND(Premissas!$E$12*Premissas!$E$38+D7*Premissas!$E$27,0)</f>
        <v/>
      </c>
      <c r="Y7">
        <f>O7-R7-T7-U7-V7-W7</f>
        <v/>
      </c>
      <c r="Z7">
        <f>Q7-R7-T7-U7-V7-W7</f>
        <v/>
      </c>
      <c r="AA7">
        <f>AA6+Z7</f>
        <v/>
      </c>
      <c r="AB7">
        <f>Premissas!$E$32+(B7+C7)/Premissas!$E$34</f>
        <v/>
      </c>
      <c r="AC7">
        <f>D7</f>
        <v/>
      </c>
    </row>
    <row r="8">
      <c r="A8" t="n">
        <v>5</v>
      </c>
      <c r="B8">
        <f>B7*(1-Premissas!$E$18/12)+Premissas!$E$12</f>
        <v/>
      </c>
      <c r="C8">
        <f>IF($B$2=1,C7*(1-Premissas!$E$26/12)+D8,0)</f>
        <v/>
      </c>
      <c r="D8">
        <f>IF(AND($B$2=1,A8&gt;=Premissas!$E$23),Premissas!$E$22,0)</f>
        <v/>
      </c>
      <c r="E8">
        <f>B8*Premissas!$E$28</f>
        <v/>
      </c>
      <c r="F8">
        <f>B8*Premissas!$E$13/12*MIN(1,A8/Premissas!$E$17)</f>
        <v/>
      </c>
      <c r="G8">
        <f>F8*Premissas!$E$14</f>
        <v/>
      </c>
      <c r="H8">
        <f>IF(IF(A8-1-Premissas!$E$16&gt;=0,OFFSET($J$4,A8-1-Premissas!$E$16,0),0)&gt;0,ROUND(IF(A8-1-Premissas!$E$16&gt;=0,OFFSET($J$4,A8-1-Premissas!$E$16,0),0)*10000/Premissas!$E$5*Premissas!$E$15,0),0)</f>
        <v/>
      </c>
      <c r="I8">
        <f>ROUND(G8*Premissas!$E$6/10000,0)</f>
        <v/>
      </c>
      <c r="J8">
        <f>ROUND(G8*Premissas!$E$5/10000,0)</f>
        <v/>
      </c>
      <c r="K8">
        <f>IF(IF(A8-1-Premissas!$E$16&gt;=0,OFFSET($A$4,A8-1-Premissas!$E$16,0)&gt;=Premissas!$E$19,FALSE),ROUND(IF(A8-1-Premissas!$E$16&gt;=0,OFFSET($J$4,A8-1-Premissas!$E$16,0),0)*Premissas!$E$15,0),0)</f>
        <v/>
      </c>
      <c r="L8">
        <f>ROUND(C8*Premissas!$E$24/12,0)</f>
        <v/>
      </c>
      <c r="M8">
        <f>ROUND(D8*Premissas!$E$25,0)</f>
        <v/>
      </c>
      <c r="N8">
        <f>ROUND(E8*Premissas!$E$29+B8*Premissas!$E$30,0)</f>
        <v/>
      </c>
      <c r="O8">
        <f>K8+L8+M8+N8</f>
        <v/>
      </c>
      <c r="P8">
        <f>K8+ROUND(AC8*Premissas!$E$24,0)+M8+N8</f>
        <v/>
      </c>
      <c r="Q8">
        <f>ROUND(IF(A8-1-Premissas!$E$21&gt;=0,OFFSET($P$4,A8-1-Premissas!$E$21,0),0)*(1-Premissas!$E$20/100),0)</f>
        <v/>
      </c>
      <c r="R8">
        <f>ROUND(F8*Premissas!$E$11+N8*Premissas!$E$31/100,0)+ROUND((E8+B8)*Premissas!$E$10,0)+ROUND(Q8*Premissas!$E$8/100,0)+ROUND(Premissas!$E$35+(B8+C8)*Premissas!$E$36,0)</f>
        <v/>
      </c>
      <c r="S8">
        <f>O8-R8</f>
        <v/>
      </c>
      <c r="T8">
        <f>ROUND(O8*Premissas!$E$9/100,0)</f>
        <v/>
      </c>
      <c r="U8">
        <f>ROUND(AB8*Premissas!$E$33,0)</f>
        <v/>
      </c>
      <c r="V8">
        <f>Premissas!$E$37+ROUND(Premissas!$E$12*Premissas!$E$38+D8*Premissas!$E$27,0)</f>
        <v/>
      </c>
      <c r="W8">
        <f>Premissas!$E$39</f>
        <v/>
      </c>
      <c r="X8">
        <f>S8-T8-ROUND(Premissas!$E$12*Premissas!$E$38+D8*Premissas!$E$27,0)</f>
        <v/>
      </c>
      <c r="Y8">
        <f>O8-R8-T8-U8-V8-W8</f>
        <v/>
      </c>
      <c r="Z8">
        <f>Q8-R8-T8-U8-V8-W8</f>
        <v/>
      </c>
      <c r="AA8">
        <f>AA7+Z8</f>
        <v/>
      </c>
      <c r="AB8">
        <f>Premissas!$E$32+(B8+C8)/Premissas!$E$34</f>
        <v/>
      </c>
      <c r="AC8">
        <f>D8</f>
        <v/>
      </c>
    </row>
    <row r="9">
      <c r="A9" t="n">
        <v>6</v>
      </c>
      <c r="B9">
        <f>B8*(1-Premissas!$E$18/12)+Premissas!$E$12</f>
        <v/>
      </c>
      <c r="C9">
        <f>IF($B$2=1,C8*(1-Premissas!$E$26/12)+D9,0)</f>
        <v/>
      </c>
      <c r="D9">
        <f>IF(AND($B$2=1,A9&gt;=Premissas!$E$23),Premissas!$E$22,0)</f>
        <v/>
      </c>
      <c r="E9">
        <f>B9*Premissas!$E$28</f>
        <v/>
      </c>
      <c r="F9">
        <f>B9*Premissas!$E$13/12*MIN(1,A9/Premissas!$E$17)</f>
        <v/>
      </c>
      <c r="G9">
        <f>F9*Premissas!$E$14</f>
        <v/>
      </c>
      <c r="H9">
        <f>IF(IF(A9-1-Premissas!$E$16&gt;=0,OFFSET($J$4,A9-1-Premissas!$E$16,0),0)&gt;0,ROUND(IF(A9-1-Premissas!$E$16&gt;=0,OFFSET($J$4,A9-1-Premissas!$E$16,0),0)*10000/Premissas!$E$5*Premissas!$E$15,0),0)</f>
        <v/>
      </c>
      <c r="I9">
        <f>ROUND(G9*Premissas!$E$6/10000,0)</f>
        <v/>
      </c>
      <c r="J9">
        <f>ROUND(G9*Premissas!$E$5/10000,0)</f>
        <v/>
      </c>
      <c r="K9">
        <f>IF(IF(A9-1-Premissas!$E$16&gt;=0,OFFSET($A$4,A9-1-Premissas!$E$16,0)&gt;=Premissas!$E$19,FALSE),ROUND(IF(A9-1-Premissas!$E$16&gt;=0,OFFSET($J$4,A9-1-Premissas!$E$16,0),0)*Premissas!$E$15,0),0)</f>
        <v/>
      </c>
      <c r="L9">
        <f>ROUND(C9*Premissas!$E$24/12,0)</f>
        <v/>
      </c>
      <c r="M9">
        <f>ROUND(D9*Premissas!$E$25,0)</f>
        <v/>
      </c>
      <c r="N9">
        <f>ROUND(E9*Premissas!$E$29+B9*Premissas!$E$30,0)</f>
        <v/>
      </c>
      <c r="O9">
        <f>K9+L9+M9+N9</f>
        <v/>
      </c>
      <c r="P9">
        <f>K9+ROUND(AC9*Premissas!$E$24,0)+M9+N9</f>
        <v/>
      </c>
      <c r="Q9">
        <f>ROUND(IF(A9-1-Premissas!$E$21&gt;=0,OFFSET($P$4,A9-1-Premissas!$E$21,0),0)*(1-Premissas!$E$20/100),0)</f>
        <v/>
      </c>
      <c r="R9">
        <f>ROUND(F9*Premissas!$E$11+N9*Premissas!$E$31/100,0)+ROUND((E9+B9)*Premissas!$E$10,0)+ROUND(Q9*Premissas!$E$8/100,0)+ROUND(Premissas!$E$35+(B9+C9)*Premissas!$E$36,0)</f>
        <v/>
      </c>
      <c r="S9">
        <f>O9-R9</f>
        <v/>
      </c>
      <c r="T9">
        <f>ROUND(O9*Premissas!$E$9/100,0)</f>
        <v/>
      </c>
      <c r="U9">
        <f>ROUND(AB9*Premissas!$E$33,0)</f>
        <v/>
      </c>
      <c r="V9">
        <f>Premissas!$E$37+ROUND(Premissas!$E$12*Premissas!$E$38+D9*Premissas!$E$27,0)</f>
        <v/>
      </c>
      <c r="W9">
        <f>Premissas!$E$39</f>
        <v/>
      </c>
      <c r="X9">
        <f>S9-T9-ROUND(Premissas!$E$12*Premissas!$E$38+D9*Premissas!$E$27,0)</f>
        <v/>
      </c>
      <c r="Y9">
        <f>O9-R9-T9-U9-V9-W9</f>
        <v/>
      </c>
      <c r="Z9">
        <f>Q9-R9-T9-U9-V9-W9</f>
        <v/>
      </c>
      <c r="AA9">
        <f>AA8+Z9</f>
        <v/>
      </c>
      <c r="AB9">
        <f>Premissas!$E$32+(B9+C9)/Premissas!$E$34</f>
        <v/>
      </c>
      <c r="AC9">
        <f>D9</f>
        <v/>
      </c>
    </row>
    <row r="10">
      <c r="A10" t="n">
        <v>7</v>
      </c>
      <c r="B10">
        <f>B9*(1-Premissas!$E$18/12)+Premissas!$E$12</f>
        <v/>
      </c>
      <c r="C10">
        <f>IF($B$2=1,C9*(1-Premissas!$E$26/12)+D10,0)</f>
        <v/>
      </c>
      <c r="D10">
        <f>IF(AND($B$2=1,A10&gt;=Premissas!$E$23),Premissas!$E$22,0)</f>
        <v/>
      </c>
      <c r="E10">
        <f>B10*Premissas!$E$28</f>
        <v/>
      </c>
      <c r="F10">
        <f>B10*Premissas!$E$13/12*MIN(1,A10/Premissas!$E$17)</f>
        <v/>
      </c>
      <c r="G10">
        <f>F10*Premissas!$E$14</f>
        <v/>
      </c>
      <c r="H10">
        <f>IF(IF(A10-1-Premissas!$E$16&gt;=0,OFFSET($J$4,A10-1-Premissas!$E$16,0),0)&gt;0,ROUND(IF(A10-1-Premissas!$E$16&gt;=0,OFFSET($J$4,A10-1-Premissas!$E$16,0),0)*10000/Premissas!$E$5*Premissas!$E$15,0),0)</f>
        <v/>
      </c>
      <c r="I10">
        <f>ROUND(G10*Premissas!$E$6/10000,0)</f>
        <v/>
      </c>
      <c r="J10">
        <f>ROUND(G10*Premissas!$E$5/10000,0)</f>
        <v/>
      </c>
      <c r="K10">
        <f>IF(IF(A10-1-Premissas!$E$16&gt;=0,OFFSET($A$4,A10-1-Premissas!$E$16,0)&gt;=Premissas!$E$19,FALSE),ROUND(IF(A10-1-Premissas!$E$16&gt;=0,OFFSET($J$4,A10-1-Premissas!$E$16,0),0)*Premissas!$E$15,0),0)</f>
        <v/>
      </c>
      <c r="L10">
        <f>ROUND(C10*Premissas!$E$24/12,0)</f>
        <v/>
      </c>
      <c r="M10">
        <f>ROUND(D10*Premissas!$E$25,0)</f>
        <v/>
      </c>
      <c r="N10">
        <f>ROUND(E10*Premissas!$E$29+B10*Premissas!$E$30,0)</f>
        <v/>
      </c>
      <c r="O10">
        <f>K10+L10+M10+N10</f>
        <v/>
      </c>
      <c r="P10">
        <f>K10+ROUND(AC10*Premissas!$E$24,0)+M10+N10</f>
        <v/>
      </c>
      <c r="Q10">
        <f>ROUND(IF(A10-1-Premissas!$E$21&gt;=0,OFFSET($P$4,A10-1-Premissas!$E$21,0),0)*(1-Premissas!$E$20/100),0)</f>
        <v/>
      </c>
      <c r="R10">
        <f>ROUND(F10*Premissas!$E$11+N10*Premissas!$E$31/100,0)+ROUND((E10+B10)*Premissas!$E$10,0)+ROUND(Q10*Premissas!$E$8/100,0)+ROUND(Premissas!$E$35+(B10+C10)*Premissas!$E$36,0)</f>
        <v/>
      </c>
      <c r="S10">
        <f>O10-R10</f>
        <v/>
      </c>
      <c r="T10">
        <f>ROUND(O10*Premissas!$E$9/100,0)</f>
        <v/>
      </c>
      <c r="U10">
        <f>ROUND(AB10*Premissas!$E$33,0)</f>
        <v/>
      </c>
      <c r="V10">
        <f>Premissas!$E$37+ROUND(Premissas!$E$12*Premissas!$E$38+D10*Premissas!$E$27,0)</f>
        <v/>
      </c>
      <c r="W10">
        <f>Premissas!$E$39</f>
        <v/>
      </c>
      <c r="X10">
        <f>S10-T10-ROUND(Premissas!$E$12*Premissas!$E$38+D10*Premissas!$E$27,0)</f>
        <v/>
      </c>
      <c r="Y10">
        <f>O10-R10-T10-U10-V10-W10</f>
        <v/>
      </c>
      <c r="Z10">
        <f>Q10-R10-T10-U10-V10-W10</f>
        <v/>
      </c>
      <c r="AA10">
        <f>AA9+Z10</f>
        <v/>
      </c>
      <c r="AB10">
        <f>Premissas!$E$32+(B10+C10)/Premissas!$E$34</f>
        <v/>
      </c>
      <c r="AC10">
        <f>D10</f>
        <v/>
      </c>
    </row>
    <row r="11">
      <c r="A11" t="n">
        <v>8</v>
      </c>
      <c r="B11">
        <f>B10*(1-Premissas!$E$18/12)+Premissas!$E$12</f>
        <v/>
      </c>
      <c r="C11">
        <f>IF($B$2=1,C10*(1-Premissas!$E$26/12)+D11,0)</f>
        <v/>
      </c>
      <c r="D11">
        <f>IF(AND($B$2=1,A11&gt;=Premissas!$E$23),Premissas!$E$22,0)</f>
        <v/>
      </c>
      <c r="E11">
        <f>B11*Premissas!$E$28</f>
        <v/>
      </c>
      <c r="F11">
        <f>B11*Premissas!$E$13/12*MIN(1,A11/Premissas!$E$17)</f>
        <v/>
      </c>
      <c r="G11">
        <f>F11*Premissas!$E$14</f>
        <v/>
      </c>
      <c r="H11">
        <f>IF(IF(A11-1-Premissas!$E$16&gt;=0,OFFSET($J$4,A11-1-Premissas!$E$16,0),0)&gt;0,ROUND(IF(A11-1-Premissas!$E$16&gt;=0,OFFSET($J$4,A11-1-Premissas!$E$16,0),0)*10000/Premissas!$E$5*Premissas!$E$15,0),0)</f>
        <v/>
      </c>
      <c r="I11">
        <f>ROUND(G11*Premissas!$E$6/10000,0)</f>
        <v/>
      </c>
      <c r="J11">
        <f>ROUND(G11*Premissas!$E$5/10000,0)</f>
        <v/>
      </c>
      <c r="K11">
        <f>IF(IF(A11-1-Premissas!$E$16&gt;=0,OFFSET($A$4,A11-1-Premissas!$E$16,0)&gt;=Premissas!$E$19,FALSE),ROUND(IF(A11-1-Premissas!$E$16&gt;=0,OFFSET($J$4,A11-1-Premissas!$E$16,0),0)*Premissas!$E$15,0),0)</f>
        <v/>
      </c>
      <c r="L11">
        <f>ROUND(C11*Premissas!$E$24/12,0)</f>
        <v/>
      </c>
      <c r="M11">
        <f>ROUND(D11*Premissas!$E$25,0)</f>
        <v/>
      </c>
      <c r="N11">
        <f>ROUND(E11*Premissas!$E$29+B11*Premissas!$E$30,0)</f>
        <v/>
      </c>
      <c r="O11">
        <f>K11+L11+M11+N11</f>
        <v/>
      </c>
      <c r="P11">
        <f>K11+ROUND(AC11*Premissas!$E$24,0)+M11+N11</f>
        <v/>
      </c>
      <c r="Q11">
        <f>ROUND(IF(A11-1-Premissas!$E$21&gt;=0,OFFSET($P$4,A11-1-Premissas!$E$21,0),0)*(1-Premissas!$E$20/100),0)</f>
        <v/>
      </c>
      <c r="R11">
        <f>ROUND(F11*Premissas!$E$11+N11*Premissas!$E$31/100,0)+ROUND((E11+B11)*Premissas!$E$10,0)+ROUND(Q11*Premissas!$E$8/100,0)+ROUND(Premissas!$E$35+(B11+C11)*Premissas!$E$36,0)</f>
        <v/>
      </c>
      <c r="S11">
        <f>O11-R11</f>
        <v/>
      </c>
      <c r="T11">
        <f>ROUND(O11*Premissas!$E$9/100,0)</f>
        <v/>
      </c>
      <c r="U11">
        <f>ROUND(AB11*Premissas!$E$33,0)</f>
        <v/>
      </c>
      <c r="V11">
        <f>Premissas!$E$37+ROUND(Premissas!$E$12*Premissas!$E$38+D11*Premissas!$E$27,0)</f>
        <v/>
      </c>
      <c r="W11">
        <f>Premissas!$E$39</f>
        <v/>
      </c>
      <c r="X11">
        <f>S11-T11-ROUND(Premissas!$E$12*Premissas!$E$38+D11*Premissas!$E$27,0)</f>
        <v/>
      </c>
      <c r="Y11">
        <f>O11-R11-T11-U11-V11-W11</f>
        <v/>
      </c>
      <c r="Z11">
        <f>Q11-R11-T11-U11-V11-W11</f>
        <v/>
      </c>
      <c r="AA11">
        <f>AA10+Z11</f>
        <v/>
      </c>
      <c r="AB11">
        <f>Premissas!$E$32+(B11+C11)/Premissas!$E$34</f>
        <v/>
      </c>
      <c r="AC11">
        <f>D11</f>
        <v/>
      </c>
    </row>
    <row r="12">
      <c r="A12" t="n">
        <v>9</v>
      </c>
      <c r="B12">
        <f>B11*(1-Premissas!$E$18/12)+Premissas!$E$12</f>
        <v/>
      </c>
      <c r="C12">
        <f>IF($B$2=1,C11*(1-Premissas!$E$26/12)+D12,0)</f>
        <v/>
      </c>
      <c r="D12">
        <f>IF(AND($B$2=1,A12&gt;=Premissas!$E$23),Premissas!$E$22,0)</f>
        <v/>
      </c>
      <c r="E12">
        <f>B12*Premissas!$E$28</f>
        <v/>
      </c>
      <c r="F12">
        <f>B12*Premissas!$E$13/12*MIN(1,A12/Premissas!$E$17)</f>
        <v/>
      </c>
      <c r="G12">
        <f>F12*Premissas!$E$14</f>
        <v/>
      </c>
      <c r="H12">
        <f>IF(IF(A12-1-Premissas!$E$16&gt;=0,OFFSET($J$4,A12-1-Premissas!$E$16,0),0)&gt;0,ROUND(IF(A12-1-Premissas!$E$16&gt;=0,OFFSET($J$4,A12-1-Premissas!$E$16,0),0)*10000/Premissas!$E$5*Premissas!$E$15,0),0)</f>
        <v/>
      </c>
      <c r="I12">
        <f>ROUND(G12*Premissas!$E$6/10000,0)</f>
        <v/>
      </c>
      <c r="J12">
        <f>ROUND(G12*Premissas!$E$5/10000,0)</f>
        <v/>
      </c>
      <c r="K12">
        <f>IF(IF(A12-1-Premissas!$E$16&gt;=0,OFFSET($A$4,A12-1-Premissas!$E$16,0)&gt;=Premissas!$E$19,FALSE),ROUND(IF(A12-1-Premissas!$E$16&gt;=0,OFFSET($J$4,A12-1-Premissas!$E$16,0),0)*Premissas!$E$15,0),0)</f>
        <v/>
      </c>
      <c r="L12">
        <f>ROUND(C12*Premissas!$E$24/12,0)</f>
        <v/>
      </c>
      <c r="M12">
        <f>ROUND(D12*Premissas!$E$25,0)</f>
        <v/>
      </c>
      <c r="N12">
        <f>ROUND(E12*Premissas!$E$29+B12*Premissas!$E$30,0)</f>
        <v/>
      </c>
      <c r="O12">
        <f>K12+L12+M12+N12</f>
        <v/>
      </c>
      <c r="P12">
        <f>K12+ROUND(AC12*Premissas!$E$24,0)+M12+N12</f>
        <v/>
      </c>
      <c r="Q12">
        <f>ROUND(IF(A12-1-Premissas!$E$21&gt;=0,OFFSET($P$4,A12-1-Premissas!$E$21,0),0)*(1-Premissas!$E$20/100),0)</f>
        <v/>
      </c>
      <c r="R12">
        <f>ROUND(F12*Premissas!$E$11+N12*Premissas!$E$31/100,0)+ROUND((E12+B12)*Premissas!$E$10,0)+ROUND(Q12*Premissas!$E$8/100,0)+ROUND(Premissas!$E$35+(B12+C12)*Premissas!$E$36,0)</f>
        <v/>
      </c>
      <c r="S12">
        <f>O12-R12</f>
        <v/>
      </c>
      <c r="T12">
        <f>ROUND(O12*Premissas!$E$9/100,0)</f>
        <v/>
      </c>
      <c r="U12">
        <f>ROUND(AB12*Premissas!$E$33,0)</f>
        <v/>
      </c>
      <c r="V12">
        <f>Premissas!$E$37+ROUND(Premissas!$E$12*Premissas!$E$38+D12*Premissas!$E$27,0)</f>
        <v/>
      </c>
      <c r="W12">
        <f>Premissas!$E$39</f>
        <v/>
      </c>
      <c r="X12">
        <f>S12-T12-ROUND(Premissas!$E$12*Premissas!$E$38+D12*Premissas!$E$27,0)</f>
        <v/>
      </c>
      <c r="Y12">
        <f>O12-R12-T12-U12-V12-W12</f>
        <v/>
      </c>
      <c r="Z12">
        <f>Q12-R12-T12-U12-V12-W12</f>
        <v/>
      </c>
      <c r="AA12">
        <f>AA11+Z12</f>
        <v/>
      </c>
      <c r="AB12">
        <f>Premissas!$E$32+(B12+C12)/Premissas!$E$34</f>
        <v/>
      </c>
      <c r="AC12">
        <f>D12</f>
        <v/>
      </c>
    </row>
    <row r="13">
      <c r="A13" t="n">
        <v>10</v>
      </c>
      <c r="B13">
        <f>B12*(1-Premissas!$E$18/12)+Premissas!$E$12</f>
        <v/>
      </c>
      <c r="C13">
        <f>IF($B$2=1,C12*(1-Premissas!$E$26/12)+D13,0)</f>
        <v/>
      </c>
      <c r="D13">
        <f>IF(AND($B$2=1,A13&gt;=Premissas!$E$23),Premissas!$E$22,0)</f>
        <v/>
      </c>
      <c r="E13">
        <f>B13*Premissas!$E$28</f>
        <v/>
      </c>
      <c r="F13">
        <f>B13*Premissas!$E$13/12*MIN(1,A13/Premissas!$E$17)</f>
        <v/>
      </c>
      <c r="G13">
        <f>F13*Premissas!$E$14</f>
        <v/>
      </c>
      <c r="H13">
        <f>IF(IF(A13-1-Premissas!$E$16&gt;=0,OFFSET($J$4,A13-1-Premissas!$E$16,0),0)&gt;0,ROUND(IF(A13-1-Premissas!$E$16&gt;=0,OFFSET($J$4,A13-1-Premissas!$E$16,0),0)*10000/Premissas!$E$5*Premissas!$E$15,0),0)</f>
        <v/>
      </c>
      <c r="I13">
        <f>ROUND(G13*Premissas!$E$6/10000,0)</f>
        <v/>
      </c>
      <c r="J13">
        <f>ROUND(G13*Premissas!$E$5/10000,0)</f>
        <v/>
      </c>
      <c r="K13">
        <f>IF(IF(A13-1-Premissas!$E$16&gt;=0,OFFSET($A$4,A13-1-Premissas!$E$16,0)&gt;=Premissas!$E$19,FALSE),ROUND(IF(A13-1-Premissas!$E$16&gt;=0,OFFSET($J$4,A13-1-Premissas!$E$16,0),0)*Premissas!$E$15,0),0)</f>
        <v/>
      </c>
      <c r="L13">
        <f>ROUND(C13*Premissas!$E$24/12,0)</f>
        <v/>
      </c>
      <c r="M13">
        <f>ROUND(D13*Premissas!$E$25,0)</f>
        <v/>
      </c>
      <c r="N13">
        <f>ROUND(E13*Premissas!$E$29+B13*Premissas!$E$30,0)</f>
        <v/>
      </c>
      <c r="O13">
        <f>K13+L13+M13+N13</f>
        <v/>
      </c>
      <c r="P13">
        <f>K13+ROUND(AC13*Premissas!$E$24,0)+M13+N13</f>
        <v/>
      </c>
      <c r="Q13">
        <f>ROUND(IF(A13-1-Premissas!$E$21&gt;=0,OFFSET($P$4,A13-1-Premissas!$E$21,0),0)*(1-Premissas!$E$20/100),0)</f>
        <v/>
      </c>
      <c r="R13">
        <f>ROUND(F13*Premissas!$E$11+N13*Premissas!$E$31/100,0)+ROUND((E13+B13)*Premissas!$E$10,0)+ROUND(Q13*Premissas!$E$8/100,0)+ROUND(Premissas!$E$35+(B13+C13)*Premissas!$E$36,0)</f>
        <v/>
      </c>
      <c r="S13">
        <f>O13-R13</f>
        <v/>
      </c>
      <c r="T13">
        <f>ROUND(O13*Premissas!$E$9/100,0)</f>
        <v/>
      </c>
      <c r="U13">
        <f>ROUND(AB13*Premissas!$E$33,0)</f>
        <v/>
      </c>
      <c r="V13">
        <f>Premissas!$E$37+ROUND(Premissas!$E$12*Premissas!$E$38+D13*Premissas!$E$27,0)</f>
        <v/>
      </c>
      <c r="W13">
        <f>Premissas!$E$39</f>
        <v/>
      </c>
      <c r="X13">
        <f>S13-T13-ROUND(Premissas!$E$12*Premissas!$E$38+D13*Premissas!$E$27,0)</f>
        <v/>
      </c>
      <c r="Y13">
        <f>O13-R13-T13-U13-V13-W13</f>
        <v/>
      </c>
      <c r="Z13">
        <f>Q13-R13-T13-U13-V13-W13</f>
        <v/>
      </c>
      <c r="AA13">
        <f>AA12+Z13</f>
        <v/>
      </c>
      <c r="AB13">
        <f>Premissas!$E$32+(B13+C13)/Premissas!$E$34</f>
        <v/>
      </c>
      <c r="AC13">
        <f>D13</f>
        <v/>
      </c>
    </row>
    <row r="14">
      <c r="A14" t="n">
        <v>11</v>
      </c>
      <c r="B14">
        <f>B13*(1-Premissas!$E$18/12)+Premissas!$E$12</f>
        <v/>
      </c>
      <c r="C14">
        <f>IF($B$2=1,C13*(1-Premissas!$E$26/12)+D14,0)</f>
        <v/>
      </c>
      <c r="D14">
        <f>IF(AND($B$2=1,A14&gt;=Premissas!$E$23),Premissas!$E$22,0)</f>
        <v/>
      </c>
      <c r="E14">
        <f>B14*Premissas!$E$28</f>
        <v/>
      </c>
      <c r="F14">
        <f>B14*Premissas!$E$13/12*MIN(1,A14/Premissas!$E$17)</f>
        <v/>
      </c>
      <c r="G14">
        <f>F14*Premissas!$E$14</f>
        <v/>
      </c>
      <c r="H14">
        <f>IF(IF(A14-1-Premissas!$E$16&gt;=0,OFFSET($J$4,A14-1-Premissas!$E$16,0),0)&gt;0,ROUND(IF(A14-1-Premissas!$E$16&gt;=0,OFFSET($J$4,A14-1-Premissas!$E$16,0),0)*10000/Premissas!$E$5*Premissas!$E$15,0),0)</f>
        <v/>
      </c>
      <c r="I14">
        <f>ROUND(G14*Premissas!$E$6/10000,0)</f>
        <v/>
      </c>
      <c r="J14">
        <f>ROUND(G14*Premissas!$E$5/10000,0)</f>
        <v/>
      </c>
      <c r="K14">
        <f>IF(IF(A14-1-Premissas!$E$16&gt;=0,OFFSET($A$4,A14-1-Premissas!$E$16,0)&gt;=Premissas!$E$19,FALSE),ROUND(IF(A14-1-Premissas!$E$16&gt;=0,OFFSET($J$4,A14-1-Premissas!$E$16,0),0)*Premissas!$E$15,0),0)</f>
        <v/>
      </c>
      <c r="L14">
        <f>ROUND(C14*Premissas!$E$24/12,0)</f>
        <v/>
      </c>
      <c r="M14">
        <f>ROUND(D14*Premissas!$E$25,0)</f>
        <v/>
      </c>
      <c r="N14">
        <f>ROUND(E14*Premissas!$E$29+B14*Premissas!$E$30,0)</f>
        <v/>
      </c>
      <c r="O14">
        <f>K14+L14+M14+N14</f>
        <v/>
      </c>
      <c r="P14">
        <f>K14+ROUND(AC14*Premissas!$E$24,0)+M14+N14</f>
        <v/>
      </c>
      <c r="Q14">
        <f>ROUND(IF(A14-1-Premissas!$E$21&gt;=0,OFFSET($P$4,A14-1-Premissas!$E$21,0),0)*(1-Premissas!$E$20/100),0)</f>
        <v/>
      </c>
      <c r="R14">
        <f>ROUND(F14*Premissas!$E$11+N14*Premissas!$E$31/100,0)+ROUND((E14+B14)*Premissas!$E$10,0)+ROUND(Q14*Premissas!$E$8/100,0)+ROUND(Premissas!$E$35+(B14+C14)*Premissas!$E$36,0)</f>
        <v/>
      </c>
      <c r="S14">
        <f>O14-R14</f>
        <v/>
      </c>
      <c r="T14">
        <f>ROUND(O14*Premissas!$E$9/100,0)</f>
        <v/>
      </c>
      <c r="U14">
        <f>ROUND(AB14*Premissas!$E$33,0)</f>
        <v/>
      </c>
      <c r="V14">
        <f>Premissas!$E$37+ROUND(Premissas!$E$12*Premissas!$E$38+D14*Premissas!$E$27,0)</f>
        <v/>
      </c>
      <c r="W14">
        <f>Premissas!$E$39</f>
        <v/>
      </c>
      <c r="X14">
        <f>S14-T14-ROUND(Premissas!$E$12*Premissas!$E$38+D14*Premissas!$E$27,0)</f>
        <v/>
      </c>
      <c r="Y14">
        <f>O14-R14-T14-U14-V14-W14</f>
        <v/>
      </c>
      <c r="Z14">
        <f>Q14-R14-T14-U14-V14-W14</f>
        <v/>
      </c>
      <c r="AA14">
        <f>AA13+Z14</f>
        <v/>
      </c>
      <c r="AB14">
        <f>Premissas!$E$32+(B14+C14)/Premissas!$E$34</f>
        <v/>
      </c>
      <c r="AC14">
        <f>D14</f>
        <v/>
      </c>
    </row>
    <row r="15">
      <c r="A15" t="n">
        <v>12</v>
      </c>
      <c r="B15">
        <f>B14*(1-Premissas!$E$18/12)+Premissas!$E$12</f>
        <v/>
      </c>
      <c r="C15">
        <f>IF($B$2=1,C14*(1-Premissas!$E$26/12)+D15,0)</f>
        <v/>
      </c>
      <c r="D15">
        <f>IF(AND($B$2=1,A15&gt;=Premissas!$E$23),Premissas!$E$22,0)</f>
        <v/>
      </c>
      <c r="E15">
        <f>B15*Premissas!$E$28</f>
        <v/>
      </c>
      <c r="F15">
        <f>B15*Premissas!$E$13/12*MIN(1,A15/Premissas!$E$17)</f>
        <v/>
      </c>
      <c r="G15">
        <f>F15*Premissas!$E$14</f>
        <v/>
      </c>
      <c r="H15">
        <f>IF(IF(A15-1-Premissas!$E$16&gt;=0,OFFSET($J$4,A15-1-Premissas!$E$16,0),0)&gt;0,ROUND(IF(A15-1-Premissas!$E$16&gt;=0,OFFSET($J$4,A15-1-Premissas!$E$16,0),0)*10000/Premissas!$E$5*Premissas!$E$15,0),0)</f>
        <v/>
      </c>
      <c r="I15">
        <f>ROUND(G15*Premissas!$E$6/10000,0)</f>
        <v/>
      </c>
      <c r="J15">
        <f>ROUND(G15*Premissas!$E$5/10000,0)</f>
        <v/>
      </c>
      <c r="K15">
        <f>IF(IF(A15-1-Premissas!$E$16&gt;=0,OFFSET($A$4,A15-1-Premissas!$E$16,0)&gt;=Premissas!$E$19,FALSE),ROUND(IF(A15-1-Premissas!$E$16&gt;=0,OFFSET($J$4,A15-1-Premissas!$E$16,0),0)*Premissas!$E$15,0),0)</f>
        <v/>
      </c>
      <c r="L15">
        <f>ROUND(C15*Premissas!$E$24/12,0)</f>
        <v/>
      </c>
      <c r="M15">
        <f>ROUND(D15*Premissas!$E$25,0)</f>
        <v/>
      </c>
      <c r="N15">
        <f>ROUND(E15*Premissas!$E$29+B15*Premissas!$E$30,0)</f>
        <v/>
      </c>
      <c r="O15">
        <f>K15+L15+M15+N15</f>
        <v/>
      </c>
      <c r="P15">
        <f>K15+ROUND(AC15*Premissas!$E$24,0)+M15+N15</f>
        <v/>
      </c>
      <c r="Q15">
        <f>ROUND(IF(A15-1-Premissas!$E$21&gt;=0,OFFSET($P$4,A15-1-Premissas!$E$21,0),0)*(1-Premissas!$E$20/100),0)</f>
        <v/>
      </c>
      <c r="R15">
        <f>ROUND(F15*Premissas!$E$11+N15*Premissas!$E$31/100,0)+ROUND((E15+B15)*Premissas!$E$10,0)+ROUND(Q15*Premissas!$E$8/100,0)+ROUND(Premissas!$E$35+(B15+C15)*Premissas!$E$36,0)</f>
        <v/>
      </c>
      <c r="S15">
        <f>O15-R15</f>
        <v/>
      </c>
      <c r="T15">
        <f>ROUND(O15*Premissas!$E$9/100,0)</f>
        <v/>
      </c>
      <c r="U15">
        <f>ROUND(AB15*Premissas!$E$33,0)</f>
        <v/>
      </c>
      <c r="V15">
        <f>Premissas!$E$37+ROUND(Premissas!$E$12*Premissas!$E$38+D15*Premissas!$E$27,0)</f>
        <v/>
      </c>
      <c r="W15">
        <f>Premissas!$E$39</f>
        <v/>
      </c>
      <c r="X15">
        <f>S15-T15-ROUND(Premissas!$E$12*Premissas!$E$38+D15*Premissas!$E$27,0)</f>
        <v/>
      </c>
      <c r="Y15">
        <f>O15-R15-T15-U15-V15-W15</f>
        <v/>
      </c>
      <c r="Z15">
        <f>Q15-R15-T15-U15-V15-W15</f>
        <v/>
      </c>
      <c r="AA15">
        <f>AA14+Z15</f>
        <v/>
      </c>
      <c r="AB15">
        <f>Premissas!$E$32+(B15+C15)/Premissas!$E$34</f>
        <v/>
      </c>
      <c r="AC15">
        <f>D15</f>
        <v/>
      </c>
    </row>
    <row r="16">
      <c r="A16" t="n">
        <v>13</v>
      </c>
      <c r="B16">
        <f>B15*(1-Premissas!$E$18/12)+Premissas!$E$12</f>
        <v/>
      </c>
      <c r="C16">
        <f>IF($B$2=1,C15*(1-Premissas!$E$26/12)+D16,0)</f>
        <v/>
      </c>
      <c r="D16">
        <f>IF(AND($B$2=1,A16&gt;=Premissas!$E$23),Premissas!$E$22,0)</f>
        <v/>
      </c>
      <c r="E16">
        <f>B16*Premissas!$E$28</f>
        <v/>
      </c>
      <c r="F16">
        <f>B16*Premissas!$E$13/12*MIN(1,A16/Premissas!$E$17)</f>
        <v/>
      </c>
      <c r="G16">
        <f>F16*Premissas!$E$14</f>
        <v/>
      </c>
      <c r="H16">
        <f>IF(IF(A16-1-Premissas!$E$16&gt;=0,OFFSET($J$4,A16-1-Premissas!$E$16,0),0)&gt;0,ROUND(IF(A16-1-Premissas!$E$16&gt;=0,OFFSET($J$4,A16-1-Premissas!$E$16,0),0)*10000/Premissas!$E$5*Premissas!$E$15,0),0)</f>
        <v/>
      </c>
      <c r="I16">
        <f>ROUND(G16*Premissas!$E$6/10000,0)</f>
        <v/>
      </c>
      <c r="J16">
        <f>ROUND(G16*Premissas!$E$5/10000,0)</f>
        <v/>
      </c>
      <c r="K16">
        <f>IF(IF(A16-1-Premissas!$E$16&gt;=0,OFFSET($A$4,A16-1-Premissas!$E$16,0)&gt;=Premissas!$E$19,FALSE),ROUND(IF(A16-1-Premissas!$E$16&gt;=0,OFFSET($J$4,A16-1-Premissas!$E$16,0),0)*Premissas!$E$15,0),0)</f>
        <v/>
      </c>
      <c r="L16">
        <f>ROUND(C16*Premissas!$E$24/12,0)</f>
        <v/>
      </c>
      <c r="M16">
        <f>ROUND(D16*Premissas!$E$25,0)</f>
        <v/>
      </c>
      <c r="N16">
        <f>ROUND(E16*Premissas!$E$29+B16*Premissas!$E$30,0)</f>
        <v/>
      </c>
      <c r="O16">
        <f>K16+L16+M16+N16</f>
        <v/>
      </c>
      <c r="P16">
        <f>K16+ROUND(AC16*Premissas!$E$24,0)+M16+N16</f>
        <v/>
      </c>
      <c r="Q16">
        <f>ROUND(IF(A16-1-Premissas!$E$21&gt;=0,OFFSET($P$4,A16-1-Premissas!$E$21,0),0)*(1-Premissas!$E$20/100),0)</f>
        <v/>
      </c>
      <c r="R16">
        <f>ROUND(F16*Premissas!$E$11+N16*Premissas!$E$31/100,0)+ROUND((E16+B16)*Premissas!$E$10,0)+ROUND(Q16*Premissas!$E$8/100,0)+ROUND(Premissas!$E$35+(B16+C16)*Premissas!$E$36,0)</f>
        <v/>
      </c>
      <c r="S16">
        <f>O16-R16</f>
        <v/>
      </c>
      <c r="T16">
        <f>ROUND(O16*Premissas!$E$9/100,0)</f>
        <v/>
      </c>
      <c r="U16">
        <f>ROUND(AB16*Premissas!$E$33,0)</f>
        <v/>
      </c>
      <c r="V16">
        <f>Premissas!$E$37+ROUND(Premissas!$E$12*Premissas!$E$38+D16*Premissas!$E$27,0)</f>
        <v/>
      </c>
      <c r="W16">
        <f>Premissas!$E$39</f>
        <v/>
      </c>
      <c r="X16">
        <f>S16-T16-ROUND(Premissas!$E$12*Premissas!$E$38+D16*Premissas!$E$27,0)</f>
        <v/>
      </c>
      <c r="Y16">
        <f>O16-R16-T16-U16-V16-W16</f>
        <v/>
      </c>
      <c r="Z16">
        <f>Q16-R16-T16-U16-V16-W16</f>
        <v/>
      </c>
      <c r="AA16">
        <f>AA15+Z16</f>
        <v/>
      </c>
      <c r="AB16">
        <f>Premissas!$E$32+(B16+C16)/Premissas!$E$34</f>
        <v/>
      </c>
      <c r="AC16">
        <f>D16+AC4*(1-Premissas!$E$26/12)^12</f>
        <v/>
      </c>
    </row>
    <row r="17">
      <c r="A17" t="n">
        <v>14</v>
      </c>
      <c r="B17">
        <f>B16*(1-Premissas!$E$18/12)+Premissas!$E$12</f>
        <v/>
      </c>
      <c r="C17">
        <f>IF($B$2=1,C16*(1-Premissas!$E$26/12)+D17,0)</f>
        <v/>
      </c>
      <c r="D17">
        <f>IF(AND($B$2=1,A17&gt;=Premissas!$E$23),Premissas!$E$22,0)</f>
        <v/>
      </c>
      <c r="E17">
        <f>B17*Premissas!$E$28</f>
        <v/>
      </c>
      <c r="F17">
        <f>B17*Premissas!$E$13/12*MIN(1,A17/Premissas!$E$17)</f>
        <v/>
      </c>
      <c r="G17">
        <f>F17*Premissas!$E$14</f>
        <v/>
      </c>
      <c r="H17">
        <f>IF(IF(A17-1-Premissas!$E$16&gt;=0,OFFSET($J$4,A17-1-Premissas!$E$16,0),0)&gt;0,ROUND(IF(A17-1-Premissas!$E$16&gt;=0,OFFSET($J$4,A17-1-Premissas!$E$16,0),0)*10000/Premissas!$E$5*Premissas!$E$15,0),0)</f>
        <v/>
      </c>
      <c r="I17">
        <f>ROUND(G17*Premissas!$E$6/10000,0)</f>
        <v/>
      </c>
      <c r="J17">
        <f>ROUND(G17*Premissas!$E$5/10000,0)</f>
        <v/>
      </c>
      <c r="K17">
        <f>IF(IF(A17-1-Premissas!$E$16&gt;=0,OFFSET($A$4,A17-1-Premissas!$E$16,0)&gt;=Premissas!$E$19,FALSE),ROUND(IF(A17-1-Premissas!$E$16&gt;=0,OFFSET($J$4,A17-1-Premissas!$E$16,0),0)*Premissas!$E$15,0),0)</f>
        <v/>
      </c>
      <c r="L17">
        <f>ROUND(C17*Premissas!$E$24/12,0)</f>
        <v/>
      </c>
      <c r="M17">
        <f>ROUND(D17*Premissas!$E$25,0)</f>
        <v/>
      </c>
      <c r="N17">
        <f>ROUND(E17*Premissas!$E$29+B17*Premissas!$E$30,0)</f>
        <v/>
      </c>
      <c r="O17">
        <f>K17+L17+M17+N17</f>
        <v/>
      </c>
      <c r="P17">
        <f>K17+ROUND(AC17*Premissas!$E$24,0)+M17+N17</f>
        <v/>
      </c>
      <c r="Q17">
        <f>ROUND(IF(A17-1-Premissas!$E$21&gt;=0,OFFSET($P$4,A17-1-Premissas!$E$21,0),0)*(1-Premissas!$E$20/100),0)</f>
        <v/>
      </c>
      <c r="R17">
        <f>ROUND(F17*Premissas!$E$11+N17*Premissas!$E$31/100,0)+ROUND((E17+B17)*Premissas!$E$10,0)+ROUND(Q17*Premissas!$E$8/100,0)+ROUND(Premissas!$E$35+(B17+C17)*Premissas!$E$36,0)</f>
        <v/>
      </c>
      <c r="S17">
        <f>O17-R17</f>
        <v/>
      </c>
      <c r="T17">
        <f>ROUND(O17*Premissas!$E$9/100,0)</f>
        <v/>
      </c>
      <c r="U17">
        <f>ROUND(AB17*Premissas!$E$33,0)</f>
        <v/>
      </c>
      <c r="V17">
        <f>Premissas!$E$37+ROUND(Premissas!$E$12*Premissas!$E$38+D17*Premissas!$E$27,0)</f>
        <v/>
      </c>
      <c r="W17">
        <f>Premissas!$E$39</f>
        <v/>
      </c>
      <c r="X17">
        <f>S17-T17-ROUND(Premissas!$E$12*Premissas!$E$38+D17*Premissas!$E$27,0)</f>
        <v/>
      </c>
      <c r="Y17">
        <f>O17-R17-T17-U17-V17-W17</f>
        <v/>
      </c>
      <c r="Z17">
        <f>Q17-R17-T17-U17-V17-W17</f>
        <v/>
      </c>
      <c r="AA17">
        <f>AA16+Z17</f>
        <v/>
      </c>
      <c r="AB17">
        <f>Premissas!$E$32+(B17+C17)/Premissas!$E$34</f>
        <v/>
      </c>
      <c r="AC17">
        <f>D17+AC5*(1-Premissas!$E$26/12)^12</f>
        <v/>
      </c>
    </row>
    <row r="18">
      <c r="A18" t="n">
        <v>15</v>
      </c>
      <c r="B18">
        <f>B17*(1-Premissas!$E$18/12)+Premissas!$E$12</f>
        <v/>
      </c>
      <c r="C18">
        <f>IF($B$2=1,C17*(1-Premissas!$E$26/12)+D18,0)</f>
        <v/>
      </c>
      <c r="D18">
        <f>IF(AND($B$2=1,A18&gt;=Premissas!$E$23),Premissas!$E$22,0)</f>
        <v/>
      </c>
      <c r="E18">
        <f>B18*Premissas!$E$28</f>
        <v/>
      </c>
      <c r="F18">
        <f>B18*Premissas!$E$13/12*MIN(1,A18/Premissas!$E$17)</f>
        <v/>
      </c>
      <c r="G18">
        <f>F18*Premissas!$E$14</f>
        <v/>
      </c>
      <c r="H18">
        <f>IF(IF(A18-1-Premissas!$E$16&gt;=0,OFFSET($J$4,A18-1-Premissas!$E$16,0),0)&gt;0,ROUND(IF(A18-1-Premissas!$E$16&gt;=0,OFFSET($J$4,A18-1-Premissas!$E$16,0),0)*10000/Premissas!$E$5*Premissas!$E$15,0),0)</f>
        <v/>
      </c>
      <c r="I18">
        <f>ROUND(G18*Premissas!$E$6/10000,0)</f>
        <v/>
      </c>
      <c r="J18">
        <f>ROUND(G18*Premissas!$E$5/10000,0)</f>
        <v/>
      </c>
      <c r="K18">
        <f>IF(IF(A18-1-Premissas!$E$16&gt;=0,OFFSET($A$4,A18-1-Premissas!$E$16,0)&gt;=Premissas!$E$19,FALSE),ROUND(IF(A18-1-Premissas!$E$16&gt;=0,OFFSET($J$4,A18-1-Premissas!$E$16,0),0)*Premissas!$E$15,0),0)</f>
        <v/>
      </c>
      <c r="L18">
        <f>ROUND(C18*Premissas!$E$24/12,0)</f>
        <v/>
      </c>
      <c r="M18">
        <f>ROUND(D18*Premissas!$E$25,0)</f>
        <v/>
      </c>
      <c r="N18">
        <f>ROUND(E18*Premissas!$E$29+B18*Premissas!$E$30,0)</f>
        <v/>
      </c>
      <c r="O18">
        <f>K18+L18+M18+N18</f>
        <v/>
      </c>
      <c r="P18">
        <f>K18+ROUND(AC18*Premissas!$E$24,0)+M18+N18</f>
        <v/>
      </c>
      <c r="Q18">
        <f>ROUND(IF(A18-1-Premissas!$E$21&gt;=0,OFFSET($P$4,A18-1-Premissas!$E$21,0),0)*(1-Premissas!$E$20/100),0)</f>
        <v/>
      </c>
      <c r="R18">
        <f>ROUND(F18*Premissas!$E$11+N18*Premissas!$E$31/100,0)+ROUND((E18+B18)*Premissas!$E$10,0)+ROUND(Q18*Premissas!$E$8/100,0)+ROUND(Premissas!$E$35+(B18+C18)*Premissas!$E$36,0)</f>
        <v/>
      </c>
      <c r="S18">
        <f>O18-R18</f>
        <v/>
      </c>
      <c r="T18">
        <f>ROUND(O18*Premissas!$E$9/100,0)</f>
        <v/>
      </c>
      <c r="U18">
        <f>ROUND(AB18*Premissas!$E$33,0)</f>
        <v/>
      </c>
      <c r="V18">
        <f>Premissas!$E$37+ROUND(Premissas!$E$12*Premissas!$E$38+D18*Premissas!$E$27,0)</f>
        <v/>
      </c>
      <c r="W18">
        <f>Premissas!$E$39</f>
        <v/>
      </c>
      <c r="X18">
        <f>S18-T18-ROUND(Premissas!$E$12*Premissas!$E$38+D18*Premissas!$E$27,0)</f>
        <v/>
      </c>
      <c r="Y18">
        <f>O18-R18-T18-U18-V18-W18</f>
        <v/>
      </c>
      <c r="Z18">
        <f>Q18-R18-T18-U18-V18-W18</f>
        <v/>
      </c>
      <c r="AA18">
        <f>AA17+Z18</f>
        <v/>
      </c>
      <c r="AB18">
        <f>Premissas!$E$32+(B18+C18)/Premissas!$E$34</f>
        <v/>
      </c>
      <c r="AC18">
        <f>D18+AC6*(1-Premissas!$E$26/12)^12</f>
        <v/>
      </c>
    </row>
    <row r="19">
      <c r="A19" t="n">
        <v>16</v>
      </c>
      <c r="B19">
        <f>B18*(1-Premissas!$E$18/12)+Premissas!$E$12</f>
        <v/>
      </c>
      <c r="C19">
        <f>IF($B$2=1,C18*(1-Premissas!$E$26/12)+D19,0)</f>
        <v/>
      </c>
      <c r="D19">
        <f>IF(AND($B$2=1,A19&gt;=Premissas!$E$23),Premissas!$E$22,0)</f>
        <v/>
      </c>
      <c r="E19">
        <f>B19*Premissas!$E$28</f>
        <v/>
      </c>
      <c r="F19">
        <f>B19*Premissas!$E$13/12*MIN(1,A19/Premissas!$E$17)</f>
        <v/>
      </c>
      <c r="G19">
        <f>F19*Premissas!$E$14</f>
        <v/>
      </c>
      <c r="H19">
        <f>IF(IF(A19-1-Premissas!$E$16&gt;=0,OFFSET($J$4,A19-1-Premissas!$E$16,0),0)&gt;0,ROUND(IF(A19-1-Premissas!$E$16&gt;=0,OFFSET($J$4,A19-1-Premissas!$E$16,0),0)*10000/Premissas!$E$5*Premissas!$E$15,0),0)</f>
        <v/>
      </c>
      <c r="I19">
        <f>ROUND(G19*Premissas!$E$6/10000,0)</f>
        <v/>
      </c>
      <c r="J19">
        <f>ROUND(G19*Premissas!$E$5/10000,0)</f>
        <v/>
      </c>
      <c r="K19">
        <f>IF(IF(A19-1-Premissas!$E$16&gt;=0,OFFSET($A$4,A19-1-Premissas!$E$16,0)&gt;=Premissas!$E$19,FALSE),ROUND(IF(A19-1-Premissas!$E$16&gt;=0,OFFSET($J$4,A19-1-Premissas!$E$16,0),0)*Premissas!$E$15,0),0)</f>
        <v/>
      </c>
      <c r="L19">
        <f>ROUND(C19*Premissas!$E$24/12,0)</f>
        <v/>
      </c>
      <c r="M19">
        <f>ROUND(D19*Premissas!$E$25,0)</f>
        <v/>
      </c>
      <c r="N19">
        <f>ROUND(E19*Premissas!$E$29+B19*Premissas!$E$30,0)</f>
        <v/>
      </c>
      <c r="O19">
        <f>K19+L19+M19+N19</f>
        <v/>
      </c>
      <c r="P19">
        <f>K19+ROUND(AC19*Premissas!$E$24,0)+M19+N19</f>
        <v/>
      </c>
      <c r="Q19">
        <f>ROUND(IF(A19-1-Premissas!$E$21&gt;=0,OFFSET($P$4,A19-1-Premissas!$E$21,0),0)*(1-Premissas!$E$20/100),0)</f>
        <v/>
      </c>
      <c r="R19">
        <f>ROUND(F19*Premissas!$E$11+N19*Premissas!$E$31/100,0)+ROUND((E19+B19)*Premissas!$E$10,0)+ROUND(Q19*Premissas!$E$8/100,0)+ROUND(Premissas!$E$35+(B19+C19)*Premissas!$E$36,0)</f>
        <v/>
      </c>
      <c r="S19">
        <f>O19-R19</f>
        <v/>
      </c>
      <c r="T19">
        <f>ROUND(O19*Premissas!$E$9/100,0)</f>
        <v/>
      </c>
      <c r="U19">
        <f>ROUND(AB19*Premissas!$E$33,0)</f>
        <v/>
      </c>
      <c r="V19">
        <f>Premissas!$E$37+ROUND(Premissas!$E$12*Premissas!$E$38+D19*Premissas!$E$27,0)</f>
        <v/>
      </c>
      <c r="W19">
        <f>Premissas!$E$39</f>
        <v/>
      </c>
      <c r="X19">
        <f>S19-T19-ROUND(Premissas!$E$12*Premissas!$E$38+D19*Premissas!$E$27,0)</f>
        <v/>
      </c>
      <c r="Y19">
        <f>O19-R19-T19-U19-V19-W19</f>
        <v/>
      </c>
      <c r="Z19">
        <f>Q19-R19-T19-U19-V19-W19</f>
        <v/>
      </c>
      <c r="AA19">
        <f>AA18+Z19</f>
        <v/>
      </c>
      <c r="AB19">
        <f>Premissas!$E$32+(B19+C19)/Premissas!$E$34</f>
        <v/>
      </c>
      <c r="AC19">
        <f>D19+AC7*(1-Premissas!$E$26/12)^12</f>
        <v/>
      </c>
    </row>
    <row r="20">
      <c r="A20" t="n">
        <v>17</v>
      </c>
      <c r="B20">
        <f>B19*(1-Premissas!$E$18/12)+Premissas!$E$12</f>
        <v/>
      </c>
      <c r="C20">
        <f>IF($B$2=1,C19*(1-Premissas!$E$26/12)+D20,0)</f>
        <v/>
      </c>
      <c r="D20">
        <f>IF(AND($B$2=1,A20&gt;=Premissas!$E$23),Premissas!$E$22,0)</f>
        <v/>
      </c>
      <c r="E20">
        <f>B20*Premissas!$E$28</f>
        <v/>
      </c>
      <c r="F20">
        <f>B20*Premissas!$E$13/12*MIN(1,A20/Premissas!$E$17)</f>
        <v/>
      </c>
      <c r="G20">
        <f>F20*Premissas!$E$14</f>
        <v/>
      </c>
      <c r="H20">
        <f>IF(IF(A20-1-Premissas!$E$16&gt;=0,OFFSET($J$4,A20-1-Premissas!$E$16,0),0)&gt;0,ROUND(IF(A20-1-Premissas!$E$16&gt;=0,OFFSET($J$4,A20-1-Premissas!$E$16,0),0)*10000/Premissas!$E$5*Premissas!$E$15,0),0)</f>
        <v/>
      </c>
      <c r="I20">
        <f>ROUND(G20*Premissas!$E$6/10000,0)</f>
        <v/>
      </c>
      <c r="J20">
        <f>ROUND(G20*Premissas!$E$5/10000,0)</f>
        <v/>
      </c>
      <c r="K20">
        <f>IF(IF(A20-1-Premissas!$E$16&gt;=0,OFFSET($A$4,A20-1-Premissas!$E$16,0)&gt;=Premissas!$E$19,FALSE),ROUND(IF(A20-1-Premissas!$E$16&gt;=0,OFFSET($J$4,A20-1-Premissas!$E$16,0),0)*Premissas!$E$15,0),0)</f>
        <v/>
      </c>
      <c r="L20">
        <f>ROUND(C20*Premissas!$E$24/12,0)</f>
        <v/>
      </c>
      <c r="M20">
        <f>ROUND(D20*Premissas!$E$25,0)</f>
        <v/>
      </c>
      <c r="N20">
        <f>ROUND(E20*Premissas!$E$29+B20*Premissas!$E$30,0)</f>
        <v/>
      </c>
      <c r="O20">
        <f>K20+L20+M20+N20</f>
        <v/>
      </c>
      <c r="P20">
        <f>K20+ROUND(AC20*Premissas!$E$24,0)+M20+N20</f>
        <v/>
      </c>
      <c r="Q20">
        <f>ROUND(IF(A20-1-Premissas!$E$21&gt;=0,OFFSET($P$4,A20-1-Premissas!$E$21,0),0)*(1-Premissas!$E$20/100),0)</f>
        <v/>
      </c>
      <c r="R20">
        <f>ROUND(F20*Premissas!$E$11+N20*Premissas!$E$31/100,0)+ROUND((E20+B20)*Premissas!$E$10,0)+ROUND(Q20*Premissas!$E$8/100,0)+ROUND(Premissas!$E$35+(B20+C20)*Premissas!$E$36,0)</f>
        <v/>
      </c>
      <c r="S20">
        <f>O20-R20</f>
        <v/>
      </c>
      <c r="T20">
        <f>ROUND(O20*Premissas!$E$9/100,0)</f>
        <v/>
      </c>
      <c r="U20">
        <f>ROUND(AB20*Premissas!$E$33,0)</f>
        <v/>
      </c>
      <c r="V20">
        <f>Premissas!$E$37+ROUND(Premissas!$E$12*Premissas!$E$38+D20*Premissas!$E$27,0)</f>
        <v/>
      </c>
      <c r="W20">
        <f>Premissas!$E$39</f>
        <v/>
      </c>
      <c r="X20">
        <f>S20-T20-ROUND(Premissas!$E$12*Premissas!$E$38+D20*Premissas!$E$27,0)</f>
        <v/>
      </c>
      <c r="Y20">
        <f>O20-R20-T20-U20-V20-W20</f>
        <v/>
      </c>
      <c r="Z20">
        <f>Q20-R20-T20-U20-V20-W20</f>
        <v/>
      </c>
      <c r="AA20">
        <f>AA19+Z20</f>
        <v/>
      </c>
      <c r="AB20">
        <f>Premissas!$E$32+(B20+C20)/Premissas!$E$34</f>
        <v/>
      </c>
      <c r="AC20">
        <f>D20+AC8*(1-Premissas!$E$26/12)^12</f>
        <v/>
      </c>
    </row>
    <row r="21">
      <c r="A21" t="n">
        <v>18</v>
      </c>
      <c r="B21">
        <f>B20*(1-Premissas!$E$18/12)+Premissas!$E$12</f>
        <v/>
      </c>
      <c r="C21">
        <f>IF($B$2=1,C20*(1-Premissas!$E$26/12)+D21,0)</f>
        <v/>
      </c>
      <c r="D21">
        <f>IF(AND($B$2=1,A21&gt;=Premissas!$E$23),Premissas!$E$22,0)</f>
        <v/>
      </c>
      <c r="E21">
        <f>B21*Premissas!$E$28</f>
        <v/>
      </c>
      <c r="F21">
        <f>B21*Premissas!$E$13/12*MIN(1,A21/Premissas!$E$17)</f>
        <v/>
      </c>
      <c r="G21">
        <f>F21*Premissas!$E$14</f>
        <v/>
      </c>
      <c r="H21">
        <f>IF(IF(A21-1-Premissas!$E$16&gt;=0,OFFSET($J$4,A21-1-Premissas!$E$16,0),0)&gt;0,ROUND(IF(A21-1-Premissas!$E$16&gt;=0,OFFSET($J$4,A21-1-Premissas!$E$16,0),0)*10000/Premissas!$E$5*Premissas!$E$15,0),0)</f>
        <v/>
      </c>
      <c r="I21">
        <f>ROUND(G21*Premissas!$E$6/10000,0)</f>
        <v/>
      </c>
      <c r="J21">
        <f>ROUND(G21*Premissas!$E$5/10000,0)</f>
        <v/>
      </c>
      <c r="K21">
        <f>IF(IF(A21-1-Premissas!$E$16&gt;=0,OFFSET($A$4,A21-1-Premissas!$E$16,0)&gt;=Premissas!$E$19,FALSE),ROUND(IF(A21-1-Premissas!$E$16&gt;=0,OFFSET($J$4,A21-1-Premissas!$E$16,0),0)*Premissas!$E$15,0),0)</f>
        <v/>
      </c>
      <c r="L21">
        <f>ROUND(C21*Premissas!$E$24/12,0)</f>
        <v/>
      </c>
      <c r="M21">
        <f>ROUND(D21*Premissas!$E$25,0)</f>
        <v/>
      </c>
      <c r="N21">
        <f>ROUND(E21*Premissas!$E$29+B21*Premissas!$E$30,0)</f>
        <v/>
      </c>
      <c r="O21">
        <f>K21+L21+M21+N21</f>
        <v/>
      </c>
      <c r="P21">
        <f>K21+ROUND(AC21*Premissas!$E$24,0)+M21+N21</f>
        <v/>
      </c>
      <c r="Q21">
        <f>ROUND(IF(A21-1-Premissas!$E$21&gt;=0,OFFSET($P$4,A21-1-Premissas!$E$21,0),0)*(1-Premissas!$E$20/100),0)</f>
        <v/>
      </c>
      <c r="R21">
        <f>ROUND(F21*Premissas!$E$11+N21*Premissas!$E$31/100,0)+ROUND((E21+B21)*Premissas!$E$10,0)+ROUND(Q21*Premissas!$E$8/100,0)+ROUND(Premissas!$E$35+(B21+C21)*Premissas!$E$36,0)</f>
        <v/>
      </c>
      <c r="S21">
        <f>O21-R21</f>
        <v/>
      </c>
      <c r="T21">
        <f>ROUND(O21*Premissas!$E$9/100,0)</f>
        <v/>
      </c>
      <c r="U21">
        <f>ROUND(AB21*Premissas!$E$33,0)</f>
        <v/>
      </c>
      <c r="V21">
        <f>Premissas!$E$37+ROUND(Premissas!$E$12*Premissas!$E$38+D21*Premissas!$E$27,0)</f>
        <v/>
      </c>
      <c r="W21">
        <f>Premissas!$E$39</f>
        <v/>
      </c>
      <c r="X21">
        <f>S21-T21-ROUND(Premissas!$E$12*Premissas!$E$38+D21*Premissas!$E$27,0)</f>
        <v/>
      </c>
      <c r="Y21">
        <f>O21-R21-T21-U21-V21-W21</f>
        <v/>
      </c>
      <c r="Z21">
        <f>Q21-R21-T21-U21-V21-W21</f>
        <v/>
      </c>
      <c r="AA21">
        <f>AA20+Z21</f>
        <v/>
      </c>
      <c r="AB21">
        <f>Premissas!$E$32+(B21+C21)/Premissas!$E$34</f>
        <v/>
      </c>
      <c r="AC21">
        <f>D21+AC9*(1-Premissas!$E$26/12)^12</f>
        <v/>
      </c>
    </row>
    <row r="22">
      <c r="A22" t="n">
        <v>19</v>
      </c>
      <c r="B22">
        <f>B21*(1-Premissas!$E$18/12)+Premissas!$E$12</f>
        <v/>
      </c>
      <c r="C22">
        <f>IF($B$2=1,C21*(1-Premissas!$E$26/12)+D22,0)</f>
        <v/>
      </c>
      <c r="D22">
        <f>IF(AND($B$2=1,A22&gt;=Premissas!$E$23),Premissas!$E$22,0)</f>
        <v/>
      </c>
      <c r="E22">
        <f>B22*Premissas!$E$28</f>
        <v/>
      </c>
      <c r="F22">
        <f>B22*Premissas!$E$13/12*MIN(1,A22/Premissas!$E$17)</f>
        <v/>
      </c>
      <c r="G22">
        <f>F22*Premissas!$E$14</f>
        <v/>
      </c>
      <c r="H22">
        <f>IF(IF(A22-1-Premissas!$E$16&gt;=0,OFFSET($J$4,A22-1-Premissas!$E$16,0),0)&gt;0,ROUND(IF(A22-1-Premissas!$E$16&gt;=0,OFFSET($J$4,A22-1-Premissas!$E$16,0),0)*10000/Premissas!$E$5*Premissas!$E$15,0),0)</f>
        <v/>
      </c>
      <c r="I22">
        <f>ROUND(G22*Premissas!$E$6/10000,0)</f>
        <v/>
      </c>
      <c r="J22">
        <f>ROUND(G22*Premissas!$E$5/10000,0)</f>
        <v/>
      </c>
      <c r="K22">
        <f>IF(IF(A22-1-Premissas!$E$16&gt;=0,OFFSET($A$4,A22-1-Premissas!$E$16,0)&gt;=Premissas!$E$19,FALSE),ROUND(IF(A22-1-Premissas!$E$16&gt;=0,OFFSET($J$4,A22-1-Premissas!$E$16,0),0)*Premissas!$E$15,0),0)</f>
        <v/>
      </c>
      <c r="L22">
        <f>ROUND(C22*Premissas!$E$24/12,0)</f>
        <v/>
      </c>
      <c r="M22">
        <f>ROUND(D22*Premissas!$E$25,0)</f>
        <v/>
      </c>
      <c r="N22">
        <f>ROUND(E22*Premissas!$E$29+B22*Premissas!$E$30,0)</f>
        <v/>
      </c>
      <c r="O22">
        <f>K22+L22+M22+N22</f>
        <v/>
      </c>
      <c r="P22">
        <f>K22+ROUND(AC22*Premissas!$E$24,0)+M22+N22</f>
        <v/>
      </c>
      <c r="Q22">
        <f>ROUND(IF(A22-1-Premissas!$E$21&gt;=0,OFFSET($P$4,A22-1-Premissas!$E$21,0),0)*(1-Premissas!$E$20/100),0)</f>
        <v/>
      </c>
      <c r="R22">
        <f>ROUND(F22*Premissas!$E$11+N22*Premissas!$E$31/100,0)+ROUND((E22+B22)*Premissas!$E$10,0)+ROUND(Q22*Premissas!$E$8/100,0)+ROUND(Premissas!$E$35+(B22+C22)*Premissas!$E$36,0)</f>
        <v/>
      </c>
      <c r="S22">
        <f>O22-R22</f>
        <v/>
      </c>
      <c r="T22">
        <f>ROUND(O22*Premissas!$E$9/100,0)</f>
        <v/>
      </c>
      <c r="U22">
        <f>ROUND(AB22*Premissas!$E$33,0)</f>
        <v/>
      </c>
      <c r="V22">
        <f>Premissas!$E$37+ROUND(Premissas!$E$12*Premissas!$E$38+D22*Premissas!$E$27,0)</f>
        <v/>
      </c>
      <c r="W22">
        <f>Premissas!$E$39</f>
        <v/>
      </c>
      <c r="X22">
        <f>S22-T22-ROUND(Premissas!$E$12*Premissas!$E$38+D22*Premissas!$E$27,0)</f>
        <v/>
      </c>
      <c r="Y22">
        <f>O22-R22-T22-U22-V22-W22</f>
        <v/>
      </c>
      <c r="Z22">
        <f>Q22-R22-T22-U22-V22-W22</f>
        <v/>
      </c>
      <c r="AA22">
        <f>AA21+Z22</f>
        <v/>
      </c>
      <c r="AB22">
        <f>Premissas!$E$32+(B22+C22)/Premissas!$E$34</f>
        <v/>
      </c>
      <c r="AC22">
        <f>D22+AC10*(1-Premissas!$E$26/12)^12</f>
        <v/>
      </c>
    </row>
    <row r="23">
      <c r="A23" t="n">
        <v>20</v>
      </c>
      <c r="B23">
        <f>B22*(1-Premissas!$E$18/12)+Premissas!$E$12</f>
        <v/>
      </c>
      <c r="C23">
        <f>IF($B$2=1,C22*(1-Premissas!$E$26/12)+D23,0)</f>
        <v/>
      </c>
      <c r="D23">
        <f>IF(AND($B$2=1,A23&gt;=Premissas!$E$23),Premissas!$E$22,0)</f>
        <v/>
      </c>
      <c r="E23">
        <f>B23*Premissas!$E$28</f>
        <v/>
      </c>
      <c r="F23">
        <f>B23*Premissas!$E$13/12*MIN(1,A23/Premissas!$E$17)</f>
        <v/>
      </c>
      <c r="G23">
        <f>F23*Premissas!$E$14</f>
        <v/>
      </c>
      <c r="H23">
        <f>IF(IF(A23-1-Premissas!$E$16&gt;=0,OFFSET($J$4,A23-1-Premissas!$E$16,0),0)&gt;0,ROUND(IF(A23-1-Premissas!$E$16&gt;=0,OFFSET($J$4,A23-1-Premissas!$E$16,0),0)*10000/Premissas!$E$5*Premissas!$E$15,0),0)</f>
        <v/>
      </c>
      <c r="I23">
        <f>ROUND(G23*Premissas!$E$6/10000,0)</f>
        <v/>
      </c>
      <c r="J23">
        <f>ROUND(G23*Premissas!$E$5/10000,0)</f>
        <v/>
      </c>
      <c r="K23">
        <f>IF(IF(A23-1-Premissas!$E$16&gt;=0,OFFSET($A$4,A23-1-Premissas!$E$16,0)&gt;=Premissas!$E$19,FALSE),ROUND(IF(A23-1-Premissas!$E$16&gt;=0,OFFSET($J$4,A23-1-Premissas!$E$16,0),0)*Premissas!$E$15,0),0)</f>
        <v/>
      </c>
      <c r="L23">
        <f>ROUND(C23*Premissas!$E$24/12,0)</f>
        <v/>
      </c>
      <c r="M23">
        <f>ROUND(D23*Premissas!$E$25,0)</f>
        <v/>
      </c>
      <c r="N23">
        <f>ROUND(E23*Premissas!$E$29+B23*Premissas!$E$30,0)</f>
        <v/>
      </c>
      <c r="O23">
        <f>K23+L23+M23+N23</f>
        <v/>
      </c>
      <c r="P23">
        <f>K23+ROUND(AC23*Premissas!$E$24,0)+M23+N23</f>
        <v/>
      </c>
      <c r="Q23">
        <f>ROUND(IF(A23-1-Premissas!$E$21&gt;=0,OFFSET($P$4,A23-1-Premissas!$E$21,0),0)*(1-Premissas!$E$20/100),0)</f>
        <v/>
      </c>
      <c r="R23">
        <f>ROUND(F23*Premissas!$E$11+N23*Premissas!$E$31/100,0)+ROUND((E23+B23)*Premissas!$E$10,0)+ROUND(Q23*Premissas!$E$8/100,0)+ROUND(Premissas!$E$35+(B23+C23)*Premissas!$E$36,0)</f>
        <v/>
      </c>
      <c r="S23">
        <f>O23-R23</f>
        <v/>
      </c>
      <c r="T23">
        <f>ROUND(O23*Premissas!$E$9/100,0)</f>
        <v/>
      </c>
      <c r="U23">
        <f>ROUND(AB23*Premissas!$E$33,0)</f>
        <v/>
      </c>
      <c r="V23">
        <f>Premissas!$E$37+ROUND(Premissas!$E$12*Premissas!$E$38+D23*Premissas!$E$27,0)</f>
        <v/>
      </c>
      <c r="W23">
        <f>Premissas!$E$39</f>
        <v/>
      </c>
      <c r="X23">
        <f>S23-T23-ROUND(Premissas!$E$12*Premissas!$E$38+D23*Premissas!$E$27,0)</f>
        <v/>
      </c>
      <c r="Y23">
        <f>O23-R23-T23-U23-V23-W23</f>
        <v/>
      </c>
      <c r="Z23">
        <f>Q23-R23-T23-U23-V23-W23</f>
        <v/>
      </c>
      <c r="AA23">
        <f>AA22+Z23</f>
        <v/>
      </c>
      <c r="AB23">
        <f>Premissas!$E$32+(B23+C23)/Premissas!$E$34</f>
        <v/>
      </c>
      <c r="AC23">
        <f>D23+AC11*(1-Premissas!$E$26/12)^12</f>
        <v/>
      </c>
    </row>
    <row r="24">
      <c r="A24" t="n">
        <v>21</v>
      </c>
      <c r="B24">
        <f>B23*(1-Premissas!$E$18/12)+Premissas!$E$12</f>
        <v/>
      </c>
      <c r="C24">
        <f>IF($B$2=1,C23*(1-Premissas!$E$26/12)+D24,0)</f>
        <v/>
      </c>
      <c r="D24">
        <f>IF(AND($B$2=1,A24&gt;=Premissas!$E$23),Premissas!$E$22,0)</f>
        <v/>
      </c>
      <c r="E24">
        <f>B24*Premissas!$E$28</f>
        <v/>
      </c>
      <c r="F24">
        <f>B24*Premissas!$E$13/12*MIN(1,A24/Premissas!$E$17)</f>
        <v/>
      </c>
      <c r="G24">
        <f>F24*Premissas!$E$14</f>
        <v/>
      </c>
      <c r="H24">
        <f>IF(IF(A24-1-Premissas!$E$16&gt;=0,OFFSET($J$4,A24-1-Premissas!$E$16,0),0)&gt;0,ROUND(IF(A24-1-Premissas!$E$16&gt;=0,OFFSET($J$4,A24-1-Premissas!$E$16,0),0)*10000/Premissas!$E$5*Premissas!$E$15,0),0)</f>
        <v/>
      </c>
      <c r="I24">
        <f>ROUND(G24*Premissas!$E$6/10000,0)</f>
        <v/>
      </c>
      <c r="J24">
        <f>ROUND(G24*Premissas!$E$5/10000,0)</f>
        <v/>
      </c>
      <c r="K24">
        <f>IF(IF(A24-1-Premissas!$E$16&gt;=0,OFFSET($A$4,A24-1-Premissas!$E$16,0)&gt;=Premissas!$E$19,FALSE),ROUND(IF(A24-1-Premissas!$E$16&gt;=0,OFFSET($J$4,A24-1-Premissas!$E$16,0),0)*Premissas!$E$15,0),0)</f>
        <v/>
      </c>
      <c r="L24">
        <f>ROUND(C24*Premissas!$E$24/12,0)</f>
        <v/>
      </c>
      <c r="M24">
        <f>ROUND(D24*Premissas!$E$25,0)</f>
        <v/>
      </c>
      <c r="N24">
        <f>ROUND(E24*Premissas!$E$29+B24*Premissas!$E$30,0)</f>
        <v/>
      </c>
      <c r="O24">
        <f>K24+L24+M24+N24</f>
        <v/>
      </c>
      <c r="P24">
        <f>K24+ROUND(AC24*Premissas!$E$24,0)+M24+N24</f>
        <v/>
      </c>
      <c r="Q24">
        <f>ROUND(IF(A24-1-Premissas!$E$21&gt;=0,OFFSET($P$4,A24-1-Premissas!$E$21,0),0)*(1-Premissas!$E$20/100),0)</f>
        <v/>
      </c>
      <c r="R24">
        <f>ROUND(F24*Premissas!$E$11+N24*Premissas!$E$31/100,0)+ROUND((E24+B24)*Premissas!$E$10,0)+ROUND(Q24*Premissas!$E$8/100,0)+ROUND(Premissas!$E$35+(B24+C24)*Premissas!$E$36,0)</f>
        <v/>
      </c>
      <c r="S24">
        <f>O24-R24</f>
        <v/>
      </c>
      <c r="T24">
        <f>ROUND(O24*Premissas!$E$9/100,0)</f>
        <v/>
      </c>
      <c r="U24">
        <f>ROUND(AB24*Premissas!$E$33,0)</f>
        <v/>
      </c>
      <c r="V24">
        <f>Premissas!$E$37+ROUND(Premissas!$E$12*Premissas!$E$38+D24*Premissas!$E$27,0)</f>
        <v/>
      </c>
      <c r="W24">
        <f>Premissas!$E$39</f>
        <v/>
      </c>
      <c r="X24">
        <f>S24-T24-ROUND(Premissas!$E$12*Premissas!$E$38+D24*Premissas!$E$27,0)</f>
        <v/>
      </c>
      <c r="Y24">
        <f>O24-R24-T24-U24-V24-W24</f>
        <v/>
      </c>
      <c r="Z24">
        <f>Q24-R24-T24-U24-V24-W24</f>
        <v/>
      </c>
      <c r="AA24">
        <f>AA23+Z24</f>
        <v/>
      </c>
      <c r="AB24">
        <f>Premissas!$E$32+(B24+C24)/Premissas!$E$34</f>
        <v/>
      </c>
      <c r="AC24">
        <f>D24+AC12*(1-Premissas!$E$26/12)^12</f>
        <v/>
      </c>
    </row>
    <row r="25">
      <c r="A25" t="n">
        <v>22</v>
      </c>
      <c r="B25">
        <f>B24*(1-Premissas!$E$18/12)+Premissas!$E$12</f>
        <v/>
      </c>
      <c r="C25">
        <f>IF($B$2=1,C24*(1-Premissas!$E$26/12)+D25,0)</f>
        <v/>
      </c>
      <c r="D25">
        <f>IF(AND($B$2=1,A25&gt;=Premissas!$E$23),Premissas!$E$22,0)</f>
        <v/>
      </c>
      <c r="E25">
        <f>B25*Premissas!$E$28</f>
        <v/>
      </c>
      <c r="F25">
        <f>B25*Premissas!$E$13/12*MIN(1,A25/Premissas!$E$17)</f>
        <v/>
      </c>
      <c r="G25">
        <f>F25*Premissas!$E$14</f>
        <v/>
      </c>
      <c r="H25">
        <f>IF(IF(A25-1-Premissas!$E$16&gt;=0,OFFSET($J$4,A25-1-Premissas!$E$16,0),0)&gt;0,ROUND(IF(A25-1-Premissas!$E$16&gt;=0,OFFSET($J$4,A25-1-Premissas!$E$16,0),0)*10000/Premissas!$E$5*Premissas!$E$15,0),0)</f>
        <v/>
      </c>
      <c r="I25">
        <f>ROUND(G25*Premissas!$E$6/10000,0)</f>
        <v/>
      </c>
      <c r="J25">
        <f>ROUND(G25*Premissas!$E$5/10000,0)</f>
        <v/>
      </c>
      <c r="K25">
        <f>IF(IF(A25-1-Premissas!$E$16&gt;=0,OFFSET($A$4,A25-1-Premissas!$E$16,0)&gt;=Premissas!$E$19,FALSE),ROUND(IF(A25-1-Premissas!$E$16&gt;=0,OFFSET($J$4,A25-1-Premissas!$E$16,0),0)*Premissas!$E$15,0),0)</f>
        <v/>
      </c>
      <c r="L25">
        <f>ROUND(C25*Premissas!$E$24/12,0)</f>
        <v/>
      </c>
      <c r="M25">
        <f>ROUND(D25*Premissas!$E$25,0)</f>
        <v/>
      </c>
      <c r="N25">
        <f>ROUND(E25*Premissas!$E$29+B25*Premissas!$E$30,0)</f>
        <v/>
      </c>
      <c r="O25">
        <f>K25+L25+M25+N25</f>
        <v/>
      </c>
      <c r="P25">
        <f>K25+ROUND(AC25*Premissas!$E$24,0)+M25+N25</f>
        <v/>
      </c>
      <c r="Q25">
        <f>ROUND(IF(A25-1-Premissas!$E$21&gt;=0,OFFSET($P$4,A25-1-Premissas!$E$21,0),0)*(1-Premissas!$E$20/100),0)</f>
        <v/>
      </c>
      <c r="R25">
        <f>ROUND(F25*Premissas!$E$11+N25*Premissas!$E$31/100,0)+ROUND((E25+B25)*Premissas!$E$10,0)+ROUND(Q25*Premissas!$E$8/100,0)+ROUND(Premissas!$E$35+(B25+C25)*Premissas!$E$36,0)</f>
        <v/>
      </c>
      <c r="S25">
        <f>O25-R25</f>
        <v/>
      </c>
      <c r="T25">
        <f>ROUND(O25*Premissas!$E$9/100,0)</f>
        <v/>
      </c>
      <c r="U25">
        <f>ROUND(AB25*Premissas!$E$33,0)</f>
        <v/>
      </c>
      <c r="V25">
        <f>Premissas!$E$37+ROUND(Premissas!$E$12*Premissas!$E$38+D25*Premissas!$E$27,0)</f>
        <v/>
      </c>
      <c r="W25">
        <f>Premissas!$E$39</f>
        <v/>
      </c>
      <c r="X25">
        <f>S25-T25-ROUND(Premissas!$E$12*Premissas!$E$38+D25*Premissas!$E$27,0)</f>
        <v/>
      </c>
      <c r="Y25">
        <f>O25-R25-T25-U25-V25-W25</f>
        <v/>
      </c>
      <c r="Z25">
        <f>Q25-R25-T25-U25-V25-W25</f>
        <v/>
      </c>
      <c r="AA25">
        <f>AA24+Z25</f>
        <v/>
      </c>
      <c r="AB25">
        <f>Premissas!$E$32+(B25+C25)/Premissas!$E$34</f>
        <v/>
      </c>
      <c r="AC25">
        <f>D25+AC13*(1-Premissas!$E$26/12)^12</f>
        <v/>
      </c>
    </row>
    <row r="26">
      <c r="A26" t="n">
        <v>23</v>
      </c>
      <c r="B26">
        <f>B25*(1-Premissas!$E$18/12)+Premissas!$E$12</f>
        <v/>
      </c>
      <c r="C26">
        <f>IF($B$2=1,C25*(1-Premissas!$E$26/12)+D26,0)</f>
        <v/>
      </c>
      <c r="D26">
        <f>IF(AND($B$2=1,A26&gt;=Premissas!$E$23),Premissas!$E$22,0)</f>
        <v/>
      </c>
      <c r="E26">
        <f>B26*Premissas!$E$28</f>
        <v/>
      </c>
      <c r="F26">
        <f>B26*Premissas!$E$13/12*MIN(1,A26/Premissas!$E$17)</f>
        <v/>
      </c>
      <c r="G26">
        <f>F26*Premissas!$E$14</f>
        <v/>
      </c>
      <c r="H26">
        <f>IF(IF(A26-1-Premissas!$E$16&gt;=0,OFFSET($J$4,A26-1-Premissas!$E$16,0),0)&gt;0,ROUND(IF(A26-1-Premissas!$E$16&gt;=0,OFFSET($J$4,A26-1-Premissas!$E$16,0),0)*10000/Premissas!$E$5*Premissas!$E$15,0),0)</f>
        <v/>
      </c>
      <c r="I26">
        <f>ROUND(G26*Premissas!$E$6/10000,0)</f>
        <v/>
      </c>
      <c r="J26">
        <f>ROUND(G26*Premissas!$E$5/10000,0)</f>
        <v/>
      </c>
      <c r="K26">
        <f>IF(IF(A26-1-Premissas!$E$16&gt;=0,OFFSET($A$4,A26-1-Premissas!$E$16,0)&gt;=Premissas!$E$19,FALSE),ROUND(IF(A26-1-Premissas!$E$16&gt;=0,OFFSET($J$4,A26-1-Premissas!$E$16,0),0)*Premissas!$E$15,0),0)</f>
        <v/>
      </c>
      <c r="L26">
        <f>ROUND(C26*Premissas!$E$24/12,0)</f>
        <v/>
      </c>
      <c r="M26">
        <f>ROUND(D26*Premissas!$E$25,0)</f>
        <v/>
      </c>
      <c r="N26">
        <f>ROUND(E26*Premissas!$E$29+B26*Premissas!$E$30,0)</f>
        <v/>
      </c>
      <c r="O26">
        <f>K26+L26+M26+N26</f>
        <v/>
      </c>
      <c r="P26">
        <f>K26+ROUND(AC26*Premissas!$E$24,0)+M26+N26</f>
        <v/>
      </c>
      <c r="Q26">
        <f>ROUND(IF(A26-1-Premissas!$E$21&gt;=0,OFFSET($P$4,A26-1-Premissas!$E$21,0),0)*(1-Premissas!$E$20/100),0)</f>
        <v/>
      </c>
      <c r="R26">
        <f>ROUND(F26*Premissas!$E$11+N26*Premissas!$E$31/100,0)+ROUND((E26+B26)*Premissas!$E$10,0)+ROUND(Q26*Premissas!$E$8/100,0)+ROUND(Premissas!$E$35+(B26+C26)*Premissas!$E$36,0)</f>
        <v/>
      </c>
      <c r="S26">
        <f>O26-R26</f>
        <v/>
      </c>
      <c r="T26">
        <f>ROUND(O26*Premissas!$E$9/100,0)</f>
        <v/>
      </c>
      <c r="U26">
        <f>ROUND(AB26*Premissas!$E$33,0)</f>
        <v/>
      </c>
      <c r="V26">
        <f>Premissas!$E$37+ROUND(Premissas!$E$12*Premissas!$E$38+D26*Premissas!$E$27,0)</f>
        <v/>
      </c>
      <c r="W26">
        <f>Premissas!$E$39</f>
        <v/>
      </c>
      <c r="X26">
        <f>S26-T26-ROUND(Premissas!$E$12*Premissas!$E$38+D26*Premissas!$E$27,0)</f>
        <v/>
      </c>
      <c r="Y26">
        <f>O26-R26-T26-U26-V26-W26</f>
        <v/>
      </c>
      <c r="Z26">
        <f>Q26-R26-T26-U26-V26-W26</f>
        <v/>
      </c>
      <c r="AA26">
        <f>AA25+Z26</f>
        <v/>
      </c>
      <c r="AB26">
        <f>Premissas!$E$32+(B26+C26)/Premissas!$E$34</f>
        <v/>
      </c>
      <c r="AC26">
        <f>D26+AC14*(1-Premissas!$E$26/12)^12</f>
        <v/>
      </c>
    </row>
    <row r="27">
      <c r="A27" t="n">
        <v>24</v>
      </c>
      <c r="B27">
        <f>B26*(1-Premissas!$E$18/12)+Premissas!$E$12</f>
        <v/>
      </c>
      <c r="C27">
        <f>IF($B$2=1,C26*(1-Premissas!$E$26/12)+D27,0)</f>
        <v/>
      </c>
      <c r="D27">
        <f>IF(AND($B$2=1,A27&gt;=Premissas!$E$23),Premissas!$E$22,0)</f>
        <v/>
      </c>
      <c r="E27">
        <f>B27*Premissas!$E$28</f>
        <v/>
      </c>
      <c r="F27">
        <f>B27*Premissas!$E$13/12*MIN(1,A27/Premissas!$E$17)</f>
        <v/>
      </c>
      <c r="G27">
        <f>F27*Premissas!$E$14</f>
        <v/>
      </c>
      <c r="H27">
        <f>IF(IF(A27-1-Premissas!$E$16&gt;=0,OFFSET($J$4,A27-1-Premissas!$E$16,0),0)&gt;0,ROUND(IF(A27-1-Premissas!$E$16&gt;=0,OFFSET($J$4,A27-1-Premissas!$E$16,0),0)*10000/Premissas!$E$5*Premissas!$E$15,0),0)</f>
        <v/>
      </c>
      <c r="I27">
        <f>ROUND(G27*Premissas!$E$6/10000,0)</f>
        <v/>
      </c>
      <c r="J27">
        <f>ROUND(G27*Premissas!$E$5/10000,0)</f>
        <v/>
      </c>
      <c r="K27">
        <f>IF(IF(A27-1-Premissas!$E$16&gt;=0,OFFSET($A$4,A27-1-Premissas!$E$16,0)&gt;=Premissas!$E$19,FALSE),ROUND(IF(A27-1-Premissas!$E$16&gt;=0,OFFSET($J$4,A27-1-Premissas!$E$16,0),0)*Premissas!$E$15,0),0)</f>
        <v/>
      </c>
      <c r="L27">
        <f>ROUND(C27*Premissas!$E$24/12,0)</f>
        <v/>
      </c>
      <c r="M27">
        <f>ROUND(D27*Premissas!$E$25,0)</f>
        <v/>
      </c>
      <c r="N27">
        <f>ROUND(E27*Premissas!$E$29+B27*Premissas!$E$30,0)</f>
        <v/>
      </c>
      <c r="O27">
        <f>K27+L27+M27+N27</f>
        <v/>
      </c>
      <c r="P27">
        <f>K27+ROUND(AC27*Premissas!$E$24,0)+M27+N27</f>
        <v/>
      </c>
      <c r="Q27">
        <f>ROUND(IF(A27-1-Premissas!$E$21&gt;=0,OFFSET($P$4,A27-1-Premissas!$E$21,0),0)*(1-Premissas!$E$20/100),0)</f>
        <v/>
      </c>
      <c r="R27">
        <f>ROUND(F27*Premissas!$E$11+N27*Premissas!$E$31/100,0)+ROUND((E27+B27)*Premissas!$E$10,0)+ROUND(Q27*Premissas!$E$8/100,0)+ROUND(Premissas!$E$35+(B27+C27)*Premissas!$E$36,0)</f>
        <v/>
      </c>
      <c r="S27">
        <f>O27-R27</f>
        <v/>
      </c>
      <c r="T27">
        <f>ROUND(O27*Premissas!$E$9/100,0)</f>
        <v/>
      </c>
      <c r="U27">
        <f>ROUND(AB27*Premissas!$E$33,0)</f>
        <v/>
      </c>
      <c r="V27">
        <f>Premissas!$E$37+ROUND(Premissas!$E$12*Premissas!$E$38+D27*Premissas!$E$27,0)</f>
        <v/>
      </c>
      <c r="W27">
        <f>Premissas!$E$39</f>
        <v/>
      </c>
      <c r="X27">
        <f>S27-T27-ROUND(Premissas!$E$12*Premissas!$E$38+D27*Premissas!$E$27,0)</f>
        <v/>
      </c>
      <c r="Y27">
        <f>O27-R27-T27-U27-V27-W27</f>
        <v/>
      </c>
      <c r="Z27">
        <f>Q27-R27-T27-U27-V27-W27</f>
        <v/>
      </c>
      <c r="AA27">
        <f>AA26+Z27</f>
        <v/>
      </c>
      <c r="AB27">
        <f>Premissas!$E$32+(B27+C27)/Premissas!$E$34</f>
        <v/>
      </c>
      <c r="AC27">
        <f>D27+AC15*(1-Premissas!$E$26/12)^12</f>
        <v/>
      </c>
    </row>
    <row r="28">
      <c r="A28" t="n">
        <v>25</v>
      </c>
      <c r="B28">
        <f>B27*(1-Premissas!$E$18/12)+Premissas!$E$12</f>
        <v/>
      </c>
      <c r="C28">
        <f>IF($B$2=1,C27*(1-Premissas!$E$26/12)+D28,0)</f>
        <v/>
      </c>
      <c r="D28">
        <f>IF(AND($B$2=1,A28&gt;=Premissas!$E$23),Premissas!$E$22,0)</f>
        <v/>
      </c>
      <c r="E28">
        <f>B28*Premissas!$E$28</f>
        <v/>
      </c>
      <c r="F28">
        <f>B28*Premissas!$E$13/12*MIN(1,A28/Premissas!$E$17)</f>
        <v/>
      </c>
      <c r="G28">
        <f>F28*Premissas!$E$14</f>
        <v/>
      </c>
      <c r="H28">
        <f>IF(IF(A28-1-Premissas!$E$16&gt;=0,OFFSET($J$4,A28-1-Premissas!$E$16,0),0)&gt;0,ROUND(IF(A28-1-Premissas!$E$16&gt;=0,OFFSET($J$4,A28-1-Premissas!$E$16,0),0)*10000/Premissas!$E$5*Premissas!$E$15,0),0)</f>
        <v/>
      </c>
      <c r="I28">
        <f>ROUND(G28*Premissas!$E$6/10000,0)</f>
        <v/>
      </c>
      <c r="J28">
        <f>ROUND(G28*Premissas!$E$5/10000,0)</f>
        <v/>
      </c>
      <c r="K28">
        <f>IF(IF(A28-1-Premissas!$E$16&gt;=0,OFFSET($A$4,A28-1-Premissas!$E$16,0)&gt;=Premissas!$E$19,FALSE),ROUND(IF(A28-1-Premissas!$E$16&gt;=0,OFFSET($J$4,A28-1-Premissas!$E$16,0),0)*Premissas!$E$15,0),0)</f>
        <v/>
      </c>
      <c r="L28">
        <f>ROUND(C28*Premissas!$E$24/12,0)</f>
        <v/>
      </c>
      <c r="M28">
        <f>ROUND(D28*Premissas!$E$25,0)</f>
        <v/>
      </c>
      <c r="N28">
        <f>ROUND(E28*Premissas!$E$29+B28*Premissas!$E$30,0)</f>
        <v/>
      </c>
      <c r="O28">
        <f>K28+L28+M28+N28</f>
        <v/>
      </c>
      <c r="P28">
        <f>K28+ROUND(AC28*Premissas!$E$24,0)+M28+N28</f>
        <v/>
      </c>
      <c r="Q28">
        <f>ROUND(IF(A28-1-Premissas!$E$21&gt;=0,OFFSET($P$4,A28-1-Premissas!$E$21,0),0)*(1-Premissas!$E$20/100),0)</f>
        <v/>
      </c>
      <c r="R28">
        <f>ROUND(F28*Premissas!$E$11+N28*Premissas!$E$31/100,0)+ROUND((E28+B28)*Premissas!$E$10,0)+ROUND(Q28*Premissas!$E$8/100,0)+ROUND(Premissas!$E$35+(B28+C28)*Premissas!$E$36,0)</f>
        <v/>
      </c>
      <c r="S28">
        <f>O28-R28</f>
        <v/>
      </c>
      <c r="T28">
        <f>ROUND(O28*Premissas!$E$9/100,0)</f>
        <v/>
      </c>
      <c r="U28">
        <f>ROUND(AB28*Premissas!$E$33,0)</f>
        <v/>
      </c>
      <c r="V28">
        <f>Premissas!$E$37+ROUND(Premissas!$E$12*Premissas!$E$38+D28*Premissas!$E$27,0)</f>
        <v/>
      </c>
      <c r="W28">
        <f>Premissas!$E$39</f>
        <v/>
      </c>
      <c r="X28">
        <f>S28-T28-ROUND(Premissas!$E$12*Premissas!$E$38+D28*Premissas!$E$27,0)</f>
        <v/>
      </c>
      <c r="Y28">
        <f>O28-R28-T28-U28-V28-W28</f>
        <v/>
      </c>
      <c r="Z28">
        <f>Q28-R28-T28-U28-V28-W28</f>
        <v/>
      </c>
      <c r="AA28">
        <f>AA27+Z28</f>
        <v/>
      </c>
      <c r="AB28">
        <f>Premissas!$E$32+(B28+C28)/Premissas!$E$34</f>
        <v/>
      </c>
      <c r="AC28">
        <f>D28+AC16*(1-Premissas!$E$26/12)^12</f>
        <v/>
      </c>
    </row>
    <row r="29">
      <c r="A29" t="n">
        <v>26</v>
      </c>
      <c r="B29">
        <f>B28*(1-Premissas!$E$18/12)+Premissas!$E$12</f>
        <v/>
      </c>
      <c r="C29">
        <f>IF($B$2=1,C28*(1-Premissas!$E$26/12)+D29,0)</f>
        <v/>
      </c>
      <c r="D29">
        <f>IF(AND($B$2=1,A29&gt;=Premissas!$E$23),Premissas!$E$22,0)</f>
        <v/>
      </c>
      <c r="E29">
        <f>B29*Premissas!$E$28</f>
        <v/>
      </c>
      <c r="F29">
        <f>B29*Premissas!$E$13/12*MIN(1,A29/Premissas!$E$17)</f>
        <v/>
      </c>
      <c r="G29">
        <f>F29*Premissas!$E$14</f>
        <v/>
      </c>
      <c r="H29">
        <f>IF(IF(A29-1-Premissas!$E$16&gt;=0,OFFSET($J$4,A29-1-Premissas!$E$16,0),0)&gt;0,ROUND(IF(A29-1-Premissas!$E$16&gt;=0,OFFSET($J$4,A29-1-Premissas!$E$16,0),0)*10000/Premissas!$E$5*Premissas!$E$15,0),0)</f>
        <v/>
      </c>
      <c r="I29">
        <f>ROUND(G29*Premissas!$E$6/10000,0)</f>
        <v/>
      </c>
      <c r="J29">
        <f>ROUND(G29*Premissas!$E$5/10000,0)</f>
        <v/>
      </c>
      <c r="K29">
        <f>IF(IF(A29-1-Premissas!$E$16&gt;=0,OFFSET($A$4,A29-1-Premissas!$E$16,0)&gt;=Premissas!$E$19,FALSE),ROUND(IF(A29-1-Premissas!$E$16&gt;=0,OFFSET($J$4,A29-1-Premissas!$E$16,0),0)*Premissas!$E$15,0),0)</f>
        <v/>
      </c>
      <c r="L29">
        <f>ROUND(C29*Premissas!$E$24/12,0)</f>
        <v/>
      </c>
      <c r="M29">
        <f>ROUND(D29*Premissas!$E$25,0)</f>
        <v/>
      </c>
      <c r="N29">
        <f>ROUND(E29*Premissas!$E$29+B29*Premissas!$E$30,0)</f>
        <v/>
      </c>
      <c r="O29">
        <f>K29+L29+M29+N29</f>
        <v/>
      </c>
      <c r="P29">
        <f>K29+ROUND(AC29*Premissas!$E$24,0)+M29+N29</f>
        <v/>
      </c>
      <c r="Q29">
        <f>ROUND(IF(A29-1-Premissas!$E$21&gt;=0,OFFSET($P$4,A29-1-Premissas!$E$21,0),0)*(1-Premissas!$E$20/100),0)</f>
        <v/>
      </c>
      <c r="R29">
        <f>ROUND(F29*Premissas!$E$11+N29*Premissas!$E$31/100,0)+ROUND((E29+B29)*Premissas!$E$10,0)+ROUND(Q29*Premissas!$E$8/100,0)+ROUND(Premissas!$E$35+(B29+C29)*Premissas!$E$36,0)</f>
        <v/>
      </c>
      <c r="S29">
        <f>O29-R29</f>
        <v/>
      </c>
      <c r="T29">
        <f>ROUND(O29*Premissas!$E$9/100,0)</f>
        <v/>
      </c>
      <c r="U29">
        <f>ROUND(AB29*Premissas!$E$33,0)</f>
        <v/>
      </c>
      <c r="V29">
        <f>Premissas!$E$37+ROUND(Premissas!$E$12*Premissas!$E$38+D29*Premissas!$E$27,0)</f>
        <v/>
      </c>
      <c r="W29">
        <f>Premissas!$E$39</f>
        <v/>
      </c>
      <c r="X29">
        <f>S29-T29-ROUND(Premissas!$E$12*Premissas!$E$38+D29*Premissas!$E$27,0)</f>
        <v/>
      </c>
      <c r="Y29">
        <f>O29-R29-T29-U29-V29-W29</f>
        <v/>
      </c>
      <c r="Z29">
        <f>Q29-R29-T29-U29-V29-W29</f>
        <v/>
      </c>
      <c r="AA29">
        <f>AA28+Z29</f>
        <v/>
      </c>
      <c r="AB29">
        <f>Premissas!$E$32+(B29+C29)/Premissas!$E$34</f>
        <v/>
      </c>
      <c r="AC29">
        <f>D29+AC17*(1-Premissas!$E$26/12)^12</f>
        <v/>
      </c>
    </row>
    <row r="30">
      <c r="A30" t="n">
        <v>27</v>
      </c>
      <c r="B30">
        <f>B29*(1-Premissas!$E$18/12)+Premissas!$E$12</f>
        <v/>
      </c>
      <c r="C30">
        <f>IF($B$2=1,C29*(1-Premissas!$E$26/12)+D30,0)</f>
        <v/>
      </c>
      <c r="D30">
        <f>IF(AND($B$2=1,A30&gt;=Premissas!$E$23),Premissas!$E$22,0)</f>
        <v/>
      </c>
      <c r="E30">
        <f>B30*Premissas!$E$28</f>
        <v/>
      </c>
      <c r="F30">
        <f>B30*Premissas!$E$13/12*MIN(1,A30/Premissas!$E$17)</f>
        <v/>
      </c>
      <c r="G30">
        <f>F30*Premissas!$E$14</f>
        <v/>
      </c>
      <c r="H30">
        <f>IF(IF(A30-1-Premissas!$E$16&gt;=0,OFFSET($J$4,A30-1-Premissas!$E$16,0),0)&gt;0,ROUND(IF(A30-1-Premissas!$E$16&gt;=0,OFFSET($J$4,A30-1-Premissas!$E$16,0),0)*10000/Premissas!$E$5*Premissas!$E$15,0),0)</f>
        <v/>
      </c>
      <c r="I30">
        <f>ROUND(G30*Premissas!$E$6/10000,0)</f>
        <v/>
      </c>
      <c r="J30">
        <f>ROUND(G30*Premissas!$E$5/10000,0)</f>
        <v/>
      </c>
      <c r="K30">
        <f>IF(IF(A30-1-Premissas!$E$16&gt;=0,OFFSET($A$4,A30-1-Premissas!$E$16,0)&gt;=Premissas!$E$19,FALSE),ROUND(IF(A30-1-Premissas!$E$16&gt;=0,OFFSET($J$4,A30-1-Premissas!$E$16,0),0)*Premissas!$E$15,0),0)</f>
        <v/>
      </c>
      <c r="L30">
        <f>ROUND(C30*Premissas!$E$24/12,0)</f>
        <v/>
      </c>
      <c r="M30">
        <f>ROUND(D30*Premissas!$E$25,0)</f>
        <v/>
      </c>
      <c r="N30">
        <f>ROUND(E30*Premissas!$E$29+B30*Premissas!$E$30,0)</f>
        <v/>
      </c>
      <c r="O30">
        <f>K30+L30+M30+N30</f>
        <v/>
      </c>
      <c r="P30">
        <f>K30+ROUND(AC30*Premissas!$E$24,0)+M30+N30</f>
        <v/>
      </c>
      <c r="Q30">
        <f>ROUND(IF(A30-1-Premissas!$E$21&gt;=0,OFFSET($P$4,A30-1-Premissas!$E$21,0),0)*(1-Premissas!$E$20/100),0)</f>
        <v/>
      </c>
      <c r="R30">
        <f>ROUND(F30*Premissas!$E$11+N30*Premissas!$E$31/100,0)+ROUND((E30+B30)*Premissas!$E$10,0)+ROUND(Q30*Premissas!$E$8/100,0)+ROUND(Premissas!$E$35+(B30+C30)*Premissas!$E$36,0)</f>
        <v/>
      </c>
      <c r="S30">
        <f>O30-R30</f>
        <v/>
      </c>
      <c r="T30">
        <f>ROUND(O30*Premissas!$E$9/100,0)</f>
        <v/>
      </c>
      <c r="U30">
        <f>ROUND(AB30*Premissas!$E$33,0)</f>
        <v/>
      </c>
      <c r="V30">
        <f>Premissas!$E$37+ROUND(Premissas!$E$12*Premissas!$E$38+D30*Premissas!$E$27,0)</f>
        <v/>
      </c>
      <c r="W30">
        <f>Premissas!$E$39</f>
        <v/>
      </c>
      <c r="X30">
        <f>S30-T30-ROUND(Premissas!$E$12*Premissas!$E$38+D30*Premissas!$E$27,0)</f>
        <v/>
      </c>
      <c r="Y30">
        <f>O30-R30-T30-U30-V30-W30</f>
        <v/>
      </c>
      <c r="Z30">
        <f>Q30-R30-T30-U30-V30-W30</f>
        <v/>
      </c>
      <c r="AA30">
        <f>AA29+Z30</f>
        <v/>
      </c>
      <c r="AB30">
        <f>Premissas!$E$32+(B30+C30)/Premissas!$E$34</f>
        <v/>
      </c>
      <c r="AC30">
        <f>D30+AC18*(1-Premissas!$E$26/12)^12</f>
        <v/>
      </c>
    </row>
    <row r="31">
      <c r="A31" t="n">
        <v>28</v>
      </c>
      <c r="B31">
        <f>B30*(1-Premissas!$E$18/12)+Premissas!$E$12</f>
        <v/>
      </c>
      <c r="C31">
        <f>IF($B$2=1,C30*(1-Premissas!$E$26/12)+D31,0)</f>
        <v/>
      </c>
      <c r="D31">
        <f>IF(AND($B$2=1,A31&gt;=Premissas!$E$23),Premissas!$E$22,0)</f>
        <v/>
      </c>
      <c r="E31">
        <f>B31*Premissas!$E$28</f>
        <v/>
      </c>
      <c r="F31">
        <f>B31*Premissas!$E$13/12*MIN(1,A31/Premissas!$E$17)</f>
        <v/>
      </c>
      <c r="G31">
        <f>F31*Premissas!$E$14</f>
        <v/>
      </c>
      <c r="H31">
        <f>IF(IF(A31-1-Premissas!$E$16&gt;=0,OFFSET($J$4,A31-1-Premissas!$E$16,0),0)&gt;0,ROUND(IF(A31-1-Premissas!$E$16&gt;=0,OFFSET($J$4,A31-1-Premissas!$E$16,0),0)*10000/Premissas!$E$5*Premissas!$E$15,0),0)</f>
        <v/>
      </c>
      <c r="I31">
        <f>ROUND(G31*Premissas!$E$6/10000,0)</f>
        <v/>
      </c>
      <c r="J31">
        <f>ROUND(G31*Premissas!$E$5/10000,0)</f>
        <v/>
      </c>
      <c r="K31">
        <f>IF(IF(A31-1-Premissas!$E$16&gt;=0,OFFSET($A$4,A31-1-Premissas!$E$16,0)&gt;=Premissas!$E$19,FALSE),ROUND(IF(A31-1-Premissas!$E$16&gt;=0,OFFSET($J$4,A31-1-Premissas!$E$16,0),0)*Premissas!$E$15,0),0)</f>
        <v/>
      </c>
      <c r="L31">
        <f>ROUND(C31*Premissas!$E$24/12,0)</f>
        <v/>
      </c>
      <c r="M31">
        <f>ROUND(D31*Premissas!$E$25,0)</f>
        <v/>
      </c>
      <c r="N31">
        <f>ROUND(E31*Premissas!$E$29+B31*Premissas!$E$30,0)</f>
        <v/>
      </c>
      <c r="O31">
        <f>K31+L31+M31+N31</f>
        <v/>
      </c>
      <c r="P31">
        <f>K31+ROUND(AC31*Premissas!$E$24,0)+M31+N31</f>
        <v/>
      </c>
      <c r="Q31">
        <f>ROUND(IF(A31-1-Premissas!$E$21&gt;=0,OFFSET($P$4,A31-1-Premissas!$E$21,0),0)*(1-Premissas!$E$20/100),0)</f>
        <v/>
      </c>
      <c r="R31">
        <f>ROUND(F31*Premissas!$E$11+N31*Premissas!$E$31/100,0)+ROUND((E31+B31)*Premissas!$E$10,0)+ROUND(Q31*Premissas!$E$8/100,0)+ROUND(Premissas!$E$35+(B31+C31)*Premissas!$E$36,0)</f>
        <v/>
      </c>
      <c r="S31">
        <f>O31-R31</f>
        <v/>
      </c>
      <c r="T31">
        <f>ROUND(O31*Premissas!$E$9/100,0)</f>
        <v/>
      </c>
      <c r="U31">
        <f>ROUND(AB31*Premissas!$E$33,0)</f>
        <v/>
      </c>
      <c r="V31">
        <f>Premissas!$E$37+ROUND(Premissas!$E$12*Premissas!$E$38+D31*Premissas!$E$27,0)</f>
        <v/>
      </c>
      <c r="W31">
        <f>Premissas!$E$39</f>
        <v/>
      </c>
      <c r="X31">
        <f>S31-T31-ROUND(Premissas!$E$12*Premissas!$E$38+D31*Premissas!$E$27,0)</f>
        <v/>
      </c>
      <c r="Y31">
        <f>O31-R31-T31-U31-V31-W31</f>
        <v/>
      </c>
      <c r="Z31">
        <f>Q31-R31-T31-U31-V31-W31</f>
        <v/>
      </c>
      <c r="AA31">
        <f>AA30+Z31</f>
        <v/>
      </c>
      <c r="AB31">
        <f>Premissas!$E$32+(B31+C31)/Premissas!$E$34</f>
        <v/>
      </c>
      <c r="AC31">
        <f>D31+AC19*(1-Premissas!$E$26/12)^12</f>
        <v/>
      </c>
    </row>
    <row r="32">
      <c r="A32" t="n">
        <v>29</v>
      </c>
      <c r="B32">
        <f>B31*(1-Premissas!$E$18/12)+Premissas!$E$12</f>
        <v/>
      </c>
      <c r="C32">
        <f>IF($B$2=1,C31*(1-Premissas!$E$26/12)+D32,0)</f>
        <v/>
      </c>
      <c r="D32">
        <f>IF(AND($B$2=1,A32&gt;=Premissas!$E$23),Premissas!$E$22,0)</f>
        <v/>
      </c>
      <c r="E32">
        <f>B32*Premissas!$E$28</f>
        <v/>
      </c>
      <c r="F32">
        <f>B32*Premissas!$E$13/12*MIN(1,A32/Premissas!$E$17)</f>
        <v/>
      </c>
      <c r="G32">
        <f>F32*Premissas!$E$14</f>
        <v/>
      </c>
      <c r="H32">
        <f>IF(IF(A32-1-Premissas!$E$16&gt;=0,OFFSET($J$4,A32-1-Premissas!$E$16,0),0)&gt;0,ROUND(IF(A32-1-Premissas!$E$16&gt;=0,OFFSET($J$4,A32-1-Premissas!$E$16,0),0)*10000/Premissas!$E$5*Premissas!$E$15,0),0)</f>
        <v/>
      </c>
      <c r="I32">
        <f>ROUND(G32*Premissas!$E$6/10000,0)</f>
        <v/>
      </c>
      <c r="J32">
        <f>ROUND(G32*Premissas!$E$5/10000,0)</f>
        <v/>
      </c>
      <c r="K32">
        <f>IF(IF(A32-1-Premissas!$E$16&gt;=0,OFFSET($A$4,A32-1-Premissas!$E$16,0)&gt;=Premissas!$E$19,FALSE),ROUND(IF(A32-1-Premissas!$E$16&gt;=0,OFFSET($J$4,A32-1-Premissas!$E$16,0),0)*Premissas!$E$15,0),0)</f>
        <v/>
      </c>
      <c r="L32">
        <f>ROUND(C32*Premissas!$E$24/12,0)</f>
        <v/>
      </c>
      <c r="M32">
        <f>ROUND(D32*Premissas!$E$25,0)</f>
        <v/>
      </c>
      <c r="N32">
        <f>ROUND(E32*Premissas!$E$29+B32*Premissas!$E$30,0)</f>
        <v/>
      </c>
      <c r="O32">
        <f>K32+L32+M32+N32</f>
        <v/>
      </c>
      <c r="P32">
        <f>K32+ROUND(AC32*Premissas!$E$24,0)+M32+N32</f>
        <v/>
      </c>
      <c r="Q32">
        <f>ROUND(IF(A32-1-Premissas!$E$21&gt;=0,OFFSET($P$4,A32-1-Premissas!$E$21,0),0)*(1-Premissas!$E$20/100),0)</f>
        <v/>
      </c>
      <c r="R32">
        <f>ROUND(F32*Premissas!$E$11+N32*Premissas!$E$31/100,0)+ROUND((E32+B32)*Premissas!$E$10,0)+ROUND(Q32*Premissas!$E$8/100,0)+ROUND(Premissas!$E$35+(B32+C32)*Premissas!$E$36,0)</f>
        <v/>
      </c>
      <c r="S32">
        <f>O32-R32</f>
        <v/>
      </c>
      <c r="T32">
        <f>ROUND(O32*Premissas!$E$9/100,0)</f>
        <v/>
      </c>
      <c r="U32">
        <f>ROUND(AB32*Premissas!$E$33,0)</f>
        <v/>
      </c>
      <c r="V32">
        <f>Premissas!$E$37+ROUND(Premissas!$E$12*Premissas!$E$38+D32*Premissas!$E$27,0)</f>
        <v/>
      </c>
      <c r="W32">
        <f>Premissas!$E$39</f>
        <v/>
      </c>
      <c r="X32">
        <f>S32-T32-ROUND(Premissas!$E$12*Premissas!$E$38+D32*Premissas!$E$27,0)</f>
        <v/>
      </c>
      <c r="Y32">
        <f>O32-R32-T32-U32-V32-W32</f>
        <v/>
      </c>
      <c r="Z32">
        <f>Q32-R32-T32-U32-V32-W32</f>
        <v/>
      </c>
      <c r="AA32">
        <f>AA31+Z32</f>
        <v/>
      </c>
      <c r="AB32">
        <f>Premissas!$E$32+(B32+C32)/Premissas!$E$34</f>
        <v/>
      </c>
      <c r="AC32">
        <f>D32+AC20*(1-Premissas!$E$26/12)^12</f>
        <v/>
      </c>
    </row>
    <row r="33">
      <c r="A33" t="n">
        <v>30</v>
      </c>
      <c r="B33">
        <f>B32*(1-Premissas!$E$18/12)+Premissas!$E$12</f>
        <v/>
      </c>
      <c r="C33">
        <f>IF($B$2=1,C32*(1-Premissas!$E$26/12)+D33,0)</f>
        <v/>
      </c>
      <c r="D33">
        <f>IF(AND($B$2=1,A33&gt;=Premissas!$E$23),Premissas!$E$22,0)</f>
        <v/>
      </c>
      <c r="E33">
        <f>B33*Premissas!$E$28</f>
        <v/>
      </c>
      <c r="F33">
        <f>B33*Premissas!$E$13/12*MIN(1,A33/Premissas!$E$17)</f>
        <v/>
      </c>
      <c r="G33">
        <f>F33*Premissas!$E$14</f>
        <v/>
      </c>
      <c r="H33">
        <f>IF(IF(A33-1-Premissas!$E$16&gt;=0,OFFSET($J$4,A33-1-Premissas!$E$16,0),0)&gt;0,ROUND(IF(A33-1-Premissas!$E$16&gt;=0,OFFSET($J$4,A33-1-Premissas!$E$16,0),0)*10000/Premissas!$E$5*Premissas!$E$15,0),0)</f>
        <v/>
      </c>
      <c r="I33">
        <f>ROUND(G33*Premissas!$E$6/10000,0)</f>
        <v/>
      </c>
      <c r="J33">
        <f>ROUND(G33*Premissas!$E$5/10000,0)</f>
        <v/>
      </c>
      <c r="K33">
        <f>IF(IF(A33-1-Premissas!$E$16&gt;=0,OFFSET($A$4,A33-1-Premissas!$E$16,0)&gt;=Premissas!$E$19,FALSE),ROUND(IF(A33-1-Premissas!$E$16&gt;=0,OFFSET($J$4,A33-1-Premissas!$E$16,0),0)*Premissas!$E$15,0),0)</f>
        <v/>
      </c>
      <c r="L33">
        <f>ROUND(C33*Premissas!$E$24/12,0)</f>
        <v/>
      </c>
      <c r="M33">
        <f>ROUND(D33*Premissas!$E$25,0)</f>
        <v/>
      </c>
      <c r="N33">
        <f>ROUND(E33*Premissas!$E$29+B33*Premissas!$E$30,0)</f>
        <v/>
      </c>
      <c r="O33">
        <f>K33+L33+M33+N33</f>
        <v/>
      </c>
      <c r="P33">
        <f>K33+ROUND(AC33*Premissas!$E$24,0)+M33+N33</f>
        <v/>
      </c>
      <c r="Q33">
        <f>ROUND(IF(A33-1-Premissas!$E$21&gt;=0,OFFSET($P$4,A33-1-Premissas!$E$21,0),0)*(1-Premissas!$E$20/100),0)</f>
        <v/>
      </c>
      <c r="R33">
        <f>ROUND(F33*Premissas!$E$11+N33*Premissas!$E$31/100,0)+ROUND((E33+B33)*Premissas!$E$10,0)+ROUND(Q33*Premissas!$E$8/100,0)+ROUND(Premissas!$E$35+(B33+C33)*Premissas!$E$36,0)</f>
        <v/>
      </c>
      <c r="S33">
        <f>O33-R33</f>
        <v/>
      </c>
      <c r="T33">
        <f>ROUND(O33*Premissas!$E$9/100,0)</f>
        <v/>
      </c>
      <c r="U33">
        <f>ROUND(AB33*Premissas!$E$33,0)</f>
        <v/>
      </c>
      <c r="V33">
        <f>Premissas!$E$37+ROUND(Premissas!$E$12*Premissas!$E$38+D33*Premissas!$E$27,0)</f>
        <v/>
      </c>
      <c r="W33">
        <f>Premissas!$E$39</f>
        <v/>
      </c>
      <c r="X33">
        <f>S33-T33-ROUND(Premissas!$E$12*Premissas!$E$38+D33*Premissas!$E$27,0)</f>
        <v/>
      </c>
      <c r="Y33">
        <f>O33-R33-T33-U33-V33-W33</f>
        <v/>
      </c>
      <c r="Z33">
        <f>Q33-R33-T33-U33-V33-W33</f>
        <v/>
      </c>
      <c r="AA33">
        <f>AA32+Z33</f>
        <v/>
      </c>
      <c r="AB33">
        <f>Premissas!$E$32+(B33+C33)/Premissas!$E$34</f>
        <v/>
      </c>
      <c r="AC33">
        <f>D33+AC21*(1-Premissas!$E$26/12)^12</f>
        <v/>
      </c>
    </row>
    <row r="34">
      <c r="A34" t="n">
        <v>31</v>
      </c>
      <c r="B34">
        <f>B33*(1-Premissas!$E$18/12)+Premissas!$E$12</f>
        <v/>
      </c>
      <c r="C34">
        <f>IF($B$2=1,C33*(1-Premissas!$E$26/12)+D34,0)</f>
        <v/>
      </c>
      <c r="D34">
        <f>IF(AND($B$2=1,A34&gt;=Premissas!$E$23),Premissas!$E$22,0)</f>
        <v/>
      </c>
      <c r="E34">
        <f>B34*Premissas!$E$28</f>
        <v/>
      </c>
      <c r="F34">
        <f>B34*Premissas!$E$13/12*MIN(1,A34/Premissas!$E$17)</f>
        <v/>
      </c>
      <c r="G34">
        <f>F34*Premissas!$E$14</f>
        <v/>
      </c>
      <c r="H34">
        <f>IF(IF(A34-1-Premissas!$E$16&gt;=0,OFFSET($J$4,A34-1-Premissas!$E$16,0),0)&gt;0,ROUND(IF(A34-1-Premissas!$E$16&gt;=0,OFFSET($J$4,A34-1-Premissas!$E$16,0),0)*10000/Premissas!$E$5*Premissas!$E$15,0),0)</f>
        <v/>
      </c>
      <c r="I34">
        <f>ROUND(G34*Premissas!$E$6/10000,0)</f>
        <v/>
      </c>
      <c r="J34">
        <f>ROUND(G34*Premissas!$E$5/10000,0)</f>
        <v/>
      </c>
      <c r="K34">
        <f>IF(IF(A34-1-Premissas!$E$16&gt;=0,OFFSET($A$4,A34-1-Premissas!$E$16,0)&gt;=Premissas!$E$19,FALSE),ROUND(IF(A34-1-Premissas!$E$16&gt;=0,OFFSET($J$4,A34-1-Premissas!$E$16,0),0)*Premissas!$E$15,0),0)</f>
        <v/>
      </c>
      <c r="L34">
        <f>ROUND(C34*Premissas!$E$24/12,0)</f>
        <v/>
      </c>
      <c r="M34">
        <f>ROUND(D34*Premissas!$E$25,0)</f>
        <v/>
      </c>
      <c r="N34">
        <f>ROUND(E34*Premissas!$E$29+B34*Premissas!$E$30,0)</f>
        <v/>
      </c>
      <c r="O34">
        <f>K34+L34+M34+N34</f>
        <v/>
      </c>
      <c r="P34">
        <f>K34+ROUND(AC34*Premissas!$E$24,0)+M34+N34</f>
        <v/>
      </c>
      <c r="Q34">
        <f>ROUND(IF(A34-1-Premissas!$E$21&gt;=0,OFFSET($P$4,A34-1-Premissas!$E$21,0),0)*(1-Premissas!$E$20/100),0)</f>
        <v/>
      </c>
      <c r="R34">
        <f>ROUND(F34*Premissas!$E$11+N34*Premissas!$E$31/100,0)+ROUND((E34+B34)*Premissas!$E$10,0)+ROUND(Q34*Premissas!$E$8/100,0)+ROUND(Premissas!$E$35+(B34+C34)*Premissas!$E$36,0)</f>
        <v/>
      </c>
      <c r="S34">
        <f>O34-R34</f>
        <v/>
      </c>
      <c r="T34">
        <f>ROUND(O34*Premissas!$E$9/100,0)</f>
        <v/>
      </c>
      <c r="U34">
        <f>ROUND(AB34*Premissas!$E$33,0)</f>
        <v/>
      </c>
      <c r="V34">
        <f>Premissas!$E$37+ROUND(Premissas!$E$12*Premissas!$E$38+D34*Premissas!$E$27,0)</f>
        <v/>
      </c>
      <c r="W34">
        <f>Premissas!$E$39</f>
        <v/>
      </c>
      <c r="X34">
        <f>S34-T34-ROUND(Premissas!$E$12*Premissas!$E$38+D34*Premissas!$E$27,0)</f>
        <v/>
      </c>
      <c r="Y34">
        <f>O34-R34-T34-U34-V34-W34</f>
        <v/>
      </c>
      <c r="Z34">
        <f>Q34-R34-T34-U34-V34-W34</f>
        <v/>
      </c>
      <c r="AA34">
        <f>AA33+Z34</f>
        <v/>
      </c>
      <c r="AB34">
        <f>Premissas!$E$32+(B34+C34)/Premissas!$E$34</f>
        <v/>
      </c>
      <c r="AC34">
        <f>D34+AC22*(1-Premissas!$E$26/12)^12</f>
        <v/>
      </c>
    </row>
    <row r="35">
      <c r="A35" t="n">
        <v>32</v>
      </c>
      <c r="B35">
        <f>B34*(1-Premissas!$E$18/12)+Premissas!$E$12</f>
        <v/>
      </c>
      <c r="C35">
        <f>IF($B$2=1,C34*(1-Premissas!$E$26/12)+D35,0)</f>
        <v/>
      </c>
      <c r="D35">
        <f>IF(AND($B$2=1,A35&gt;=Premissas!$E$23),Premissas!$E$22,0)</f>
        <v/>
      </c>
      <c r="E35">
        <f>B35*Premissas!$E$28</f>
        <v/>
      </c>
      <c r="F35">
        <f>B35*Premissas!$E$13/12*MIN(1,A35/Premissas!$E$17)</f>
        <v/>
      </c>
      <c r="G35">
        <f>F35*Premissas!$E$14</f>
        <v/>
      </c>
      <c r="H35">
        <f>IF(IF(A35-1-Premissas!$E$16&gt;=0,OFFSET($J$4,A35-1-Premissas!$E$16,0),0)&gt;0,ROUND(IF(A35-1-Premissas!$E$16&gt;=0,OFFSET($J$4,A35-1-Premissas!$E$16,0),0)*10000/Premissas!$E$5*Premissas!$E$15,0),0)</f>
        <v/>
      </c>
      <c r="I35">
        <f>ROUND(G35*Premissas!$E$6/10000,0)</f>
        <v/>
      </c>
      <c r="J35">
        <f>ROUND(G35*Premissas!$E$5/10000,0)</f>
        <v/>
      </c>
      <c r="K35">
        <f>IF(IF(A35-1-Premissas!$E$16&gt;=0,OFFSET($A$4,A35-1-Premissas!$E$16,0)&gt;=Premissas!$E$19,FALSE),ROUND(IF(A35-1-Premissas!$E$16&gt;=0,OFFSET($J$4,A35-1-Premissas!$E$16,0),0)*Premissas!$E$15,0),0)</f>
        <v/>
      </c>
      <c r="L35">
        <f>ROUND(C35*Premissas!$E$24/12,0)</f>
        <v/>
      </c>
      <c r="M35">
        <f>ROUND(D35*Premissas!$E$25,0)</f>
        <v/>
      </c>
      <c r="N35">
        <f>ROUND(E35*Premissas!$E$29+B35*Premissas!$E$30,0)</f>
        <v/>
      </c>
      <c r="O35">
        <f>K35+L35+M35+N35</f>
        <v/>
      </c>
      <c r="P35">
        <f>K35+ROUND(AC35*Premissas!$E$24,0)+M35+N35</f>
        <v/>
      </c>
      <c r="Q35">
        <f>ROUND(IF(A35-1-Premissas!$E$21&gt;=0,OFFSET($P$4,A35-1-Premissas!$E$21,0),0)*(1-Premissas!$E$20/100),0)</f>
        <v/>
      </c>
      <c r="R35">
        <f>ROUND(F35*Premissas!$E$11+N35*Premissas!$E$31/100,0)+ROUND((E35+B35)*Premissas!$E$10,0)+ROUND(Q35*Premissas!$E$8/100,0)+ROUND(Premissas!$E$35+(B35+C35)*Premissas!$E$36,0)</f>
        <v/>
      </c>
      <c r="S35">
        <f>O35-R35</f>
        <v/>
      </c>
      <c r="T35">
        <f>ROUND(O35*Premissas!$E$9/100,0)</f>
        <v/>
      </c>
      <c r="U35">
        <f>ROUND(AB35*Premissas!$E$33,0)</f>
        <v/>
      </c>
      <c r="V35">
        <f>Premissas!$E$37+ROUND(Premissas!$E$12*Premissas!$E$38+D35*Premissas!$E$27,0)</f>
        <v/>
      </c>
      <c r="W35">
        <f>Premissas!$E$39</f>
        <v/>
      </c>
      <c r="X35">
        <f>S35-T35-ROUND(Premissas!$E$12*Premissas!$E$38+D35*Premissas!$E$27,0)</f>
        <v/>
      </c>
      <c r="Y35">
        <f>O35-R35-T35-U35-V35-W35</f>
        <v/>
      </c>
      <c r="Z35">
        <f>Q35-R35-T35-U35-V35-W35</f>
        <v/>
      </c>
      <c r="AA35">
        <f>AA34+Z35</f>
        <v/>
      </c>
      <c r="AB35">
        <f>Premissas!$E$32+(B35+C35)/Premissas!$E$34</f>
        <v/>
      </c>
      <c r="AC35">
        <f>D35+AC23*(1-Premissas!$E$26/12)^12</f>
        <v/>
      </c>
    </row>
    <row r="36">
      <c r="A36" t="n">
        <v>33</v>
      </c>
      <c r="B36">
        <f>B35*(1-Premissas!$E$18/12)+Premissas!$E$12</f>
        <v/>
      </c>
      <c r="C36">
        <f>IF($B$2=1,C35*(1-Premissas!$E$26/12)+D36,0)</f>
        <v/>
      </c>
      <c r="D36">
        <f>IF(AND($B$2=1,A36&gt;=Premissas!$E$23),Premissas!$E$22,0)</f>
        <v/>
      </c>
      <c r="E36">
        <f>B36*Premissas!$E$28</f>
        <v/>
      </c>
      <c r="F36">
        <f>B36*Premissas!$E$13/12*MIN(1,A36/Premissas!$E$17)</f>
        <v/>
      </c>
      <c r="G36">
        <f>F36*Premissas!$E$14</f>
        <v/>
      </c>
      <c r="H36">
        <f>IF(IF(A36-1-Premissas!$E$16&gt;=0,OFFSET($J$4,A36-1-Premissas!$E$16,0),0)&gt;0,ROUND(IF(A36-1-Premissas!$E$16&gt;=0,OFFSET($J$4,A36-1-Premissas!$E$16,0),0)*10000/Premissas!$E$5*Premissas!$E$15,0),0)</f>
        <v/>
      </c>
      <c r="I36">
        <f>ROUND(G36*Premissas!$E$6/10000,0)</f>
        <v/>
      </c>
      <c r="J36">
        <f>ROUND(G36*Premissas!$E$5/10000,0)</f>
        <v/>
      </c>
      <c r="K36">
        <f>IF(IF(A36-1-Premissas!$E$16&gt;=0,OFFSET($A$4,A36-1-Premissas!$E$16,0)&gt;=Premissas!$E$19,FALSE),ROUND(IF(A36-1-Premissas!$E$16&gt;=0,OFFSET($J$4,A36-1-Premissas!$E$16,0),0)*Premissas!$E$15,0),0)</f>
        <v/>
      </c>
      <c r="L36">
        <f>ROUND(C36*Premissas!$E$24/12,0)</f>
        <v/>
      </c>
      <c r="M36">
        <f>ROUND(D36*Premissas!$E$25,0)</f>
        <v/>
      </c>
      <c r="N36">
        <f>ROUND(E36*Premissas!$E$29+B36*Premissas!$E$30,0)</f>
        <v/>
      </c>
      <c r="O36">
        <f>K36+L36+M36+N36</f>
        <v/>
      </c>
      <c r="P36">
        <f>K36+ROUND(AC36*Premissas!$E$24,0)+M36+N36</f>
        <v/>
      </c>
      <c r="Q36">
        <f>ROUND(IF(A36-1-Premissas!$E$21&gt;=0,OFFSET($P$4,A36-1-Premissas!$E$21,0),0)*(1-Premissas!$E$20/100),0)</f>
        <v/>
      </c>
      <c r="R36">
        <f>ROUND(F36*Premissas!$E$11+N36*Premissas!$E$31/100,0)+ROUND((E36+B36)*Premissas!$E$10,0)+ROUND(Q36*Premissas!$E$8/100,0)+ROUND(Premissas!$E$35+(B36+C36)*Premissas!$E$36,0)</f>
        <v/>
      </c>
      <c r="S36">
        <f>O36-R36</f>
        <v/>
      </c>
      <c r="T36">
        <f>ROUND(O36*Premissas!$E$9/100,0)</f>
        <v/>
      </c>
      <c r="U36">
        <f>ROUND(AB36*Premissas!$E$33,0)</f>
        <v/>
      </c>
      <c r="V36">
        <f>Premissas!$E$37+ROUND(Premissas!$E$12*Premissas!$E$38+D36*Premissas!$E$27,0)</f>
        <v/>
      </c>
      <c r="W36">
        <f>Premissas!$E$39</f>
        <v/>
      </c>
      <c r="X36">
        <f>S36-T36-ROUND(Premissas!$E$12*Premissas!$E$38+D36*Premissas!$E$27,0)</f>
        <v/>
      </c>
      <c r="Y36">
        <f>O36-R36-T36-U36-V36-W36</f>
        <v/>
      </c>
      <c r="Z36">
        <f>Q36-R36-T36-U36-V36-W36</f>
        <v/>
      </c>
      <c r="AA36">
        <f>AA35+Z36</f>
        <v/>
      </c>
      <c r="AB36">
        <f>Premissas!$E$32+(B36+C36)/Premissas!$E$34</f>
        <v/>
      </c>
      <c r="AC36">
        <f>D36+AC24*(1-Premissas!$E$26/12)^12</f>
        <v/>
      </c>
    </row>
    <row r="37">
      <c r="A37" t="n">
        <v>34</v>
      </c>
      <c r="B37">
        <f>B36*(1-Premissas!$E$18/12)+Premissas!$E$12</f>
        <v/>
      </c>
      <c r="C37">
        <f>IF($B$2=1,C36*(1-Premissas!$E$26/12)+D37,0)</f>
        <v/>
      </c>
      <c r="D37">
        <f>IF(AND($B$2=1,A37&gt;=Premissas!$E$23),Premissas!$E$22,0)</f>
        <v/>
      </c>
      <c r="E37">
        <f>B37*Premissas!$E$28</f>
        <v/>
      </c>
      <c r="F37">
        <f>B37*Premissas!$E$13/12*MIN(1,A37/Premissas!$E$17)</f>
        <v/>
      </c>
      <c r="G37">
        <f>F37*Premissas!$E$14</f>
        <v/>
      </c>
      <c r="H37">
        <f>IF(IF(A37-1-Premissas!$E$16&gt;=0,OFFSET($J$4,A37-1-Premissas!$E$16,0),0)&gt;0,ROUND(IF(A37-1-Premissas!$E$16&gt;=0,OFFSET($J$4,A37-1-Premissas!$E$16,0),0)*10000/Premissas!$E$5*Premissas!$E$15,0),0)</f>
        <v/>
      </c>
      <c r="I37">
        <f>ROUND(G37*Premissas!$E$6/10000,0)</f>
        <v/>
      </c>
      <c r="J37">
        <f>ROUND(G37*Premissas!$E$5/10000,0)</f>
        <v/>
      </c>
      <c r="K37">
        <f>IF(IF(A37-1-Premissas!$E$16&gt;=0,OFFSET($A$4,A37-1-Premissas!$E$16,0)&gt;=Premissas!$E$19,FALSE),ROUND(IF(A37-1-Premissas!$E$16&gt;=0,OFFSET($J$4,A37-1-Premissas!$E$16,0),0)*Premissas!$E$15,0),0)</f>
        <v/>
      </c>
      <c r="L37">
        <f>ROUND(C37*Premissas!$E$24/12,0)</f>
        <v/>
      </c>
      <c r="M37">
        <f>ROUND(D37*Premissas!$E$25,0)</f>
        <v/>
      </c>
      <c r="N37">
        <f>ROUND(E37*Premissas!$E$29+B37*Premissas!$E$30,0)</f>
        <v/>
      </c>
      <c r="O37">
        <f>K37+L37+M37+N37</f>
        <v/>
      </c>
      <c r="P37">
        <f>K37+ROUND(AC37*Premissas!$E$24,0)+M37+N37</f>
        <v/>
      </c>
      <c r="Q37">
        <f>ROUND(IF(A37-1-Premissas!$E$21&gt;=0,OFFSET($P$4,A37-1-Premissas!$E$21,0),0)*(1-Premissas!$E$20/100),0)</f>
        <v/>
      </c>
      <c r="R37">
        <f>ROUND(F37*Premissas!$E$11+N37*Premissas!$E$31/100,0)+ROUND((E37+B37)*Premissas!$E$10,0)+ROUND(Q37*Premissas!$E$8/100,0)+ROUND(Premissas!$E$35+(B37+C37)*Premissas!$E$36,0)</f>
        <v/>
      </c>
      <c r="S37">
        <f>O37-R37</f>
        <v/>
      </c>
      <c r="T37">
        <f>ROUND(O37*Premissas!$E$9/100,0)</f>
        <v/>
      </c>
      <c r="U37">
        <f>ROUND(AB37*Premissas!$E$33,0)</f>
        <v/>
      </c>
      <c r="V37">
        <f>Premissas!$E$37+ROUND(Premissas!$E$12*Premissas!$E$38+D37*Premissas!$E$27,0)</f>
        <v/>
      </c>
      <c r="W37">
        <f>Premissas!$E$39</f>
        <v/>
      </c>
      <c r="X37">
        <f>S37-T37-ROUND(Premissas!$E$12*Premissas!$E$38+D37*Premissas!$E$27,0)</f>
        <v/>
      </c>
      <c r="Y37">
        <f>O37-R37-T37-U37-V37-W37</f>
        <v/>
      </c>
      <c r="Z37">
        <f>Q37-R37-T37-U37-V37-W37</f>
        <v/>
      </c>
      <c r="AA37">
        <f>AA36+Z37</f>
        <v/>
      </c>
      <c r="AB37">
        <f>Premissas!$E$32+(B37+C37)/Premissas!$E$34</f>
        <v/>
      </c>
      <c r="AC37">
        <f>D37+AC25*(1-Premissas!$E$26/12)^12</f>
        <v/>
      </c>
    </row>
    <row r="38">
      <c r="A38" t="n">
        <v>35</v>
      </c>
      <c r="B38">
        <f>B37*(1-Premissas!$E$18/12)+Premissas!$E$12</f>
        <v/>
      </c>
      <c r="C38">
        <f>IF($B$2=1,C37*(1-Premissas!$E$26/12)+D38,0)</f>
        <v/>
      </c>
      <c r="D38">
        <f>IF(AND($B$2=1,A38&gt;=Premissas!$E$23),Premissas!$E$22,0)</f>
        <v/>
      </c>
      <c r="E38">
        <f>B38*Premissas!$E$28</f>
        <v/>
      </c>
      <c r="F38">
        <f>B38*Premissas!$E$13/12*MIN(1,A38/Premissas!$E$17)</f>
        <v/>
      </c>
      <c r="G38">
        <f>F38*Premissas!$E$14</f>
        <v/>
      </c>
      <c r="H38">
        <f>IF(IF(A38-1-Premissas!$E$16&gt;=0,OFFSET($J$4,A38-1-Premissas!$E$16,0),0)&gt;0,ROUND(IF(A38-1-Premissas!$E$16&gt;=0,OFFSET($J$4,A38-1-Premissas!$E$16,0),0)*10000/Premissas!$E$5*Premissas!$E$15,0),0)</f>
        <v/>
      </c>
      <c r="I38">
        <f>ROUND(G38*Premissas!$E$6/10000,0)</f>
        <v/>
      </c>
      <c r="J38">
        <f>ROUND(G38*Premissas!$E$5/10000,0)</f>
        <v/>
      </c>
      <c r="K38">
        <f>IF(IF(A38-1-Premissas!$E$16&gt;=0,OFFSET($A$4,A38-1-Premissas!$E$16,0)&gt;=Premissas!$E$19,FALSE),ROUND(IF(A38-1-Premissas!$E$16&gt;=0,OFFSET($J$4,A38-1-Premissas!$E$16,0),0)*Premissas!$E$15,0),0)</f>
        <v/>
      </c>
      <c r="L38">
        <f>ROUND(C38*Premissas!$E$24/12,0)</f>
        <v/>
      </c>
      <c r="M38">
        <f>ROUND(D38*Premissas!$E$25,0)</f>
        <v/>
      </c>
      <c r="N38">
        <f>ROUND(E38*Premissas!$E$29+B38*Premissas!$E$30,0)</f>
        <v/>
      </c>
      <c r="O38">
        <f>K38+L38+M38+N38</f>
        <v/>
      </c>
      <c r="P38">
        <f>K38+ROUND(AC38*Premissas!$E$24,0)+M38+N38</f>
        <v/>
      </c>
      <c r="Q38">
        <f>ROUND(IF(A38-1-Premissas!$E$21&gt;=0,OFFSET($P$4,A38-1-Premissas!$E$21,0),0)*(1-Premissas!$E$20/100),0)</f>
        <v/>
      </c>
      <c r="R38">
        <f>ROUND(F38*Premissas!$E$11+N38*Premissas!$E$31/100,0)+ROUND((E38+B38)*Premissas!$E$10,0)+ROUND(Q38*Premissas!$E$8/100,0)+ROUND(Premissas!$E$35+(B38+C38)*Premissas!$E$36,0)</f>
        <v/>
      </c>
      <c r="S38">
        <f>O38-R38</f>
        <v/>
      </c>
      <c r="T38">
        <f>ROUND(O38*Premissas!$E$9/100,0)</f>
        <v/>
      </c>
      <c r="U38">
        <f>ROUND(AB38*Premissas!$E$33,0)</f>
        <v/>
      </c>
      <c r="V38">
        <f>Premissas!$E$37+ROUND(Premissas!$E$12*Premissas!$E$38+D38*Premissas!$E$27,0)</f>
        <v/>
      </c>
      <c r="W38">
        <f>Premissas!$E$39</f>
        <v/>
      </c>
      <c r="X38">
        <f>S38-T38-ROUND(Premissas!$E$12*Premissas!$E$38+D38*Premissas!$E$27,0)</f>
        <v/>
      </c>
      <c r="Y38">
        <f>O38-R38-T38-U38-V38-W38</f>
        <v/>
      </c>
      <c r="Z38">
        <f>Q38-R38-T38-U38-V38-W38</f>
        <v/>
      </c>
      <c r="AA38">
        <f>AA37+Z38</f>
        <v/>
      </c>
      <c r="AB38">
        <f>Premissas!$E$32+(B38+C38)/Premissas!$E$34</f>
        <v/>
      </c>
      <c r="AC38">
        <f>D38+AC26*(1-Premissas!$E$26/12)^12</f>
        <v/>
      </c>
    </row>
    <row r="39">
      <c r="A39" t="n">
        <v>36</v>
      </c>
      <c r="B39">
        <f>B38*(1-Premissas!$E$18/12)+Premissas!$E$12</f>
        <v/>
      </c>
      <c r="C39">
        <f>IF($B$2=1,C38*(1-Premissas!$E$26/12)+D39,0)</f>
        <v/>
      </c>
      <c r="D39">
        <f>IF(AND($B$2=1,A39&gt;=Premissas!$E$23),Premissas!$E$22,0)</f>
        <v/>
      </c>
      <c r="E39">
        <f>B39*Premissas!$E$28</f>
        <v/>
      </c>
      <c r="F39">
        <f>B39*Premissas!$E$13/12*MIN(1,A39/Premissas!$E$17)</f>
        <v/>
      </c>
      <c r="G39">
        <f>F39*Premissas!$E$14</f>
        <v/>
      </c>
      <c r="H39">
        <f>IF(IF(A39-1-Premissas!$E$16&gt;=0,OFFSET($J$4,A39-1-Premissas!$E$16,0),0)&gt;0,ROUND(IF(A39-1-Premissas!$E$16&gt;=0,OFFSET($J$4,A39-1-Premissas!$E$16,0),0)*10000/Premissas!$E$5*Premissas!$E$15,0),0)</f>
        <v/>
      </c>
      <c r="I39">
        <f>ROUND(G39*Premissas!$E$6/10000,0)</f>
        <v/>
      </c>
      <c r="J39">
        <f>ROUND(G39*Premissas!$E$5/10000,0)</f>
        <v/>
      </c>
      <c r="K39">
        <f>IF(IF(A39-1-Premissas!$E$16&gt;=0,OFFSET($A$4,A39-1-Premissas!$E$16,0)&gt;=Premissas!$E$19,FALSE),ROUND(IF(A39-1-Premissas!$E$16&gt;=0,OFFSET($J$4,A39-1-Premissas!$E$16,0),0)*Premissas!$E$15,0),0)</f>
        <v/>
      </c>
      <c r="L39">
        <f>ROUND(C39*Premissas!$E$24/12,0)</f>
        <v/>
      </c>
      <c r="M39">
        <f>ROUND(D39*Premissas!$E$25,0)</f>
        <v/>
      </c>
      <c r="N39">
        <f>ROUND(E39*Premissas!$E$29+B39*Premissas!$E$30,0)</f>
        <v/>
      </c>
      <c r="O39">
        <f>K39+L39+M39+N39</f>
        <v/>
      </c>
      <c r="P39">
        <f>K39+ROUND(AC39*Premissas!$E$24,0)+M39+N39</f>
        <v/>
      </c>
      <c r="Q39">
        <f>ROUND(IF(A39-1-Premissas!$E$21&gt;=0,OFFSET($P$4,A39-1-Premissas!$E$21,0),0)*(1-Premissas!$E$20/100),0)</f>
        <v/>
      </c>
      <c r="R39">
        <f>ROUND(F39*Premissas!$E$11+N39*Premissas!$E$31/100,0)+ROUND((E39+B39)*Premissas!$E$10,0)+ROUND(Q39*Premissas!$E$8/100,0)+ROUND(Premissas!$E$35+(B39+C39)*Premissas!$E$36,0)</f>
        <v/>
      </c>
      <c r="S39">
        <f>O39-R39</f>
        <v/>
      </c>
      <c r="T39">
        <f>ROUND(O39*Premissas!$E$9/100,0)</f>
        <v/>
      </c>
      <c r="U39">
        <f>ROUND(AB39*Premissas!$E$33,0)</f>
        <v/>
      </c>
      <c r="V39">
        <f>Premissas!$E$37+ROUND(Premissas!$E$12*Premissas!$E$38+D39*Premissas!$E$27,0)</f>
        <v/>
      </c>
      <c r="W39">
        <f>Premissas!$E$39</f>
        <v/>
      </c>
      <c r="X39">
        <f>S39-T39-ROUND(Premissas!$E$12*Premissas!$E$38+D39*Premissas!$E$27,0)</f>
        <v/>
      </c>
      <c r="Y39">
        <f>O39-R39-T39-U39-V39-W39</f>
        <v/>
      </c>
      <c r="Z39">
        <f>Q39-R39-T39-U39-V39-W39</f>
        <v/>
      </c>
      <c r="AA39">
        <f>AA38+Z39</f>
        <v/>
      </c>
      <c r="AB39">
        <f>Premissas!$E$32+(B39+C39)/Premissas!$E$34</f>
        <v/>
      </c>
      <c r="AC39">
        <f>D39+AC27*(1-Premissas!$E$26/12)^12</f>
        <v/>
      </c>
    </row>
    <row r="40">
      <c r="A40" t="n">
        <v>37</v>
      </c>
      <c r="B40">
        <f>B39*(1-Premissas!$E$18/12)+Premissas!$E$12</f>
        <v/>
      </c>
      <c r="C40">
        <f>IF($B$2=1,C39*(1-Premissas!$E$26/12)+D40,0)</f>
        <v/>
      </c>
      <c r="D40">
        <f>IF(AND($B$2=1,A40&gt;=Premissas!$E$23),Premissas!$E$22,0)</f>
        <v/>
      </c>
      <c r="E40">
        <f>B40*Premissas!$E$28</f>
        <v/>
      </c>
      <c r="F40">
        <f>B40*Premissas!$E$13/12*MIN(1,A40/Premissas!$E$17)</f>
        <v/>
      </c>
      <c r="G40">
        <f>F40*Premissas!$E$14</f>
        <v/>
      </c>
      <c r="H40">
        <f>IF(IF(A40-1-Premissas!$E$16&gt;=0,OFFSET($J$4,A40-1-Premissas!$E$16,0),0)&gt;0,ROUND(IF(A40-1-Premissas!$E$16&gt;=0,OFFSET($J$4,A40-1-Premissas!$E$16,0),0)*10000/Premissas!$E$5*Premissas!$E$15,0),0)</f>
        <v/>
      </c>
      <c r="I40">
        <f>ROUND(G40*Premissas!$E$6/10000,0)</f>
        <v/>
      </c>
      <c r="J40">
        <f>ROUND(G40*Premissas!$E$5/10000,0)</f>
        <v/>
      </c>
      <c r="K40">
        <f>IF(IF(A40-1-Premissas!$E$16&gt;=0,OFFSET($A$4,A40-1-Premissas!$E$16,0)&gt;=Premissas!$E$19,FALSE),ROUND(IF(A40-1-Premissas!$E$16&gt;=0,OFFSET($J$4,A40-1-Premissas!$E$16,0),0)*Premissas!$E$15,0),0)</f>
        <v/>
      </c>
      <c r="L40">
        <f>ROUND(C40*Premissas!$E$24/12,0)</f>
        <v/>
      </c>
      <c r="M40">
        <f>ROUND(D40*Premissas!$E$25,0)</f>
        <v/>
      </c>
      <c r="N40">
        <f>ROUND(E40*Premissas!$E$29+B40*Premissas!$E$30,0)</f>
        <v/>
      </c>
      <c r="O40">
        <f>K40+L40+M40+N40</f>
        <v/>
      </c>
      <c r="P40">
        <f>K40+ROUND(AC40*Premissas!$E$24,0)+M40+N40</f>
        <v/>
      </c>
      <c r="Q40">
        <f>ROUND(IF(A40-1-Premissas!$E$21&gt;=0,OFFSET($P$4,A40-1-Premissas!$E$21,0),0)*(1-Premissas!$E$20/100),0)</f>
        <v/>
      </c>
      <c r="R40">
        <f>ROUND(F40*Premissas!$E$11+N40*Premissas!$E$31/100,0)+ROUND((E40+B40)*Premissas!$E$10,0)+ROUND(Q40*Premissas!$E$8/100,0)+ROUND(Premissas!$E$35+(B40+C40)*Premissas!$E$36,0)</f>
        <v/>
      </c>
      <c r="S40">
        <f>O40-R40</f>
        <v/>
      </c>
      <c r="T40">
        <f>ROUND(O40*Premissas!$E$9/100,0)</f>
        <v/>
      </c>
      <c r="U40">
        <f>ROUND(AB40*Premissas!$E$33,0)</f>
        <v/>
      </c>
      <c r="V40">
        <f>Premissas!$E$37+ROUND(Premissas!$E$12*Premissas!$E$38+D40*Premissas!$E$27,0)</f>
        <v/>
      </c>
      <c r="W40">
        <f>Premissas!$E$39</f>
        <v/>
      </c>
      <c r="X40">
        <f>S40-T40-ROUND(Premissas!$E$12*Premissas!$E$38+D40*Premissas!$E$27,0)</f>
        <v/>
      </c>
      <c r="Y40">
        <f>O40-R40-T40-U40-V40-W40</f>
        <v/>
      </c>
      <c r="Z40">
        <f>Q40-R40-T40-U40-V40-W40</f>
        <v/>
      </c>
      <c r="AA40">
        <f>AA39+Z40</f>
        <v/>
      </c>
      <c r="AB40">
        <f>Premissas!$E$32+(B40+C40)/Premissas!$E$34</f>
        <v/>
      </c>
      <c r="AC40">
        <f>D40+AC28*(1-Premissas!$E$26/12)^12</f>
        <v/>
      </c>
    </row>
    <row r="41">
      <c r="A41" t="n">
        <v>38</v>
      </c>
      <c r="B41">
        <f>B40*(1-Premissas!$E$18/12)+Premissas!$E$12</f>
        <v/>
      </c>
      <c r="C41">
        <f>IF($B$2=1,C40*(1-Premissas!$E$26/12)+D41,0)</f>
        <v/>
      </c>
      <c r="D41">
        <f>IF(AND($B$2=1,A41&gt;=Premissas!$E$23),Premissas!$E$22,0)</f>
        <v/>
      </c>
      <c r="E41">
        <f>B41*Premissas!$E$28</f>
        <v/>
      </c>
      <c r="F41">
        <f>B41*Premissas!$E$13/12*MIN(1,A41/Premissas!$E$17)</f>
        <v/>
      </c>
      <c r="G41">
        <f>F41*Premissas!$E$14</f>
        <v/>
      </c>
      <c r="H41">
        <f>IF(IF(A41-1-Premissas!$E$16&gt;=0,OFFSET($J$4,A41-1-Premissas!$E$16,0),0)&gt;0,ROUND(IF(A41-1-Premissas!$E$16&gt;=0,OFFSET($J$4,A41-1-Premissas!$E$16,0),0)*10000/Premissas!$E$5*Premissas!$E$15,0),0)</f>
        <v/>
      </c>
      <c r="I41">
        <f>ROUND(G41*Premissas!$E$6/10000,0)</f>
        <v/>
      </c>
      <c r="J41">
        <f>ROUND(G41*Premissas!$E$5/10000,0)</f>
        <v/>
      </c>
      <c r="K41">
        <f>IF(IF(A41-1-Premissas!$E$16&gt;=0,OFFSET($A$4,A41-1-Premissas!$E$16,0)&gt;=Premissas!$E$19,FALSE),ROUND(IF(A41-1-Premissas!$E$16&gt;=0,OFFSET($J$4,A41-1-Premissas!$E$16,0),0)*Premissas!$E$15,0),0)</f>
        <v/>
      </c>
      <c r="L41">
        <f>ROUND(C41*Premissas!$E$24/12,0)</f>
        <v/>
      </c>
      <c r="M41">
        <f>ROUND(D41*Premissas!$E$25,0)</f>
        <v/>
      </c>
      <c r="N41">
        <f>ROUND(E41*Premissas!$E$29+B41*Premissas!$E$30,0)</f>
        <v/>
      </c>
      <c r="O41">
        <f>K41+L41+M41+N41</f>
        <v/>
      </c>
      <c r="P41">
        <f>K41+ROUND(AC41*Premissas!$E$24,0)+M41+N41</f>
        <v/>
      </c>
      <c r="Q41">
        <f>ROUND(IF(A41-1-Premissas!$E$21&gt;=0,OFFSET($P$4,A41-1-Premissas!$E$21,0),0)*(1-Premissas!$E$20/100),0)</f>
        <v/>
      </c>
      <c r="R41">
        <f>ROUND(F41*Premissas!$E$11+N41*Premissas!$E$31/100,0)+ROUND((E41+B41)*Premissas!$E$10,0)+ROUND(Q41*Premissas!$E$8/100,0)+ROUND(Premissas!$E$35+(B41+C41)*Premissas!$E$36,0)</f>
        <v/>
      </c>
      <c r="S41">
        <f>O41-R41</f>
        <v/>
      </c>
      <c r="T41">
        <f>ROUND(O41*Premissas!$E$9/100,0)</f>
        <v/>
      </c>
      <c r="U41">
        <f>ROUND(AB41*Premissas!$E$33,0)</f>
        <v/>
      </c>
      <c r="V41">
        <f>Premissas!$E$37+ROUND(Premissas!$E$12*Premissas!$E$38+D41*Premissas!$E$27,0)</f>
        <v/>
      </c>
      <c r="W41">
        <f>Premissas!$E$39</f>
        <v/>
      </c>
      <c r="X41">
        <f>S41-T41-ROUND(Premissas!$E$12*Premissas!$E$38+D41*Premissas!$E$27,0)</f>
        <v/>
      </c>
      <c r="Y41">
        <f>O41-R41-T41-U41-V41-W41</f>
        <v/>
      </c>
      <c r="Z41">
        <f>Q41-R41-T41-U41-V41-W41</f>
        <v/>
      </c>
      <c r="AA41">
        <f>AA40+Z41</f>
        <v/>
      </c>
      <c r="AB41">
        <f>Premissas!$E$32+(B41+C41)/Premissas!$E$34</f>
        <v/>
      </c>
      <c r="AC41">
        <f>D41+AC29*(1-Premissas!$E$26/12)^12</f>
        <v/>
      </c>
    </row>
    <row r="42">
      <c r="A42" t="n">
        <v>39</v>
      </c>
      <c r="B42">
        <f>B41*(1-Premissas!$E$18/12)+Premissas!$E$12</f>
        <v/>
      </c>
      <c r="C42">
        <f>IF($B$2=1,C41*(1-Premissas!$E$26/12)+D42,0)</f>
        <v/>
      </c>
      <c r="D42">
        <f>IF(AND($B$2=1,A42&gt;=Premissas!$E$23),Premissas!$E$22,0)</f>
        <v/>
      </c>
      <c r="E42">
        <f>B42*Premissas!$E$28</f>
        <v/>
      </c>
      <c r="F42">
        <f>B42*Premissas!$E$13/12*MIN(1,A42/Premissas!$E$17)</f>
        <v/>
      </c>
      <c r="G42">
        <f>F42*Premissas!$E$14</f>
        <v/>
      </c>
      <c r="H42">
        <f>IF(IF(A42-1-Premissas!$E$16&gt;=0,OFFSET($J$4,A42-1-Premissas!$E$16,0),0)&gt;0,ROUND(IF(A42-1-Premissas!$E$16&gt;=0,OFFSET($J$4,A42-1-Premissas!$E$16,0),0)*10000/Premissas!$E$5*Premissas!$E$15,0),0)</f>
        <v/>
      </c>
      <c r="I42">
        <f>ROUND(G42*Premissas!$E$6/10000,0)</f>
        <v/>
      </c>
      <c r="J42">
        <f>ROUND(G42*Premissas!$E$5/10000,0)</f>
        <v/>
      </c>
      <c r="K42">
        <f>IF(IF(A42-1-Premissas!$E$16&gt;=0,OFFSET($A$4,A42-1-Premissas!$E$16,0)&gt;=Premissas!$E$19,FALSE),ROUND(IF(A42-1-Premissas!$E$16&gt;=0,OFFSET($J$4,A42-1-Premissas!$E$16,0),0)*Premissas!$E$15,0),0)</f>
        <v/>
      </c>
      <c r="L42">
        <f>ROUND(C42*Premissas!$E$24/12,0)</f>
        <v/>
      </c>
      <c r="M42">
        <f>ROUND(D42*Premissas!$E$25,0)</f>
        <v/>
      </c>
      <c r="N42">
        <f>ROUND(E42*Premissas!$E$29+B42*Premissas!$E$30,0)</f>
        <v/>
      </c>
      <c r="O42">
        <f>K42+L42+M42+N42</f>
        <v/>
      </c>
      <c r="P42">
        <f>K42+ROUND(AC42*Premissas!$E$24,0)+M42+N42</f>
        <v/>
      </c>
      <c r="Q42">
        <f>ROUND(IF(A42-1-Premissas!$E$21&gt;=0,OFFSET($P$4,A42-1-Premissas!$E$21,0),0)*(1-Premissas!$E$20/100),0)</f>
        <v/>
      </c>
      <c r="R42">
        <f>ROUND(F42*Premissas!$E$11+N42*Premissas!$E$31/100,0)+ROUND((E42+B42)*Premissas!$E$10,0)+ROUND(Q42*Premissas!$E$8/100,0)+ROUND(Premissas!$E$35+(B42+C42)*Premissas!$E$36,0)</f>
        <v/>
      </c>
      <c r="S42">
        <f>O42-R42</f>
        <v/>
      </c>
      <c r="T42">
        <f>ROUND(O42*Premissas!$E$9/100,0)</f>
        <v/>
      </c>
      <c r="U42">
        <f>ROUND(AB42*Premissas!$E$33,0)</f>
        <v/>
      </c>
      <c r="V42">
        <f>Premissas!$E$37+ROUND(Premissas!$E$12*Premissas!$E$38+D42*Premissas!$E$27,0)</f>
        <v/>
      </c>
      <c r="W42">
        <f>Premissas!$E$39</f>
        <v/>
      </c>
      <c r="X42">
        <f>S42-T42-ROUND(Premissas!$E$12*Premissas!$E$38+D42*Premissas!$E$27,0)</f>
        <v/>
      </c>
      <c r="Y42">
        <f>O42-R42-T42-U42-V42-W42</f>
        <v/>
      </c>
      <c r="Z42">
        <f>Q42-R42-T42-U42-V42-W42</f>
        <v/>
      </c>
      <c r="AA42">
        <f>AA41+Z42</f>
        <v/>
      </c>
      <c r="AB42">
        <f>Premissas!$E$32+(B42+C42)/Premissas!$E$34</f>
        <v/>
      </c>
      <c r="AC42">
        <f>D42+AC30*(1-Premissas!$E$26/12)^12</f>
        <v/>
      </c>
    </row>
    <row r="43">
      <c r="A43" t="n">
        <v>40</v>
      </c>
      <c r="B43">
        <f>B42*(1-Premissas!$E$18/12)+Premissas!$E$12</f>
        <v/>
      </c>
      <c r="C43">
        <f>IF($B$2=1,C42*(1-Premissas!$E$26/12)+D43,0)</f>
        <v/>
      </c>
      <c r="D43">
        <f>IF(AND($B$2=1,A43&gt;=Premissas!$E$23),Premissas!$E$22,0)</f>
        <v/>
      </c>
      <c r="E43">
        <f>B43*Premissas!$E$28</f>
        <v/>
      </c>
      <c r="F43">
        <f>B43*Premissas!$E$13/12*MIN(1,A43/Premissas!$E$17)</f>
        <v/>
      </c>
      <c r="G43">
        <f>F43*Premissas!$E$14</f>
        <v/>
      </c>
      <c r="H43">
        <f>IF(IF(A43-1-Premissas!$E$16&gt;=0,OFFSET($J$4,A43-1-Premissas!$E$16,0),0)&gt;0,ROUND(IF(A43-1-Premissas!$E$16&gt;=0,OFFSET($J$4,A43-1-Premissas!$E$16,0),0)*10000/Premissas!$E$5*Premissas!$E$15,0),0)</f>
        <v/>
      </c>
      <c r="I43">
        <f>ROUND(G43*Premissas!$E$6/10000,0)</f>
        <v/>
      </c>
      <c r="J43">
        <f>ROUND(G43*Premissas!$E$5/10000,0)</f>
        <v/>
      </c>
      <c r="K43">
        <f>IF(IF(A43-1-Premissas!$E$16&gt;=0,OFFSET($A$4,A43-1-Premissas!$E$16,0)&gt;=Premissas!$E$19,FALSE),ROUND(IF(A43-1-Premissas!$E$16&gt;=0,OFFSET($J$4,A43-1-Premissas!$E$16,0),0)*Premissas!$E$15,0),0)</f>
        <v/>
      </c>
      <c r="L43">
        <f>ROUND(C43*Premissas!$E$24/12,0)</f>
        <v/>
      </c>
      <c r="M43">
        <f>ROUND(D43*Premissas!$E$25,0)</f>
        <v/>
      </c>
      <c r="N43">
        <f>ROUND(E43*Premissas!$E$29+B43*Premissas!$E$30,0)</f>
        <v/>
      </c>
      <c r="O43">
        <f>K43+L43+M43+N43</f>
        <v/>
      </c>
      <c r="P43">
        <f>K43+ROUND(AC43*Premissas!$E$24,0)+M43+N43</f>
        <v/>
      </c>
      <c r="Q43">
        <f>ROUND(IF(A43-1-Premissas!$E$21&gt;=0,OFFSET($P$4,A43-1-Premissas!$E$21,0),0)*(1-Premissas!$E$20/100),0)</f>
        <v/>
      </c>
      <c r="R43">
        <f>ROUND(F43*Premissas!$E$11+N43*Premissas!$E$31/100,0)+ROUND((E43+B43)*Premissas!$E$10,0)+ROUND(Q43*Premissas!$E$8/100,0)+ROUND(Premissas!$E$35+(B43+C43)*Premissas!$E$36,0)</f>
        <v/>
      </c>
      <c r="S43">
        <f>O43-R43</f>
        <v/>
      </c>
      <c r="T43">
        <f>ROUND(O43*Premissas!$E$9/100,0)</f>
        <v/>
      </c>
      <c r="U43">
        <f>ROUND(AB43*Premissas!$E$33,0)</f>
        <v/>
      </c>
      <c r="V43">
        <f>Premissas!$E$37+ROUND(Premissas!$E$12*Premissas!$E$38+D43*Premissas!$E$27,0)</f>
        <v/>
      </c>
      <c r="W43">
        <f>Premissas!$E$39</f>
        <v/>
      </c>
      <c r="X43">
        <f>S43-T43-ROUND(Premissas!$E$12*Premissas!$E$38+D43*Premissas!$E$27,0)</f>
        <v/>
      </c>
      <c r="Y43">
        <f>O43-R43-T43-U43-V43-W43</f>
        <v/>
      </c>
      <c r="Z43">
        <f>Q43-R43-T43-U43-V43-W43</f>
        <v/>
      </c>
      <c r="AA43">
        <f>AA42+Z43</f>
        <v/>
      </c>
      <c r="AB43">
        <f>Premissas!$E$32+(B43+C43)/Premissas!$E$34</f>
        <v/>
      </c>
      <c r="AC43">
        <f>D43+AC31*(1-Premissas!$E$26/12)^12</f>
        <v/>
      </c>
    </row>
    <row r="44">
      <c r="A44" t="n">
        <v>41</v>
      </c>
      <c r="B44">
        <f>B43*(1-Premissas!$E$18/12)+Premissas!$E$12</f>
        <v/>
      </c>
      <c r="C44">
        <f>IF($B$2=1,C43*(1-Premissas!$E$26/12)+D44,0)</f>
        <v/>
      </c>
      <c r="D44">
        <f>IF(AND($B$2=1,A44&gt;=Premissas!$E$23),Premissas!$E$22,0)</f>
        <v/>
      </c>
      <c r="E44">
        <f>B44*Premissas!$E$28</f>
        <v/>
      </c>
      <c r="F44">
        <f>B44*Premissas!$E$13/12*MIN(1,A44/Premissas!$E$17)</f>
        <v/>
      </c>
      <c r="G44">
        <f>F44*Premissas!$E$14</f>
        <v/>
      </c>
      <c r="H44">
        <f>IF(IF(A44-1-Premissas!$E$16&gt;=0,OFFSET($J$4,A44-1-Premissas!$E$16,0),0)&gt;0,ROUND(IF(A44-1-Premissas!$E$16&gt;=0,OFFSET($J$4,A44-1-Premissas!$E$16,0),0)*10000/Premissas!$E$5*Premissas!$E$15,0),0)</f>
        <v/>
      </c>
      <c r="I44">
        <f>ROUND(G44*Premissas!$E$6/10000,0)</f>
        <v/>
      </c>
      <c r="J44">
        <f>ROUND(G44*Premissas!$E$5/10000,0)</f>
        <v/>
      </c>
      <c r="K44">
        <f>IF(IF(A44-1-Premissas!$E$16&gt;=0,OFFSET($A$4,A44-1-Premissas!$E$16,0)&gt;=Premissas!$E$19,FALSE),ROUND(IF(A44-1-Premissas!$E$16&gt;=0,OFFSET($J$4,A44-1-Premissas!$E$16,0),0)*Premissas!$E$15,0),0)</f>
        <v/>
      </c>
      <c r="L44">
        <f>ROUND(C44*Premissas!$E$24/12,0)</f>
        <v/>
      </c>
      <c r="M44">
        <f>ROUND(D44*Premissas!$E$25,0)</f>
        <v/>
      </c>
      <c r="N44">
        <f>ROUND(E44*Premissas!$E$29+B44*Premissas!$E$30,0)</f>
        <v/>
      </c>
      <c r="O44">
        <f>K44+L44+M44+N44</f>
        <v/>
      </c>
      <c r="P44">
        <f>K44+ROUND(AC44*Premissas!$E$24,0)+M44+N44</f>
        <v/>
      </c>
      <c r="Q44">
        <f>ROUND(IF(A44-1-Premissas!$E$21&gt;=0,OFFSET($P$4,A44-1-Premissas!$E$21,0),0)*(1-Premissas!$E$20/100),0)</f>
        <v/>
      </c>
      <c r="R44">
        <f>ROUND(F44*Premissas!$E$11+N44*Premissas!$E$31/100,0)+ROUND((E44+B44)*Premissas!$E$10,0)+ROUND(Q44*Premissas!$E$8/100,0)+ROUND(Premissas!$E$35+(B44+C44)*Premissas!$E$36,0)</f>
        <v/>
      </c>
      <c r="S44">
        <f>O44-R44</f>
        <v/>
      </c>
      <c r="T44">
        <f>ROUND(O44*Premissas!$E$9/100,0)</f>
        <v/>
      </c>
      <c r="U44">
        <f>ROUND(AB44*Premissas!$E$33,0)</f>
        <v/>
      </c>
      <c r="V44">
        <f>Premissas!$E$37+ROUND(Premissas!$E$12*Premissas!$E$38+D44*Premissas!$E$27,0)</f>
        <v/>
      </c>
      <c r="W44">
        <f>Premissas!$E$39</f>
        <v/>
      </c>
      <c r="X44">
        <f>S44-T44-ROUND(Premissas!$E$12*Premissas!$E$38+D44*Premissas!$E$27,0)</f>
        <v/>
      </c>
      <c r="Y44">
        <f>O44-R44-T44-U44-V44-W44</f>
        <v/>
      </c>
      <c r="Z44">
        <f>Q44-R44-T44-U44-V44-W44</f>
        <v/>
      </c>
      <c r="AA44">
        <f>AA43+Z44</f>
        <v/>
      </c>
      <c r="AB44">
        <f>Premissas!$E$32+(B44+C44)/Premissas!$E$34</f>
        <v/>
      </c>
      <c r="AC44">
        <f>D44+AC32*(1-Premissas!$E$26/12)^12</f>
        <v/>
      </c>
    </row>
    <row r="45">
      <c r="A45" t="n">
        <v>42</v>
      </c>
      <c r="B45">
        <f>B44*(1-Premissas!$E$18/12)+Premissas!$E$12</f>
        <v/>
      </c>
      <c r="C45">
        <f>IF($B$2=1,C44*(1-Premissas!$E$26/12)+D45,0)</f>
        <v/>
      </c>
      <c r="D45">
        <f>IF(AND($B$2=1,A45&gt;=Premissas!$E$23),Premissas!$E$22,0)</f>
        <v/>
      </c>
      <c r="E45">
        <f>B45*Premissas!$E$28</f>
        <v/>
      </c>
      <c r="F45">
        <f>B45*Premissas!$E$13/12*MIN(1,A45/Premissas!$E$17)</f>
        <v/>
      </c>
      <c r="G45">
        <f>F45*Premissas!$E$14</f>
        <v/>
      </c>
      <c r="H45">
        <f>IF(IF(A45-1-Premissas!$E$16&gt;=0,OFFSET($J$4,A45-1-Premissas!$E$16,0),0)&gt;0,ROUND(IF(A45-1-Premissas!$E$16&gt;=0,OFFSET($J$4,A45-1-Premissas!$E$16,0),0)*10000/Premissas!$E$5*Premissas!$E$15,0),0)</f>
        <v/>
      </c>
      <c r="I45">
        <f>ROUND(G45*Premissas!$E$6/10000,0)</f>
        <v/>
      </c>
      <c r="J45">
        <f>ROUND(G45*Premissas!$E$5/10000,0)</f>
        <v/>
      </c>
      <c r="K45">
        <f>IF(IF(A45-1-Premissas!$E$16&gt;=0,OFFSET($A$4,A45-1-Premissas!$E$16,0)&gt;=Premissas!$E$19,FALSE),ROUND(IF(A45-1-Premissas!$E$16&gt;=0,OFFSET($J$4,A45-1-Premissas!$E$16,0),0)*Premissas!$E$15,0),0)</f>
        <v/>
      </c>
      <c r="L45">
        <f>ROUND(C45*Premissas!$E$24/12,0)</f>
        <v/>
      </c>
      <c r="M45">
        <f>ROUND(D45*Premissas!$E$25,0)</f>
        <v/>
      </c>
      <c r="N45">
        <f>ROUND(E45*Premissas!$E$29+B45*Premissas!$E$30,0)</f>
        <v/>
      </c>
      <c r="O45">
        <f>K45+L45+M45+N45</f>
        <v/>
      </c>
      <c r="P45">
        <f>K45+ROUND(AC45*Premissas!$E$24,0)+M45+N45</f>
        <v/>
      </c>
      <c r="Q45">
        <f>ROUND(IF(A45-1-Premissas!$E$21&gt;=0,OFFSET($P$4,A45-1-Premissas!$E$21,0),0)*(1-Premissas!$E$20/100),0)</f>
        <v/>
      </c>
      <c r="R45">
        <f>ROUND(F45*Premissas!$E$11+N45*Premissas!$E$31/100,0)+ROUND((E45+B45)*Premissas!$E$10,0)+ROUND(Q45*Premissas!$E$8/100,0)+ROUND(Premissas!$E$35+(B45+C45)*Premissas!$E$36,0)</f>
        <v/>
      </c>
      <c r="S45">
        <f>O45-R45</f>
        <v/>
      </c>
      <c r="T45">
        <f>ROUND(O45*Premissas!$E$9/100,0)</f>
        <v/>
      </c>
      <c r="U45">
        <f>ROUND(AB45*Premissas!$E$33,0)</f>
        <v/>
      </c>
      <c r="V45">
        <f>Premissas!$E$37+ROUND(Premissas!$E$12*Premissas!$E$38+D45*Premissas!$E$27,0)</f>
        <v/>
      </c>
      <c r="W45">
        <f>Premissas!$E$39</f>
        <v/>
      </c>
      <c r="X45">
        <f>S45-T45-ROUND(Premissas!$E$12*Premissas!$E$38+D45*Premissas!$E$27,0)</f>
        <v/>
      </c>
      <c r="Y45">
        <f>O45-R45-T45-U45-V45-W45</f>
        <v/>
      </c>
      <c r="Z45">
        <f>Q45-R45-T45-U45-V45-W45</f>
        <v/>
      </c>
      <c r="AA45">
        <f>AA44+Z45</f>
        <v/>
      </c>
      <c r="AB45">
        <f>Premissas!$E$32+(B45+C45)/Premissas!$E$34</f>
        <v/>
      </c>
      <c r="AC45">
        <f>D45+AC33*(1-Premissas!$E$26/12)^12</f>
        <v/>
      </c>
    </row>
    <row r="46">
      <c r="A46" t="n">
        <v>43</v>
      </c>
      <c r="B46">
        <f>B45*(1-Premissas!$E$18/12)+Premissas!$E$12</f>
        <v/>
      </c>
      <c r="C46">
        <f>IF($B$2=1,C45*(1-Premissas!$E$26/12)+D46,0)</f>
        <v/>
      </c>
      <c r="D46">
        <f>IF(AND($B$2=1,A46&gt;=Premissas!$E$23),Premissas!$E$22,0)</f>
        <v/>
      </c>
      <c r="E46">
        <f>B46*Premissas!$E$28</f>
        <v/>
      </c>
      <c r="F46">
        <f>B46*Premissas!$E$13/12*MIN(1,A46/Premissas!$E$17)</f>
        <v/>
      </c>
      <c r="G46">
        <f>F46*Premissas!$E$14</f>
        <v/>
      </c>
      <c r="H46">
        <f>IF(IF(A46-1-Premissas!$E$16&gt;=0,OFFSET($J$4,A46-1-Premissas!$E$16,0),0)&gt;0,ROUND(IF(A46-1-Premissas!$E$16&gt;=0,OFFSET($J$4,A46-1-Premissas!$E$16,0),0)*10000/Premissas!$E$5*Premissas!$E$15,0),0)</f>
        <v/>
      </c>
      <c r="I46">
        <f>ROUND(G46*Premissas!$E$6/10000,0)</f>
        <v/>
      </c>
      <c r="J46">
        <f>ROUND(G46*Premissas!$E$5/10000,0)</f>
        <v/>
      </c>
      <c r="K46">
        <f>IF(IF(A46-1-Premissas!$E$16&gt;=0,OFFSET($A$4,A46-1-Premissas!$E$16,0)&gt;=Premissas!$E$19,FALSE),ROUND(IF(A46-1-Premissas!$E$16&gt;=0,OFFSET($J$4,A46-1-Premissas!$E$16,0),0)*Premissas!$E$15,0),0)</f>
        <v/>
      </c>
      <c r="L46">
        <f>ROUND(C46*Premissas!$E$24/12,0)</f>
        <v/>
      </c>
      <c r="M46">
        <f>ROUND(D46*Premissas!$E$25,0)</f>
        <v/>
      </c>
      <c r="N46">
        <f>ROUND(E46*Premissas!$E$29+B46*Premissas!$E$30,0)</f>
        <v/>
      </c>
      <c r="O46">
        <f>K46+L46+M46+N46</f>
        <v/>
      </c>
      <c r="P46">
        <f>K46+ROUND(AC46*Premissas!$E$24,0)+M46+N46</f>
        <v/>
      </c>
      <c r="Q46">
        <f>ROUND(IF(A46-1-Premissas!$E$21&gt;=0,OFFSET($P$4,A46-1-Premissas!$E$21,0),0)*(1-Premissas!$E$20/100),0)</f>
        <v/>
      </c>
      <c r="R46">
        <f>ROUND(F46*Premissas!$E$11+N46*Premissas!$E$31/100,0)+ROUND((E46+B46)*Premissas!$E$10,0)+ROUND(Q46*Premissas!$E$8/100,0)+ROUND(Premissas!$E$35+(B46+C46)*Premissas!$E$36,0)</f>
        <v/>
      </c>
      <c r="S46">
        <f>O46-R46</f>
        <v/>
      </c>
      <c r="T46">
        <f>ROUND(O46*Premissas!$E$9/100,0)</f>
        <v/>
      </c>
      <c r="U46">
        <f>ROUND(AB46*Premissas!$E$33,0)</f>
        <v/>
      </c>
      <c r="V46">
        <f>Premissas!$E$37+ROUND(Premissas!$E$12*Premissas!$E$38+D46*Premissas!$E$27,0)</f>
        <v/>
      </c>
      <c r="W46">
        <f>Premissas!$E$39</f>
        <v/>
      </c>
      <c r="X46">
        <f>S46-T46-ROUND(Premissas!$E$12*Premissas!$E$38+D46*Premissas!$E$27,0)</f>
        <v/>
      </c>
      <c r="Y46">
        <f>O46-R46-T46-U46-V46-W46</f>
        <v/>
      </c>
      <c r="Z46">
        <f>Q46-R46-T46-U46-V46-W46</f>
        <v/>
      </c>
      <c r="AA46">
        <f>AA45+Z46</f>
        <v/>
      </c>
      <c r="AB46">
        <f>Premissas!$E$32+(B46+C46)/Premissas!$E$34</f>
        <v/>
      </c>
      <c r="AC46">
        <f>D46+AC34*(1-Premissas!$E$26/12)^12</f>
        <v/>
      </c>
    </row>
    <row r="47">
      <c r="A47" t="n">
        <v>44</v>
      </c>
      <c r="B47">
        <f>B46*(1-Premissas!$E$18/12)+Premissas!$E$12</f>
        <v/>
      </c>
      <c r="C47">
        <f>IF($B$2=1,C46*(1-Premissas!$E$26/12)+D47,0)</f>
        <v/>
      </c>
      <c r="D47">
        <f>IF(AND($B$2=1,A47&gt;=Premissas!$E$23),Premissas!$E$22,0)</f>
        <v/>
      </c>
      <c r="E47">
        <f>B47*Premissas!$E$28</f>
        <v/>
      </c>
      <c r="F47">
        <f>B47*Premissas!$E$13/12*MIN(1,A47/Premissas!$E$17)</f>
        <v/>
      </c>
      <c r="G47">
        <f>F47*Premissas!$E$14</f>
        <v/>
      </c>
      <c r="H47">
        <f>IF(IF(A47-1-Premissas!$E$16&gt;=0,OFFSET($J$4,A47-1-Premissas!$E$16,0),0)&gt;0,ROUND(IF(A47-1-Premissas!$E$16&gt;=0,OFFSET($J$4,A47-1-Premissas!$E$16,0),0)*10000/Premissas!$E$5*Premissas!$E$15,0),0)</f>
        <v/>
      </c>
      <c r="I47">
        <f>ROUND(G47*Premissas!$E$6/10000,0)</f>
        <v/>
      </c>
      <c r="J47">
        <f>ROUND(G47*Premissas!$E$5/10000,0)</f>
        <v/>
      </c>
      <c r="K47">
        <f>IF(IF(A47-1-Premissas!$E$16&gt;=0,OFFSET($A$4,A47-1-Premissas!$E$16,0)&gt;=Premissas!$E$19,FALSE),ROUND(IF(A47-1-Premissas!$E$16&gt;=0,OFFSET($J$4,A47-1-Premissas!$E$16,0),0)*Premissas!$E$15,0),0)</f>
        <v/>
      </c>
      <c r="L47">
        <f>ROUND(C47*Premissas!$E$24/12,0)</f>
        <v/>
      </c>
      <c r="M47">
        <f>ROUND(D47*Premissas!$E$25,0)</f>
        <v/>
      </c>
      <c r="N47">
        <f>ROUND(E47*Premissas!$E$29+B47*Premissas!$E$30,0)</f>
        <v/>
      </c>
      <c r="O47">
        <f>K47+L47+M47+N47</f>
        <v/>
      </c>
      <c r="P47">
        <f>K47+ROUND(AC47*Premissas!$E$24,0)+M47+N47</f>
        <v/>
      </c>
      <c r="Q47">
        <f>ROUND(IF(A47-1-Premissas!$E$21&gt;=0,OFFSET($P$4,A47-1-Premissas!$E$21,0),0)*(1-Premissas!$E$20/100),0)</f>
        <v/>
      </c>
      <c r="R47">
        <f>ROUND(F47*Premissas!$E$11+N47*Premissas!$E$31/100,0)+ROUND((E47+B47)*Premissas!$E$10,0)+ROUND(Q47*Premissas!$E$8/100,0)+ROUND(Premissas!$E$35+(B47+C47)*Premissas!$E$36,0)</f>
        <v/>
      </c>
      <c r="S47">
        <f>O47-R47</f>
        <v/>
      </c>
      <c r="T47">
        <f>ROUND(O47*Premissas!$E$9/100,0)</f>
        <v/>
      </c>
      <c r="U47">
        <f>ROUND(AB47*Premissas!$E$33,0)</f>
        <v/>
      </c>
      <c r="V47">
        <f>Premissas!$E$37+ROUND(Premissas!$E$12*Premissas!$E$38+D47*Premissas!$E$27,0)</f>
        <v/>
      </c>
      <c r="W47">
        <f>Premissas!$E$39</f>
        <v/>
      </c>
      <c r="X47">
        <f>S47-T47-ROUND(Premissas!$E$12*Premissas!$E$38+D47*Premissas!$E$27,0)</f>
        <v/>
      </c>
      <c r="Y47">
        <f>O47-R47-T47-U47-V47-W47</f>
        <v/>
      </c>
      <c r="Z47">
        <f>Q47-R47-T47-U47-V47-W47</f>
        <v/>
      </c>
      <c r="AA47">
        <f>AA46+Z47</f>
        <v/>
      </c>
      <c r="AB47">
        <f>Premissas!$E$32+(B47+C47)/Premissas!$E$34</f>
        <v/>
      </c>
      <c r="AC47">
        <f>D47+AC35*(1-Premissas!$E$26/12)^12</f>
        <v/>
      </c>
    </row>
    <row r="48">
      <c r="A48" t="n">
        <v>45</v>
      </c>
      <c r="B48">
        <f>B47*(1-Premissas!$E$18/12)+Premissas!$E$12</f>
        <v/>
      </c>
      <c r="C48">
        <f>IF($B$2=1,C47*(1-Premissas!$E$26/12)+D48,0)</f>
        <v/>
      </c>
      <c r="D48">
        <f>IF(AND($B$2=1,A48&gt;=Premissas!$E$23),Premissas!$E$22,0)</f>
        <v/>
      </c>
      <c r="E48">
        <f>B48*Premissas!$E$28</f>
        <v/>
      </c>
      <c r="F48">
        <f>B48*Premissas!$E$13/12*MIN(1,A48/Premissas!$E$17)</f>
        <v/>
      </c>
      <c r="G48">
        <f>F48*Premissas!$E$14</f>
        <v/>
      </c>
      <c r="H48">
        <f>IF(IF(A48-1-Premissas!$E$16&gt;=0,OFFSET($J$4,A48-1-Premissas!$E$16,0),0)&gt;0,ROUND(IF(A48-1-Premissas!$E$16&gt;=0,OFFSET($J$4,A48-1-Premissas!$E$16,0),0)*10000/Premissas!$E$5*Premissas!$E$15,0),0)</f>
        <v/>
      </c>
      <c r="I48">
        <f>ROUND(G48*Premissas!$E$6/10000,0)</f>
        <v/>
      </c>
      <c r="J48">
        <f>ROUND(G48*Premissas!$E$5/10000,0)</f>
        <v/>
      </c>
      <c r="K48">
        <f>IF(IF(A48-1-Premissas!$E$16&gt;=0,OFFSET($A$4,A48-1-Premissas!$E$16,0)&gt;=Premissas!$E$19,FALSE),ROUND(IF(A48-1-Premissas!$E$16&gt;=0,OFFSET($J$4,A48-1-Premissas!$E$16,0),0)*Premissas!$E$15,0),0)</f>
        <v/>
      </c>
      <c r="L48">
        <f>ROUND(C48*Premissas!$E$24/12,0)</f>
        <v/>
      </c>
      <c r="M48">
        <f>ROUND(D48*Premissas!$E$25,0)</f>
        <v/>
      </c>
      <c r="N48">
        <f>ROUND(E48*Premissas!$E$29+B48*Premissas!$E$30,0)</f>
        <v/>
      </c>
      <c r="O48">
        <f>K48+L48+M48+N48</f>
        <v/>
      </c>
      <c r="P48">
        <f>K48+ROUND(AC48*Premissas!$E$24,0)+M48+N48</f>
        <v/>
      </c>
      <c r="Q48">
        <f>ROUND(IF(A48-1-Premissas!$E$21&gt;=0,OFFSET($P$4,A48-1-Premissas!$E$21,0),0)*(1-Premissas!$E$20/100),0)</f>
        <v/>
      </c>
      <c r="R48">
        <f>ROUND(F48*Premissas!$E$11+N48*Premissas!$E$31/100,0)+ROUND((E48+B48)*Premissas!$E$10,0)+ROUND(Q48*Premissas!$E$8/100,0)+ROUND(Premissas!$E$35+(B48+C48)*Premissas!$E$36,0)</f>
        <v/>
      </c>
      <c r="S48">
        <f>O48-R48</f>
        <v/>
      </c>
      <c r="T48">
        <f>ROUND(O48*Premissas!$E$9/100,0)</f>
        <v/>
      </c>
      <c r="U48">
        <f>ROUND(AB48*Premissas!$E$33,0)</f>
        <v/>
      </c>
      <c r="V48">
        <f>Premissas!$E$37+ROUND(Premissas!$E$12*Premissas!$E$38+D48*Premissas!$E$27,0)</f>
        <v/>
      </c>
      <c r="W48">
        <f>Premissas!$E$39</f>
        <v/>
      </c>
      <c r="X48">
        <f>S48-T48-ROUND(Premissas!$E$12*Premissas!$E$38+D48*Premissas!$E$27,0)</f>
        <v/>
      </c>
      <c r="Y48">
        <f>O48-R48-T48-U48-V48-W48</f>
        <v/>
      </c>
      <c r="Z48">
        <f>Q48-R48-T48-U48-V48-W48</f>
        <v/>
      </c>
      <c r="AA48">
        <f>AA47+Z48</f>
        <v/>
      </c>
      <c r="AB48">
        <f>Premissas!$E$32+(B48+C48)/Premissas!$E$34</f>
        <v/>
      </c>
      <c r="AC48">
        <f>D48+AC36*(1-Premissas!$E$26/12)^12</f>
        <v/>
      </c>
    </row>
    <row r="49">
      <c r="A49" t="n">
        <v>46</v>
      </c>
      <c r="B49">
        <f>B48*(1-Premissas!$E$18/12)+Premissas!$E$12</f>
        <v/>
      </c>
      <c r="C49">
        <f>IF($B$2=1,C48*(1-Premissas!$E$26/12)+D49,0)</f>
        <v/>
      </c>
      <c r="D49">
        <f>IF(AND($B$2=1,A49&gt;=Premissas!$E$23),Premissas!$E$22,0)</f>
        <v/>
      </c>
      <c r="E49">
        <f>B49*Premissas!$E$28</f>
        <v/>
      </c>
      <c r="F49">
        <f>B49*Premissas!$E$13/12*MIN(1,A49/Premissas!$E$17)</f>
        <v/>
      </c>
      <c r="G49">
        <f>F49*Premissas!$E$14</f>
        <v/>
      </c>
      <c r="H49">
        <f>IF(IF(A49-1-Premissas!$E$16&gt;=0,OFFSET($J$4,A49-1-Premissas!$E$16,0),0)&gt;0,ROUND(IF(A49-1-Premissas!$E$16&gt;=0,OFFSET($J$4,A49-1-Premissas!$E$16,0),0)*10000/Premissas!$E$5*Premissas!$E$15,0),0)</f>
        <v/>
      </c>
      <c r="I49">
        <f>ROUND(G49*Premissas!$E$6/10000,0)</f>
        <v/>
      </c>
      <c r="J49">
        <f>ROUND(G49*Premissas!$E$5/10000,0)</f>
        <v/>
      </c>
      <c r="K49">
        <f>IF(IF(A49-1-Premissas!$E$16&gt;=0,OFFSET($A$4,A49-1-Premissas!$E$16,0)&gt;=Premissas!$E$19,FALSE),ROUND(IF(A49-1-Premissas!$E$16&gt;=0,OFFSET($J$4,A49-1-Premissas!$E$16,0),0)*Premissas!$E$15,0),0)</f>
        <v/>
      </c>
      <c r="L49">
        <f>ROUND(C49*Premissas!$E$24/12,0)</f>
        <v/>
      </c>
      <c r="M49">
        <f>ROUND(D49*Premissas!$E$25,0)</f>
        <v/>
      </c>
      <c r="N49">
        <f>ROUND(E49*Premissas!$E$29+B49*Premissas!$E$30,0)</f>
        <v/>
      </c>
      <c r="O49">
        <f>K49+L49+M49+N49</f>
        <v/>
      </c>
      <c r="P49">
        <f>K49+ROUND(AC49*Premissas!$E$24,0)+M49+N49</f>
        <v/>
      </c>
      <c r="Q49">
        <f>ROUND(IF(A49-1-Premissas!$E$21&gt;=0,OFFSET($P$4,A49-1-Premissas!$E$21,0),0)*(1-Premissas!$E$20/100),0)</f>
        <v/>
      </c>
      <c r="R49">
        <f>ROUND(F49*Premissas!$E$11+N49*Premissas!$E$31/100,0)+ROUND((E49+B49)*Premissas!$E$10,0)+ROUND(Q49*Premissas!$E$8/100,0)+ROUND(Premissas!$E$35+(B49+C49)*Premissas!$E$36,0)</f>
        <v/>
      </c>
      <c r="S49">
        <f>O49-R49</f>
        <v/>
      </c>
      <c r="T49">
        <f>ROUND(O49*Premissas!$E$9/100,0)</f>
        <v/>
      </c>
      <c r="U49">
        <f>ROUND(AB49*Premissas!$E$33,0)</f>
        <v/>
      </c>
      <c r="V49">
        <f>Premissas!$E$37+ROUND(Premissas!$E$12*Premissas!$E$38+D49*Premissas!$E$27,0)</f>
        <v/>
      </c>
      <c r="W49">
        <f>Premissas!$E$39</f>
        <v/>
      </c>
      <c r="X49">
        <f>S49-T49-ROUND(Premissas!$E$12*Premissas!$E$38+D49*Premissas!$E$27,0)</f>
        <v/>
      </c>
      <c r="Y49">
        <f>O49-R49-T49-U49-V49-W49</f>
        <v/>
      </c>
      <c r="Z49">
        <f>Q49-R49-T49-U49-V49-W49</f>
        <v/>
      </c>
      <c r="AA49">
        <f>AA48+Z49</f>
        <v/>
      </c>
      <c r="AB49">
        <f>Premissas!$E$32+(B49+C49)/Premissas!$E$34</f>
        <v/>
      </c>
      <c r="AC49">
        <f>D49+AC37*(1-Premissas!$E$26/12)^12</f>
        <v/>
      </c>
    </row>
    <row r="50">
      <c r="A50" t="n">
        <v>47</v>
      </c>
      <c r="B50">
        <f>B49*(1-Premissas!$E$18/12)+Premissas!$E$12</f>
        <v/>
      </c>
      <c r="C50">
        <f>IF($B$2=1,C49*(1-Premissas!$E$26/12)+D50,0)</f>
        <v/>
      </c>
      <c r="D50">
        <f>IF(AND($B$2=1,A50&gt;=Premissas!$E$23),Premissas!$E$22,0)</f>
        <v/>
      </c>
      <c r="E50">
        <f>B50*Premissas!$E$28</f>
        <v/>
      </c>
      <c r="F50">
        <f>B50*Premissas!$E$13/12*MIN(1,A50/Premissas!$E$17)</f>
        <v/>
      </c>
      <c r="G50">
        <f>F50*Premissas!$E$14</f>
        <v/>
      </c>
      <c r="H50">
        <f>IF(IF(A50-1-Premissas!$E$16&gt;=0,OFFSET($J$4,A50-1-Premissas!$E$16,0),0)&gt;0,ROUND(IF(A50-1-Premissas!$E$16&gt;=0,OFFSET($J$4,A50-1-Premissas!$E$16,0),0)*10000/Premissas!$E$5*Premissas!$E$15,0),0)</f>
        <v/>
      </c>
      <c r="I50">
        <f>ROUND(G50*Premissas!$E$6/10000,0)</f>
        <v/>
      </c>
      <c r="J50">
        <f>ROUND(G50*Premissas!$E$5/10000,0)</f>
        <v/>
      </c>
      <c r="K50">
        <f>IF(IF(A50-1-Premissas!$E$16&gt;=0,OFFSET($A$4,A50-1-Premissas!$E$16,0)&gt;=Premissas!$E$19,FALSE),ROUND(IF(A50-1-Premissas!$E$16&gt;=0,OFFSET($J$4,A50-1-Premissas!$E$16,0),0)*Premissas!$E$15,0),0)</f>
        <v/>
      </c>
      <c r="L50">
        <f>ROUND(C50*Premissas!$E$24/12,0)</f>
        <v/>
      </c>
      <c r="M50">
        <f>ROUND(D50*Premissas!$E$25,0)</f>
        <v/>
      </c>
      <c r="N50">
        <f>ROUND(E50*Premissas!$E$29+B50*Premissas!$E$30,0)</f>
        <v/>
      </c>
      <c r="O50">
        <f>K50+L50+M50+N50</f>
        <v/>
      </c>
      <c r="P50">
        <f>K50+ROUND(AC50*Premissas!$E$24,0)+M50+N50</f>
        <v/>
      </c>
      <c r="Q50">
        <f>ROUND(IF(A50-1-Premissas!$E$21&gt;=0,OFFSET($P$4,A50-1-Premissas!$E$21,0),0)*(1-Premissas!$E$20/100),0)</f>
        <v/>
      </c>
      <c r="R50">
        <f>ROUND(F50*Premissas!$E$11+N50*Premissas!$E$31/100,0)+ROUND((E50+B50)*Premissas!$E$10,0)+ROUND(Q50*Premissas!$E$8/100,0)+ROUND(Premissas!$E$35+(B50+C50)*Premissas!$E$36,0)</f>
        <v/>
      </c>
      <c r="S50">
        <f>O50-R50</f>
        <v/>
      </c>
      <c r="T50">
        <f>ROUND(O50*Premissas!$E$9/100,0)</f>
        <v/>
      </c>
      <c r="U50">
        <f>ROUND(AB50*Premissas!$E$33,0)</f>
        <v/>
      </c>
      <c r="V50">
        <f>Premissas!$E$37+ROUND(Premissas!$E$12*Premissas!$E$38+D50*Premissas!$E$27,0)</f>
        <v/>
      </c>
      <c r="W50">
        <f>Premissas!$E$39</f>
        <v/>
      </c>
      <c r="X50">
        <f>S50-T50-ROUND(Premissas!$E$12*Premissas!$E$38+D50*Premissas!$E$27,0)</f>
        <v/>
      </c>
      <c r="Y50">
        <f>O50-R50-T50-U50-V50-W50</f>
        <v/>
      </c>
      <c r="Z50">
        <f>Q50-R50-T50-U50-V50-W50</f>
        <v/>
      </c>
      <c r="AA50">
        <f>AA49+Z50</f>
        <v/>
      </c>
      <c r="AB50">
        <f>Premissas!$E$32+(B50+C50)/Premissas!$E$34</f>
        <v/>
      </c>
      <c r="AC50">
        <f>D50+AC38*(1-Premissas!$E$26/12)^12</f>
        <v/>
      </c>
    </row>
    <row r="51">
      <c r="A51" t="n">
        <v>48</v>
      </c>
      <c r="B51">
        <f>B50*(1-Premissas!$E$18/12)+Premissas!$E$12</f>
        <v/>
      </c>
      <c r="C51">
        <f>IF($B$2=1,C50*(1-Premissas!$E$26/12)+D51,0)</f>
        <v/>
      </c>
      <c r="D51">
        <f>IF(AND($B$2=1,A51&gt;=Premissas!$E$23),Premissas!$E$22,0)</f>
        <v/>
      </c>
      <c r="E51">
        <f>B51*Premissas!$E$28</f>
        <v/>
      </c>
      <c r="F51">
        <f>B51*Premissas!$E$13/12*MIN(1,A51/Premissas!$E$17)</f>
        <v/>
      </c>
      <c r="G51">
        <f>F51*Premissas!$E$14</f>
        <v/>
      </c>
      <c r="H51">
        <f>IF(IF(A51-1-Premissas!$E$16&gt;=0,OFFSET($J$4,A51-1-Premissas!$E$16,0),0)&gt;0,ROUND(IF(A51-1-Premissas!$E$16&gt;=0,OFFSET($J$4,A51-1-Premissas!$E$16,0),0)*10000/Premissas!$E$5*Premissas!$E$15,0),0)</f>
        <v/>
      </c>
      <c r="I51">
        <f>ROUND(G51*Premissas!$E$6/10000,0)</f>
        <v/>
      </c>
      <c r="J51">
        <f>ROUND(G51*Premissas!$E$5/10000,0)</f>
        <v/>
      </c>
      <c r="K51">
        <f>IF(IF(A51-1-Premissas!$E$16&gt;=0,OFFSET($A$4,A51-1-Premissas!$E$16,0)&gt;=Premissas!$E$19,FALSE),ROUND(IF(A51-1-Premissas!$E$16&gt;=0,OFFSET($J$4,A51-1-Premissas!$E$16,0),0)*Premissas!$E$15,0),0)</f>
        <v/>
      </c>
      <c r="L51">
        <f>ROUND(C51*Premissas!$E$24/12,0)</f>
        <v/>
      </c>
      <c r="M51">
        <f>ROUND(D51*Premissas!$E$25,0)</f>
        <v/>
      </c>
      <c r="N51">
        <f>ROUND(E51*Premissas!$E$29+B51*Premissas!$E$30,0)</f>
        <v/>
      </c>
      <c r="O51">
        <f>K51+L51+M51+N51</f>
        <v/>
      </c>
      <c r="P51">
        <f>K51+ROUND(AC51*Premissas!$E$24,0)+M51+N51</f>
        <v/>
      </c>
      <c r="Q51">
        <f>ROUND(IF(A51-1-Premissas!$E$21&gt;=0,OFFSET($P$4,A51-1-Premissas!$E$21,0),0)*(1-Premissas!$E$20/100),0)</f>
        <v/>
      </c>
      <c r="R51">
        <f>ROUND(F51*Premissas!$E$11+N51*Premissas!$E$31/100,0)+ROUND((E51+B51)*Premissas!$E$10,0)+ROUND(Q51*Premissas!$E$8/100,0)+ROUND(Premissas!$E$35+(B51+C51)*Premissas!$E$36,0)</f>
        <v/>
      </c>
      <c r="S51">
        <f>O51-R51</f>
        <v/>
      </c>
      <c r="T51">
        <f>ROUND(O51*Premissas!$E$9/100,0)</f>
        <v/>
      </c>
      <c r="U51">
        <f>ROUND(AB51*Premissas!$E$33,0)</f>
        <v/>
      </c>
      <c r="V51">
        <f>Premissas!$E$37+ROUND(Premissas!$E$12*Premissas!$E$38+D51*Premissas!$E$27,0)</f>
        <v/>
      </c>
      <c r="W51">
        <f>Premissas!$E$39</f>
        <v/>
      </c>
      <c r="X51">
        <f>S51-T51-ROUND(Premissas!$E$12*Premissas!$E$38+D51*Premissas!$E$27,0)</f>
        <v/>
      </c>
      <c r="Y51">
        <f>O51-R51-T51-U51-V51-W51</f>
        <v/>
      </c>
      <c r="Z51">
        <f>Q51-R51-T51-U51-V51-W51</f>
        <v/>
      </c>
      <c r="AA51">
        <f>AA50+Z51</f>
        <v/>
      </c>
      <c r="AB51">
        <f>Premissas!$E$32+(B51+C51)/Premissas!$E$34</f>
        <v/>
      </c>
      <c r="AC51">
        <f>D51+AC39*(1-Premissas!$E$26/12)^12</f>
        <v/>
      </c>
    </row>
    <row r="52">
      <c r="A52" t="n">
        <v>49</v>
      </c>
      <c r="B52">
        <f>B51*(1-Premissas!$E$18/12)+Premissas!$E$12</f>
        <v/>
      </c>
      <c r="C52">
        <f>IF($B$2=1,C51*(1-Premissas!$E$26/12)+D52,0)</f>
        <v/>
      </c>
      <c r="D52">
        <f>IF(AND($B$2=1,A52&gt;=Premissas!$E$23),Premissas!$E$22,0)</f>
        <v/>
      </c>
      <c r="E52">
        <f>B52*Premissas!$E$28</f>
        <v/>
      </c>
      <c r="F52">
        <f>B52*Premissas!$E$13/12*MIN(1,A52/Premissas!$E$17)</f>
        <v/>
      </c>
      <c r="G52">
        <f>F52*Premissas!$E$14</f>
        <v/>
      </c>
      <c r="H52">
        <f>IF(IF(A52-1-Premissas!$E$16&gt;=0,OFFSET($J$4,A52-1-Premissas!$E$16,0),0)&gt;0,ROUND(IF(A52-1-Premissas!$E$16&gt;=0,OFFSET($J$4,A52-1-Premissas!$E$16,0),0)*10000/Premissas!$E$5*Premissas!$E$15,0),0)</f>
        <v/>
      </c>
      <c r="I52">
        <f>ROUND(G52*Premissas!$E$6/10000,0)</f>
        <v/>
      </c>
      <c r="J52">
        <f>ROUND(G52*Premissas!$E$5/10000,0)</f>
        <v/>
      </c>
      <c r="K52">
        <f>IF(IF(A52-1-Premissas!$E$16&gt;=0,OFFSET($A$4,A52-1-Premissas!$E$16,0)&gt;=Premissas!$E$19,FALSE),ROUND(IF(A52-1-Premissas!$E$16&gt;=0,OFFSET($J$4,A52-1-Premissas!$E$16,0),0)*Premissas!$E$15,0),0)</f>
        <v/>
      </c>
      <c r="L52">
        <f>ROUND(C52*Premissas!$E$24/12,0)</f>
        <v/>
      </c>
      <c r="M52">
        <f>ROUND(D52*Premissas!$E$25,0)</f>
        <v/>
      </c>
      <c r="N52">
        <f>ROUND(E52*Premissas!$E$29+B52*Premissas!$E$30,0)</f>
        <v/>
      </c>
      <c r="O52">
        <f>K52+L52+M52+N52</f>
        <v/>
      </c>
      <c r="P52">
        <f>K52+ROUND(AC52*Premissas!$E$24,0)+M52+N52</f>
        <v/>
      </c>
      <c r="Q52">
        <f>ROUND(IF(A52-1-Premissas!$E$21&gt;=0,OFFSET($P$4,A52-1-Premissas!$E$21,0),0)*(1-Premissas!$E$20/100),0)</f>
        <v/>
      </c>
      <c r="R52">
        <f>ROUND(F52*Premissas!$E$11+N52*Premissas!$E$31/100,0)+ROUND((E52+B52)*Premissas!$E$10,0)+ROUND(Q52*Premissas!$E$8/100,0)+ROUND(Premissas!$E$35+(B52+C52)*Premissas!$E$36,0)</f>
        <v/>
      </c>
      <c r="S52">
        <f>O52-R52</f>
        <v/>
      </c>
      <c r="T52">
        <f>ROUND(O52*Premissas!$E$9/100,0)</f>
        <v/>
      </c>
      <c r="U52">
        <f>ROUND(AB52*Premissas!$E$33,0)</f>
        <v/>
      </c>
      <c r="V52">
        <f>Premissas!$E$37+ROUND(Premissas!$E$12*Premissas!$E$38+D52*Premissas!$E$27,0)</f>
        <v/>
      </c>
      <c r="W52">
        <f>Premissas!$E$39</f>
        <v/>
      </c>
      <c r="X52">
        <f>S52-T52-ROUND(Premissas!$E$12*Premissas!$E$38+D52*Premissas!$E$27,0)</f>
        <v/>
      </c>
      <c r="Y52">
        <f>O52-R52-T52-U52-V52-W52</f>
        <v/>
      </c>
      <c r="Z52">
        <f>Q52-R52-T52-U52-V52-W52</f>
        <v/>
      </c>
      <c r="AA52">
        <f>AA51+Z52</f>
        <v/>
      </c>
      <c r="AB52">
        <f>Premissas!$E$32+(B52+C52)/Premissas!$E$34</f>
        <v/>
      </c>
      <c r="AC52">
        <f>D52+AC40*(1-Premissas!$E$26/12)^12</f>
        <v/>
      </c>
    </row>
    <row r="53">
      <c r="A53" t="n">
        <v>50</v>
      </c>
      <c r="B53">
        <f>B52*(1-Premissas!$E$18/12)+Premissas!$E$12</f>
        <v/>
      </c>
      <c r="C53">
        <f>IF($B$2=1,C52*(1-Premissas!$E$26/12)+D53,0)</f>
        <v/>
      </c>
      <c r="D53">
        <f>IF(AND($B$2=1,A53&gt;=Premissas!$E$23),Premissas!$E$22,0)</f>
        <v/>
      </c>
      <c r="E53">
        <f>B53*Premissas!$E$28</f>
        <v/>
      </c>
      <c r="F53">
        <f>B53*Premissas!$E$13/12*MIN(1,A53/Premissas!$E$17)</f>
        <v/>
      </c>
      <c r="G53">
        <f>F53*Premissas!$E$14</f>
        <v/>
      </c>
      <c r="H53">
        <f>IF(IF(A53-1-Premissas!$E$16&gt;=0,OFFSET($J$4,A53-1-Premissas!$E$16,0),0)&gt;0,ROUND(IF(A53-1-Premissas!$E$16&gt;=0,OFFSET($J$4,A53-1-Premissas!$E$16,0),0)*10000/Premissas!$E$5*Premissas!$E$15,0),0)</f>
        <v/>
      </c>
      <c r="I53">
        <f>ROUND(G53*Premissas!$E$6/10000,0)</f>
        <v/>
      </c>
      <c r="J53">
        <f>ROUND(G53*Premissas!$E$5/10000,0)</f>
        <v/>
      </c>
      <c r="K53">
        <f>IF(IF(A53-1-Premissas!$E$16&gt;=0,OFFSET($A$4,A53-1-Premissas!$E$16,0)&gt;=Premissas!$E$19,FALSE),ROUND(IF(A53-1-Premissas!$E$16&gt;=0,OFFSET($J$4,A53-1-Premissas!$E$16,0),0)*Premissas!$E$15,0),0)</f>
        <v/>
      </c>
      <c r="L53">
        <f>ROUND(C53*Premissas!$E$24/12,0)</f>
        <v/>
      </c>
      <c r="M53">
        <f>ROUND(D53*Premissas!$E$25,0)</f>
        <v/>
      </c>
      <c r="N53">
        <f>ROUND(E53*Premissas!$E$29+B53*Premissas!$E$30,0)</f>
        <v/>
      </c>
      <c r="O53">
        <f>K53+L53+M53+N53</f>
        <v/>
      </c>
      <c r="P53">
        <f>K53+ROUND(AC53*Premissas!$E$24,0)+M53+N53</f>
        <v/>
      </c>
      <c r="Q53">
        <f>ROUND(IF(A53-1-Premissas!$E$21&gt;=0,OFFSET($P$4,A53-1-Premissas!$E$21,0),0)*(1-Premissas!$E$20/100),0)</f>
        <v/>
      </c>
      <c r="R53">
        <f>ROUND(F53*Premissas!$E$11+N53*Premissas!$E$31/100,0)+ROUND((E53+B53)*Premissas!$E$10,0)+ROUND(Q53*Premissas!$E$8/100,0)+ROUND(Premissas!$E$35+(B53+C53)*Premissas!$E$36,0)</f>
        <v/>
      </c>
      <c r="S53">
        <f>O53-R53</f>
        <v/>
      </c>
      <c r="T53">
        <f>ROUND(O53*Premissas!$E$9/100,0)</f>
        <v/>
      </c>
      <c r="U53">
        <f>ROUND(AB53*Premissas!$E$33,0)</f>
        <v/>
      </c>
      <c r="V53">
        <f>Premissas!$E$37+ROUND(Premissas!$E$12*Premissas!$E$38+D53*Premissas!$E$27,0)</f>
        <v/>
      </c>
      <c r="W53">
        <f>Premissas!$E$39</f>
        <v/>
      </c>
      <c r="X53">
        <f>S53-T53-ROUND(Premissas!$E$12*Premissas!$E$38+D53*Premissas!$E$27,0)</f>
        <v/>
      </c>
      <c r="Y53">
        <f>O53-R53-T53-U53-V53-W53</f>
        <v/>
      </c>
      <c r="Z53">
        <f>Q53-R53-T53-U53-V53-W53</f>
        <v/>
      </c>
      <c r="AA53">
        <f>AA52+Z53</f>
        <v/>
      </c>
      <c r="AB53">
        <f>Premissas!$E$32+(B53+C53)/Premissas!$E$34</f>
        <v/>
      </c>
      <c r="AC53">
        <f>D53+AC41*(1-Premissas!$E$26/12)^12</f>
        <v/>
      </c>
    </row>
    <row r="54">
      <c r="A54" t="n">
        <v>51</v>
      </c>
      <c r="B54">
        <f>B53*(1-Premissas!$E$18/12)+Premissas!$E$12</f>
        <v/>
      </c>
      <c r="C54">
        <f>IF($B$2=1,C53*(1-Premissas!$E$26/12)+D54,0)</f>
        <v/>
      </c>
      <c r="D54">
        <f>IF(AND($B$2=1,A54&gt;=Premissas!$E$23),Premissas!$E$22,0)</f>
        <v/>
      </c>
      <c r="E54">
        <f>B54*Premissas!$E$28</f>
        <v/>
      </c>
      <c r="F54">
        <f>B54*Premissas!$E$13/12*MIN(1,A54/Premissas!$E$17)</f>
        <v/>
      </c>
      <c r="G54">
        <f>F54*Premissas!$E$14</f>
        <v/>
      </c>
      <c r="H54">
        <f>IF(IF(A54-1-Premissas!$E$16&gt;=0,OFFSET($J$4,A54-1-Premissas!$E$16,0),0)&gt;0,ROUND(IF(A54-1-Premissas!$E$16&gt;=0,OFFSET($J$4,A54-1-Premissas!$E$16,0),0)*10000/Premissas!$E$5*Premissas!$E$15,0),0)</f>
        <v/>
      </c>
      <c r="I54">
        <f>ROUND(G54*Premissas!$E$6/10000,0)</f>
        <v/>
      </c>
      <c r="J54">
        <f>ROUND(G54*Premissas!$E$5/10000,0)</f>
        <v/>
      </c>
      <c r="K54">
        <f>IF(IF(A54-1-Premissas!$E$16&gt;=0,OFFSET($A$4,A54-1-Premissas!$E$16,0)&gt;=Premissas!$E$19,FALSE),ROUND(IF(A54-1-Premissas!$E$16&gt;=0,OFFSET($J$4,A54-1-Premissas!$E$16,0),0)*Premissas!$E$15,0),0)</f>
        <v/>
      </c>
      <c r="L54">
        <f>ROUND(C54*Premissas!$E$24/12,0)</f>
        <v/>
      </c>
      <c r="M54">
        <f>ROUND(D54*Premissas!$E$25,0)</f>
        <v/>
      </c>
      <c r="N54">
        <f>ROUND(E54*Premissas!$E$29+B54*Premissas!$E$30,0)</f>
        <v/>
      </c>
      <c r="O54">
        <f>K54+L54+M54+N54</f>
        <v/>
      </c>
      <c r="P54">
        <f>K54+ROUND(AC54*Premissas!$E$24,0)+M54+N54</f>
        <v/>
      </c>
      <c r="Q54">
        <f>ROUND(IF(A54-1-Premissas!$E$21&gt;=0,OFFSET($P$4,A54-1-Premissas!$E$21,0),0)*(1-Premissas!$E$20/100),0)</f>
        <v/>
      </c>
      <c r="R54">
        <f>ROUND(F54*Premissas!$E$11+N54*Premissas!$E$31/100,0)+ROUND((E54+B54)*Premissas!$E$10,0)+ROUND(Q54*Premissas!$E$8/100,0)+ROUND(Premissas!$E$35+(B54+C54)*Premissas!$E$36,0)</f>
        <v/>
      </c>
      <c r="S54">
        <f>O54-R54</f>
        <v/>
      </c>
      <c r="T54">
        <f>ROUND(O54*Premissas!$E$9/100,0)</f>
        <v/>
      </c>
      <c r="U54">
        <f>ROUND(AB54*Premissas!$E$33,0)</f>
        <v/>
      </c>
      <c r="V54">
        <f>Premissas!$E$37+ROUND(Premissas!$E$12*Premissas!$E$38+D54*Premissas!$E$27,0)</f>
        <v/>
      </c>
      <c r="W54">
        <f>Premissas!$E$39</f>
        <v/>
      </c>
      <c r="X54">
        <f>S54-T54-ROUND(Premissas!$E$12*Premissas!$E$38+D54*Premissas!$E$27,0)</f>
        <v/>
      </c>
      <c r="Y54">
        <f>O54-R54-T54-U54-V54-W54</f>
        <v/>
      </c>
      <c r="Z54">
        <f>Q54-R54-T54-U54-V54-W54</f>
        <v/>
      </c>
      <c r="AA54">
        <f>AA53+Z54</f>
        <v/>
      </c>
      <c r="AB54">
        <f>Premissas!$E$32+(B54+C54)/Premissas!$E$34</f>
        <v/>
      </c>
      <c r="AC54">
        <f>D54+AC42*(1-Premissas!$E$26/12)^12</f>
        <v/>
      </c>
    </row>
    <row r="55">
      <c r="A55" t="n">
        <v>52</v>
      </c>
      <c r="B55">
        <f>B54*(1-Premissas!$E$18/12)+Premissas!$E$12</f>
        <v/>
      </c>
      <c r="C55">
        <f>IF($B$2=1,C54*(1-Premissas!$E$26/12)+D55,0)</f>
        <v/>
      </c>
      <c r="D55">
        <f>IF(AND($B$2=1,A55&gt;=Premissas!$E$23),Premissas!$E$22,0)</f>
        <v/>
      </c>
      <c r="E55">
        <f>B55*Premissas!$E$28</f>
        <v/>
      </c>
      <c r="F55">
        <f>B55*Premissas!$E$13/12*MIN(1,A55/Premissas!$E$17)</f>
        <v/>
      </c>
      <c r="G55">
        <f>F55*Premissas!$E$14</f>
        <v/>
      </c>
      <c r="H55">
        <f>IF(IF(A55-1-Premissas!$E$16&gt;=0,OFFSET($J$4,A55-1-Premissas!$E$16,0),0)&gt;0,ROUND(IF(A55-1-Premissas!$E$16&gt;=0,OFFSET($J$4,A55-1-Premissas!$E$16,0),0)*10000/Premissas!$E$5*Premissas!$E$15,0),0)</f>
        <v/>
      </c>
      <c r="I55">
        <f>ROUND(G55*Premissas!$E$6/10000,0)</f>
        <v/>
      </c>
      <c r="J55">
        <f>ROUND(G55*Premissas!$E$5/10000,0)</f>
        <v/>
      </c>
      <c r="K55">
        <f>IF(IF(A55-1-Premissas!$E$16&gt;=0,OFFSET($A$4,A55-1-Premissas!$E$16,0)&gt;=Premissas!$E$19,FALSE),ROUND(IF(A55-1-Premissas!$E$16&gt;=0,OFFSET($J$4,A55-1-Premissas!$E$16,0),0)*Premissas!$E$15,0),0)</f>
        <v/>
      </c>
      <c r="L55">
        <f>ROUND(C55*Premissas!$E$24/12,0)</f>
        <v/>
      </c>
      <c r="M55">
        <f>ROUND(D55*Premissas!$E$25,0)</f>
        <v/>
      </c>
      <c r="N55">
        <f>ROUND(E55*Premissas!$E$29+B55*Premissas!$E$30,0)</f>
        <v/>
      </c>
      <c r="O55">
        <f>K55+L55+M55+N55</f>
        <v/>
      </c>
      <c r="P55">
        <f>K55+ROUND(AC55*Premissas!$E$24,0)+M55+N55</f>
        <v/>
      </c>
      <c r="Q55">
        <f>ROUND(IF(A55-1-Premissas!$E$21&gt;=0,OFFSET($P$4,A55-1-Premissas!$E$21,0),0)*(1-Premissas!$E$20/100),0)</f>
        <v/>
      </c>
      <c r="R55">
        <f>ROUND(F55*Premissas!$E$11+N55*Premissas!$E$31/100,0)+ROUND((E55+B55)*Premissas!$E$10,0)+ROUND(Q55*Premissas!$E$8/100,0)+ROUND(Premissas!$E$35+(B55+C55)*Premissas!$E$36,0)</f>
        <v/>
      </c>
      <c r="S55">
        <f>O55-R55</f>
        <v/>
      </c>
      <c r="T55">
        <f>ROUND(O55*Premissas!$E$9/100,0)</f>
        <v/>
      </c>
      <c r="U55">
        <f>ROUND(AB55*Premissas!$E$33,0)</f>
        <v/>
      </c>
      <c r="V55">
        <f>Premissas!$E$37+ROUND(Premissas!$E$12*Premissas!$E$38+D55*Premissas!$E$27,0)</f>
        <v/>
      </c>
      <c r="W55">
        <f>Premissas!$E$39</f>
        <v/>
      </c>
      <c r="X55">
        <f>S55-T55-ROUND(Premissas!$E$12*Premissas!$E$38+D55*Premissas!$E$27,0)</f>
        <v/>
      </c>
      <c r="Y55">
        <f>O55-R55-T55-U55-V55-W55</f>
        <v/>
      </c>
      <c r="Z55">
        <f>Q55-R55-T55-U55-V55-W55</f>
        <v/>
      </c>
      <c r="AA55">
        <f>AA54+Z55</f>
        <v/>
      </c>
      <c r="AB55">
        <f>Premissas!$E$32+(B55+C55)/Premissas!$E$34</f>
        <v/>
      </c>
      <c r="AC55">
        <f>D55+AC43*(1-Premissas!$E$26/12)^12</f>
        <v/>
      </c>
    </row>
    <row r="56">
      <c r="A56" t="n">
        <v>53</v>
      </c>
      <c r="B56">
        <f>B55*(1-Premissas!$E$18/12)+Premissas!$E$12</f>
        <v/>
      </c>
      <c r="C56">
        <f>IF($B$2=1,C55*(1-Premissas!$E$26/12)+D56,0)</f>
        <v/>
      </c>
      <c r="D56">
        <f>IF(AND($B$2=1,A56&gt;=Premissas!$E$23),Premissas!$E$22,0)</f>
        <v/>
      </c>
      <c r="E56">
        <f>B56*Premissas!$E$28</f>
        <v/>
      </c>
      <c r="F56">
        <f>B56*Premissas!$E$13/12*MIN(1,A56/Premissas!$E$17)</f>
        <v/>
      </c>
      <c r="G56">
        <f>F56*Premissas!$E$14</f>
        <v/>
      </c>
      <c r="H56">
        <f>IF(IF(A56-1-Premissas!$E$16&gt;=0,OFFSET($J$4,A56-1-Premissas!$E$16,0),0)&gt;0,ROUND(IF(A56-1-Premissas!$E$16&gt;=0,OFFSET($J$4,A56-1-Premissas!$E$16,0),0)*10000/Premissas!$E$5*Premissas!$E$15,0),0)</f>
        <v/>
      </c>
      <c r="I56">
        <f>ROUND(G56*Premissas!$E$6/10000,0)</f>
        <v/>
      </c>
      <c r="J56">
        <f>ROUND(G56*Premissas!$E$5/10000,0)</f>
        <v/>
      </c>
      <c r="K56">
        <f>IF(IF(A56-1-Premissas!$E$16&gt;=0,OFFSET($A$4,A56-1-Premissas!$E$16,0)&gt;=Premissas!$E$19,FALSE),ROUND(IF(A56-1-Premissas!$E$16&gt;=0,OFFSET($J$4,A56-1-Premissas!$E$16,0),0)*Premissas!$E$15,0),0)</f>
        <v/>
      </c>
      <c r="L56">
        <f>ROUND(C56*Premissas!$E$24/12,0)</f>
        <v/>
      </c>
      <c r="M56">
        <f>ROUND(D56*Premissas!$E$25,0)</f>
        <v/>
      </c>
      <c r="N56">
        <f>ROUND(E56*Premissas!$E$29+B56*Premissas!$E$30,0)</f>
        <v/>
      </c>
      <c r="O56">
        <f>K56+L56+M56+N56</f>
        <v/>
      </c>
      <c r="P56">
        <f>K56+ROUND(AC56*Premissas!$E$24,0)+M56+N56</f>
        <v/>
      </c>
      <c r="Q56">
        <f>ROUND(IF(A56-1-Premissas!$E$21&gt;=0,OFFSET($P$4,A56-1-Premissas!$E$21,0),0)*(1-Premissas!$E$20/100),0)</f>
        <v/>
      </c>
      <c r="R56">
        <f>ROUND(F56*Premissas!$E$11+N56*Premissas!$E$31/100,0)+ROUND((E56+B56)*Premissas!$E$10,0)+ROUND(Q56*Premissas!$E$8/100,0)+ROUND(Premissas!$E$35+(B56+C56)*Premissas!$E$36,0)</f>
        <v/>
      </c>
      <c r="S56">
        <f>O56-R56</f>
        <v/>
      </c>
      <c r="T56">
        <f>ROUND(O56*Premissas!$E$9/100,0)</f>
        <v/>
      </c>
      <c r="U56">
        <f>ROUND(AB56*Premissas!$E$33,0)</f>
        <v/>
      </c>
      <c r="V56">
        <f>Premissas!$E$37+ROUND(Premissas!$E$12*Premissas!$E$38+D56*Premissas!$E$27,0)</f>
        <v/>
      </c>
      <c r="W56">
        <f>Premissas!$E$39</f>
        <v/>
      </c>
      <c r="X56">
        <f>S56-T56-ROUND(Premissas!$E$12*Premissas!$E$38+D56*Premissas!$E$27,0)</f>
        <v/>
      </c>
      <c r="Y56">
        <f>O56-R56-T56-U56-V56-W56</f>
        <v/>
      </c>
      <c r="Z56">
        <f>Q56-R56-T56-U56-V56-W56</f>
        <v/>
      </c>
      <c r="AA56">
        <f>AA55+Z56</f>
        <v/>
      </c>
      <c r="AB56">
        <f>Premissas!$E$32+(B56+C56)/Premissas!$E$34</f>
        <v/>
      </c>
      <c r="AC56">
        <f>D56+AC44*(1-Premissas!$E$26/12)^12</f>
        <v/>
      </c>
    </row>
    <row r="57">
      <c r="A57" t="n">
        <v>54</v>
      </c>
      <c r="B57">
        <f>B56*(1-Premissas!$E$18/12)+Premissas!$E$12</f>
        <v/>
      </c>
      <c r="C57">
        <f>IF($B$2=1,C56*(1-Premissas!$E$26/12)+D57,0)</f>
        <v/>
      </c>
      <c r="D57">
        <f>IF(AND($B$2=1,A57&gt;=Premissas!$E$23),Premissas!$E$22,0)</f>
        <v/>
      </c>
      <c r="E57">
        <f>B57*Premissas!$E$28</f>
        <v/>
      </c>
      <c r="F57">
        <f>B57*Premissas!$E$13/12*MIN(1,A57/Premissas!$E$17)</f>
        <v/>
      </c>
      <c r="G57">
        <f>F57*Premissas!$E$14</f>
        <v/>
      </c>
      <c r="H57">
        <f>IF(IF(A57-1-Premissas!$E$16&gt;=0,OFFSET($J$4,A57-1-Premissas!$E$16,0),0)&gt;0,ROUND(IF(A57-1-Premissas!$E$16&gt;=0,OFFSET($J$4,A57-1-Premissas!$E$16,0),0)*10000/Premissas!$E$5*Premissas!$E$15,0),0)</f>
        <v/>
      </c>
      <c r="I57">
        <f>ROUND(G57*Premissas!$E$6/10000,0)</f>
        <v/>
      </c>
      <c r="J57">
        <f>ROUND(G57*Premissas!$E$5/10000,0)</f>
        <v/>
      </c>
      <c r="K57">
        <f>IF(IF(A57-1-Premissas!$E$16&gt;=0,OFFSET($A$4,A57-1-Premissas!$E$16,0)&gt;=Premissas!$E$19,FALSE),ROUND(IF(A57-1-Premissas!$E$16&gt;=0,OFFSET($J$4,A57-1-Premissas!$E$16,0),0)*Premissas!$E$15,0),0)</f>
        <v/>
      </c>
      <c r="L57">
        <f>ROUND(C57*Premissas!$E$24/12,0)</f>
        <v/>
      </c>
      <c r="M57">
        <f>ROUND(D57*Premissas!$E$25,0)</f>
        <v/>
      </c>
      <c r="N57">
        <f>ROUND(E57*Premissas!$E$29+B57*Premissas!$E$30,0)</f>
        <v/>
      </c>
      <c r="O57">
        <f>K57+L57+M57+N57</f>
        <v/>
      </c>
      <c r="P57">
        <f>K57+ROUND(AC57*Premissas!$E$24,0)+M57+N57</f>
        <v/>
      </c>
      <c r="Q57">
        <f>ROUND(IF(A57-1-Premissas!$E$21&gt;=0,OFFSET($P$4,A57-1-Premissas!$E$21,0),0)*(1-Premissas!$E$20/100),0)</f>
        <v/>
      </c>
      <c r="R57">
        <f>ROUND(F57*Premissas!$E$11+N57*Premissas!$E$31/100,0)+ROUND((E57+B57)*Premissas!$E$10,0)+ROUND(Q57*Premissas!$E$8/100,0)+ROUND(Premissas!$E$35+(B57+C57)*Premissas!$E$36,0)</f>
        <v/>
      </c>
      <c r="S57">
        <f>O57-R57</f>
        <v/>
      </c>
      <c r="T57">
        <f>ROUND(O57*Premissas!$E$9/100,0)</f>
        <v/>
      </c>
      <c r="U57">
        <f>ROUND(AB57*Premissas!$E$33,0)</f>
        <v/>
      </c>
      <c r="V57">
        <f>Premissas!$E$37+ROUND(Premissas!$E$12*Premissas!$E$38+D57*Premissas!$E$27,0)</f>
        <v/>
      </c>
      <c r="W57">
        <f>Premissas!$E$39</f>
        <v/>
      </c>
      <c r="X57">
        <f>S57-T57-ROUND(Premissas!$E$12*Premissas!$E$38+D57*Premissas!$E$27,0)</f>
        <v/>
      </c>
      <c r="Y57">
        <f>O57-R57-T57-U57-V57-W57</f>
        <v/>
      </c>
      <c r="Z57">
        <f>Q57-R57-T57-U57-V57-W57</f>
        <v/>
      </c>
      <c r="AA57">
        <f>AA56+Z57</f>
        <v/>
      </c>
      <c r="AB57">
        <f>Premissas!$E$32+(B57+C57)/Premissas!$E$34</f>
        <v/>
      </c>
      <c r="AC57">
        <f>D57+AC45*(1-Premissas!$E$26/12)^12</f>
        <v/>
      </c>
    </row>
    <row r="58">
      <c r="A58" t="n">
        <v>55</v>
      </c>
      <c r="B58">
        <f>B57*(1-Premissas!$E$18/12)+Premissas!$E$12</f>
        <v/>
      </c>
      <c r="C58">
        <f>IF($B$2=1,C57*(1-Premissas!$E$26/12)+D58,0)</f>
        <v/>
      </c>
      <c r="D58">
        <f>IF(AND($B$2=1,A58&gt;=Premissas!$E$23),Premissas!$E$22,0)</f>
        <v/>
      </c>
      <c r="E58">
        <f>B58*Premissas!$E$28</f>
        <v/>
      </c>
      <c r="F58">
        <f>B58*Premissas!$E$13/12*MIN(1,A58/Premissas!$E$17)</f>
        <v/>
      </c>
      <c r="G58">
        <f>F58*Premissas!$E$14</f>
        <v/>
      </c>
      <c r="H58">
        <f>IF(IF(A58-1-Premissas!$E$16&gt;=0,OFFSET($J$4,A58-1-Premissas!$E$16,0),0)&gt;0,ROUND(IF(A58-1-Premissas!$E$16&gt;=0,OFFSET($J$4,A58-1-Premissas!$E$16,0),0)*10000/Premissas!$E$5*Premissas!$E$15,0),0)</f>
        <v/>
      </c>
      <c r="I58">
        <f>ROUND(G58*Premissas!$E$6/10000,0)</f>
        <v/>
      </c>
      <c r="J58">
        <f>ROUND(G58*Premissas!$E$5/10000,0)</f>
        <v/>
      </c>
      <c r="K58">
        <f>IF(IF(A58-1-Premissas!$E$16&gt;=0,OFFSET($A$4,A58-1-Premissas!$E$16,0)&gt;=Premissas!$E$19,FALSE),ROUND(IF(A58-1-Premissas!$E$16&gt;=0,OFFSET($J$4,A58-1-Premissas!$E$16,0),0)*Premissas!$E$15,0),0)</f>
        <v/>
      </c>
      <c r="L58">
        <f>ROUND(C58*Premissas!$E$24/12,0)</f>
        <v/>
      </c>
      <c r="M58">
        <f>ROUND(D58*Premissas!$E$25,0)</f>
        <v/>
      </c>
      <c r="N58">
        <f>ROUND(E58*Premissas!$E$29+B58*Premissas!$E$30,0)</f>
        <v/>
      </c>
      <c r="O58">
        <f>K58+L58+M58+N58</f>
        <v/>
      </c>
      <c r="P58">
        <f>K58+ROUND(AC58*Premissas!$E$24,0)+M58+N58</f>
        <v/>
      </c>
      <c r="Q58">
        <f>ROUND(IF(A58-1-Premissas!$E$21&gt;=0,OFFSET($P$4,A58-1-Premissas!$E$21,0),0)*(1-Premissas!$E$20/100),0)</f>
        <v/>
      </c>
      <c r="R58">
        <f>ROUND(F58*Premissas!$E$11+N58*Premissas!$E$31/100,0)+ROUND((E58+B58)*Premissas!$E$10,0)+ROUND(Q58*Premissas!$E$8/100,0)+ROUND(Premissas!$E$35+(B58+C58)*Premissas!$E$36,0)</f>
        <v/>
      </c>
      <c r="S58">
        <f>O58-R58</f>
        <v/>
      </c>
      <c r="T58">
        <f>ROUND(O58*Premissas!$E$9/100,0)</f>
        <v/>
      </c>
      <c r="U58">
        <f>ROUND(AB58*Premissas!$E$33,0)</f>
        <v/>
      </c>
      <c r="V58">
        <f>Premissas!$E$37+ROUND(Premissas!$E$12*Premissas!$E$38+D58*Premissas!$E$27,0)</f>
        <v/>
      </c>
      <c r="W58">
        <f>Premissas!$E$39</f>
        <v/>
      </c>
      <c r="X58">
        <f>S58-T58-ROUND(Premissas!$E$12*Premissas!$E$38+D58*Premissas!$E$27,0)</f>
        <v/>
      </c>
      <c r="Y58">
        <f>O58-R58-T58-U58-V58-W58</f>
        <v/>
      </c>
      <c r="Z58">
        <f>Q58-R58-T58-U58-V58-W58</f>
        <v/>
      </c>
      <c r="AA58">
        <f>AA57+Z58</f>
        <v/>
      </c>
      <c r="AB58">
        <f>Premissas!$E$32+(B58+C58)/Premissas!$E$34</f>
        <v/>
      </c>
      <c r="AC58">
        <f>D58+AC46*(1-Premissas!$E$26/12)^12</f>
        <v/>
      </c>
    </row>
    <row r="59">
      <c r="A59" t="n">
        <v>56</v>
      </c>
      <c r="B59">
        <f>B58*(1-Premissas!$E$18/12)+Premissas!$E$12</f>
        <v/>
      </c>
      <c r="C59">
        <f>IF($B$2=1,C58*(1-Premissas!$E$26/12)+D59,0)</f>
        <v/>
      </c>
      <c r="D59">
        <f>IF(AND($B$2=1,A59&gt;=Premissas!$E$23),Premissas!$E$22,0)</f>
        <v/>
      </c>
      <c r="E59">
        <f>B59*Premissas!$E$28</f>
        <v/>
      </c>
      <c r="F59">
        <f>B59*Premissas!$E$13/12*MIN(1,A59/Premissas!$E$17)</f>
        <v/>
      </c>
      <c r="G59">
        <f>F59*Premissas!$E$14</f>
        <v/>
      </c>
      <c r="H59">
        <f>IF(IF(A59-1-Premissas!$E$16&gt;=0,OFFSET($J$4,A59-1-Premissas!$E$16,0),0)&gt;0,ROUND(IF(A59-1-Premissas!$E$16&gt;=0,OFFSET($J$4,A59-1-Premissas!$E$16,0),0)*10000/Premissas!$E$5*Premissas!$E$15,0),0)</f>
        <v/>
      </c>
      <c r="I59">
        <f>ROUND(G59*Premissas!$E$6/10000,0)</f>
        <v/>
      </c>
      <c r="J59">
        <f>ROUND(G59*Premissas!$E$5/10000,0)</f>
        <v/>
      </c>
      <c r="K59">
        <f>IF(IF(A59-1-Premissas!$E$16&gt;=0,OFFSET($A$4,A59-1-Premissas!$E$16,0)&gt;=Premissas!$E$19,FALSE),ROUND(IF(A59-1-Premissas!$E$16&gt;=0,OFFSET($J$4,A59-1-Premissas!$E$16,0),0)*Premissas!$E$15,0),0)</f>
        <v/>
      </c>
      <c r="L59">
        <f>ROUND(C59*Premissas!$E$24/12,0)</f>
        <v/>
      </c>
      <c r="M59">
        <f>ROUND(D59*Premissas!$E$25,0)</f>
        <v/>
      </c>
      <c r="N59">
        <f>ROUND(E59*Premissas!$E$29+B59*Premissas!$E$30,0)</f>
        <v/>
      </c>
      <c r="O59">
        <f>K59+L59+M59+N59</f>
        <v/>
      </c>
      <c r="P59">
        <f>K59+ROUND(AC59*Premissas!$E$24,0)+M59+N59</f>
        <v/>
      </c>
      <c r="Q59">
        <f>ROUND(IF(A59-1-Premissas!$E$21&gt;=0,OFFSET($P$4,A59-1-Premissas!$E$21,0),0)*(1-Premissas!$E$20/100),0)</f>
        <v/>
      </c>
      <c r="R59">
        <f>ROUND(F59*Premissas!$E$11+N59*Premissas!$E$31/100,0)+ROUND((E59+B59)*Premissas!$E$10,0)+ROUND(Q59*Premissas!$E$8/100,0)+ROUND(Premissas!$E$35+(B59+C59)*Premissas!$E$36,0)</f>
        <v/>
      </c>
      <c r="S59">
        <f>O59-R59</f>
        <v/>
      </c>
      <c r="T59">
        <f>ROUND(O59*Premissas!$E$9/100,0)</f>
        <v/>
      </c>
      <c r="U59">
        <f>ROUND(AB59*Premissas!$E$33,0)</f>
        <v/>
      </c>
      <c r="V59">
        <f>Premissas!$E$37+ROUND(Premissas!$E$12*Premissas!$E$38+D59*Premissas!$E$27,0)</f>
        <v/>
      </c>
      <c r="W59">
        <f>Premissas!$E$39</f>
        <v/>
      </c>
      <c r="X59">
        <f>S59-T59-ROUND(Premissas!$E$12*Premissas!$E$38+D59*Premissas!$E$27,0)</f>
        <v/>
      </c>
      <c r="Y59">
        <f>O59-R59-T59-U59-V59-W59</f>
        <v/>
      </c>
      <c r="Z59">
        <f>Q59-R59-T59-U59-V59-W59</f>
        <v/>
      </c>
      <c r="AA59">
        <f>AA58+Z59</f>
        <v/>
      </c>
      <c r="AB59">
        <f>Premissas!$E$32+(B59+C59)/Premissas!$E$34</f>
        <v/>
      </c>
      <c r="AC59">
        <f>D59+AC47*(1-Premissas!$E$26/12)^12</f>
        <v/>
      </c>
    </row>
    <row r="60">
      <c r="A60" t="n">
        <v>57</v>
      </c>
      <c r="B60">
        <f>B59*(1-Premissas!$E$18/12)+Premissas!$E$12</f>
        <v/>
      </c>
      <c r="C60">
        <f>IF($B$2=1,C59*(1-Premissas!$E$26/12)+D60,0)</f>
        <v/>
      </c>
      <c r="D60">
        <f>IF(AND($B$2=1,A60&gt;=Premissas!$E$23),Premissas!$E$22,0)</f>
        <v/>
      </c>
      <c r="E60">
        <f>B60*Premissas!$E$28</f>
        <v/>
      </c>
      <c r="F60">
        <f>B60*Premissas!$E$13/12*MIN(1,A60/Premissas!$E$17)</f>
        <v/>
      </c>
      <c r="G60">
        <f>F60*Premissas!$E$14</f>
        <v/>
      </c>
      <c r="H60">
        <f>IF(IF(A60-1-Premissas!$E$16&gt;=0,OFFSET($J$4,A60-1-Premissas!$E$16,0),0)&gt;0,ROUND(IF(A60-1-Premissas!$E$16&gt;=0,OFFSET($J$4,A60-1-Premissas!$E$16,0),0)*10000/Premissas!$E$5*Premissas!$E$15,0),0)</f>
        <v/>
      </c>
      <c r="I60">
        <f>ROUND(G60*Premissas!$E$6/10000,0)</f>
        <v/>
      </c>
      <c r="J60">
        <f>ROUND(G60*Premissas!$E$5/10000,0)</f>
        <v/>
      </c>
      <c r="K60">
        <f>IF(IF(A60-1-Premissas!$E$16&gt;=0,OFFSET($A$4,A60-1-Premissas!$E$16,0)&gt;=Premissas!$E$19,FALSE),ROUND(IF(A60-1-Premissas!$E$16&gt;=0,OFFSET($J$4,A60-1-Premissas!$E$16,0),0)*Premissas!$E$15,0),0)</f>
        <v/>
      </c>
      <c r="L60">
        <f>ROUND(C60*Premissas!$E$24/12,0)</f>
        <v/>
      </c>
      <c r="M60">
        <f>ROUND(D60*Premissas!$E$25,0)</f>
        <v/>
      </c>
      <c r="N60">
        <f>ROUND(E60*Premissas!$E$29+B60*Premissas!$E$30,0)</f>
        <v/>
      </c>
      <c r="O60">
        <f>K60+L60+M60+N60</f>
        <v/>
      </c>
      <c r="P60">
        <f>K60+ROUND(AC60*Premissas!$E$24,0)+M60+N60</f>
        <v/>
      </c>
      <c r="Q60">
        <f>ROUND(IF(A60-1-Premissas!$E$21&gt;=0,OFFSET($P$4,A60-1-Premissas!$E$21,0),0)*(1-Premissas!$E$20/100),0)</f>
        <v/>
      </c>
      <c r="R60">
        <f>ROUND(F60*Premissas!$E$11+N60*Premissas!$E$31/100,0)+ROUND((E60+B60)*Premissas!$E$10,0)+ROUND(Q60*Premissas!$E$8/100,0)+ROUND(Premissas!$E$35+(B60+C60)*Premissas!$E$36,0)</f>
        <v/>
      </c>
      <c r="S60">
        <f>O60-R60</f>
        <v/>
      </c>
      <c r="T60">
        <f>ROUND(O60*Premissas!$E$9/100,0)</f>
        <v/>
      </c>
      <c r="U60">
        <f>ROUND(AB60*Premissas!$E$33,0)</f>
        <v/>
      </c>
      <c r="V60">
        <f>Premissas!$E$37+ROUND(Premissas!$E$12*Premissas!$E$38+D60*Premissas!$E$27,0)</f>
        <v/>
      </c>
      <c r="W60">
        <f>Premissas!$E$39</f>
        <v/>
      </c>
      <c r="X60">
        <f>S60-T60-ROUND(Premissas!$E$12*Premissas!$E$38+D60*Premissas!$E$27,0)</f>
        <v/>
      </c>
      <c r="Y60">
        <f>O60-R60-T60-U60-V60-W60</f>
        <v/>
      </c>
      <c r="Z60">
        <f>Q60-R60-T60-U60-V60-W60</f>
        <v/>
      </c>
      <c r="AA60">
        <f>AA59+Z60</f>
        <v/>
      </c>
      <c r="AB60">
        <f>Premissas!$E$32+(B60+C60)/Premissas!$E$34</f>
        <v/>
      </c>
      <c r="AC60">
        <f>D60+AC48*(1-Premissas!$E$26/12)^12</f>
        <v/>
      </c>
    </row>
    <row r="61">
      <c r="A61" t="n">
        <v>58</v>
      </c>
      <c r="B61">
        <f>B60*(1-Premissas!$E$18/12)+Premissas!$E$12</f>
        <v/>
      </c>
      <c r="C61">
        <f>IF($B$2=1,C60*(1-Premissas!$E$26/12)+D61,0)</f>
        <v/>
      </c>
      <c r="D61">
        <f>IF(AND($B$2=1,A61&gt;=Premissas!$E$23),Premissas!$E$22,0)</f>
        <v/>
      </c>
      <c r="E61">
        <f>B61*Premissas!$E$28</f>
        <v/>
      </c>
      <c r="F61">
        <f>B61*Premissas!$E$13/12*MIN(1,A61/Premissas!$E$17)</f>
        <v/>
      </c>
      <c r="G61">
        <f>F61*Premissas!$E$14</f>
        <v/>
      </c>
      <c r="H61">
        <f>IF(IF(A61-1-Premissas!$E$16&gt;=0,OFFSET($J$4,A61-1-Premissas!$E$16,0),0)&gt;0,ROUND(IF(A61-1-Premissas!$E$16&gt;=0,OFFSET($J$4,A61-1-Premissas!$E$16,0),0)*10000/Premissas!$E$5*Premissas!$E$15,0),0)</f>
        <v/>
      </c>
      <c r="I61">
        <f>ROUND(G61*Premissas!$E$6/10000,0)</f>
        <v/>
      </c>
      <c r="J61">
        <f>ROUND(G61*Premissas!$E$5/10000,0)</f>
        <v/>
      </c>
      <c r="K61">
        <f>IF(IF(A61-1-Premissas!$E$16&gt;=0,OFFSET($A$4,A61-1-Premissas!$E$16,0)&gt;=Premissas!$E$19,FALSE),ROUND(IF(A61-1-Premissas!$E$16&gt;=0,OFFSET($J$4,A61-1-Premissas!$E$16,0),0)*Premissas!$E$15,0),0)</f>
        <v/>
      </c>
      <c r="L61">
        <f>ROUND(C61*Premissas!$E$24/12,0)</f>
        <v/>
      </c>
      <c r="M61">
        <f>ROUND(D61*Premissas!$E$25,0)</f>
        <v/>
      </c>
      <c r="N61">
        <f>ROUND(E61*Premissas!$E$29+B61*Premissas!$E$30,0)</f>
        <v/>
      </c>
      <c r="O61">
        <f>K61+L61+M61+N61</f>
        <v/>
      </c>
      <c r="P61">
        <f>K61+ROUND(AC61*Premissas!$E$24,0)+M61+N61</f>
        <v/>
      </c>
      <c r="Q61">
        <f>ROUND(IF(A61-1-Premissas!$E$21&gt;=0,OFFSET($P$4,A61-1-Premissas!$E$21,0),0)*(1-Premissas!$E$20/100),0)</f>
        <v/>
      </c>
      <c r="R61">
        <f>ROUND(F61*Premissas!$E$11+N61*Premissas!$E$31/100,0)+ROUND((E61+B61)*Premissas!$E$10,0)+ROUND(Q61*Premissas!$E$8/100,0)+ROUND(Premissas!$E$35+(B61+C61)*Premissas!$E$36,0)</f>
        <v/>
      </c>
      <c r="S61">
        <f>O61-R61</f>
        <v/>
      </c>
      <c r="T61">
        <f>ROUND(O61*Premissas!$E$9/100,0)</f>
        <v/>
      </c>
      <c r="U61">
        <f>ROUND(AB61*Premissas!$E$33,0)</f>
        <v/>
      </c>
      <c r="V61">
        <f>Premissas!$E$37+ROUND(Premissas!$E$12*Premissas!$E$38+D61*Premissas!$E$27,0)</f>
        <v/>
      </c>
      <c r="W61">
        <f>Premissas!$E$39</f>
        <v/>
      </c>
      <c r="X61">
        <f>S61-T61-ROUND(Premissas!$E$12*Premissas!$E$38+D61*Premissas!$E$27,0)</f>
        <v/>
      </c>
      <c r="Y61">
        <f>O61-R61-T61-U61-V61-W61</f>
        <v/>
      </c>
      <c r="Z61">
        <f>Q61-R61-T61-U61-V61-W61</f>
        <v/>
      </c>
      <c r="AA61">
        <f>AA60+Z61</f>
        <v/>
      </c>
      <c r="AB61">
        <f>Premissas!$E$32+(B61+C61)/Premissas!$E$34</f>
        <v/>
      </c>
      <c r="AC61">
        <f>D61+AC49*(1-Premissas!$E$26/12)^12</f>
        <v/>
      </c>
    </row>
    <row r="62">
      <c r="A62" t="n">
        <v>59</v>
      </c>
      <c r="B62">
        <f>B61*(1-Premissas!$E$18/12)+Premissas!$E$12</f>
        <v/>
      </c>
      <c r="C62">
        <f>IF($B$2=1,C61*(1-Premissas!$E$26/12)+D62,0)</f>
        <v/>
      </c>
      <c r="D62">
        <f>IF(AND($B$2=1,A62&gt;=Premissas!$E$23),Premissas!$E$22,0)</f>
        <v/>
      </c>
      <c r="E62">
        <f>B62*Premissas!$E$28</f>
        <v/>
      </c>
      <c r="F62">
        <f>B62*Premissas!$E$13/12*MIN(1,A62/Premissas!$E$17)</f>
        <v/>
      </c>
      <c r="G62">
        <f>F62*Premissas!$E$14</f>
        <v/>
      </c>
      <c r="H62">
        <f>IF(IF(A62-1-Premissas!$E$16&gt;=0,OFFSET($J$4,A62-1-Premissas!$E$16,0),0)&gt;0,ROUND(IF(A62-1-Premissas!$E$16&gt;=0,OFFSET($J$4,A62-1-Premissas!$E$16,0),0)*10000/Premissas!$E$5*Premissas!$E$15,0),0)</f>
        <v/>
      </c>
      <c r="I62">
        <f>ROUND(G62*Premissas!$E$6/10000,0)</f>
        <v/>
      </c>
      <c r="J62">
        <f>ROUND(G62*Premissas!$E$5/10000,0)</f>
        <v/>
      </c>
      <c r="K62">
        <f>IF(IF(A62-1-Premissas!$E$16&gt;=0,OFFSET($A$4,A62-1-Premissas!$E$16,0)&gt;=Premissas!$E$19,FALSE),ROUND(IF(A62-1-Premissas!$E$16&gt;=0,OFFSET($J$4,A62-1-Premissas!$E$16,0),0)*Premissas!$E$15,0),0)</f>
        <v/>
      </c>
      <c r="L62">
        <f>ROUND(C62*Premissas!$E$24/12,0)</f>
        <v/>
      </c>
      <c r="M62">
        <f>ROUND(D62*Premissas!$E$25,0)</f>
        <v/>
      </c>
      <c r="N62">
        <f>ROUND(E62*Premissas!$E$29+B62*Premissas!$E$30,0)</f>
        <v/>
      </c>
      <c r="O62">
        <f>K62+L62+M62+N62</f>
        <v/>
      </c>
      <c r="P62">
        <f>K62+ROUND(AC62*Premissas!$E$24,0)+M62+N62</f>
        <v/>
      </c>
      <c r="Q62">
        <f>ROUND(IF(A62-1-Premissas!$E$21&gt;=0,OFFSET($P$4,A62-1-Premissas!$E$21,0),0)*(1-Premissas!$E$20/100),0)</f>
        <v/>
      </c>
      <c r="R62">
        <f>ROUND(F62*Premissas!$E$11+N62*Premissas!$E$31/100,0)+ROUND((E62+B62)*Premissas!$E$10,0)+ROUND(Q62*Premissas!$E$8/100,0)+ROUND(Premissas!$E$35+(B62+C62)*Premissas!$E$36,0)</f>
        <v/>
      </c>
      <c r="S62">
        <f>O62-R62</f>
        <v/>
      </c>
      <c r="T62">
        <f>ROUND(O62*Premissas!$E$9/100,0)</f>
        <v/>
      </c>
      <c r="U62">
        <f>ROUND(AB62*Premissas!$E$33,0)</f>
        <v/>
      </c>
      <c r="V62">
        <f>Premissas!$E$37+ROUND(Premissas!$E$12*Premissas!$E$38+D62*Premissas!$E$27,0)</f>
        <v/>
      </c>
      <c r="W62">
        <f>Premissas!$E$39</f>
        <v/>
      </c>
      <c r="X62">
        <f>S62-T62-ROUND(Premissas!$E$12*Premissas!$E$38+D62*Premissas!$E$27,0)</f>
        <v/>
      </c>
      <c r="Y62">
        <f>O62-R62-T62-U62-V62-W62</f>
        <v/>
      </c>
      <c r="Z62">
        <f>Q62-R62-T62-U62-V62-W62</f>
        <v/>
      </c>
      <c r="AA62">
        <f>AA61+Z62</f>
        <v/>
      </c>
      <c r="AB62">
        <f>Premissas!$E$32+(B62+C62)/Premissas!$E$34</f>
        <v/>
      </c>
      <c r="AC62">
        <f>D62+AC50*(1-Premissas!$E$26/12)^12</f>
        <v/>
      </c>
    </row>
    <row r="63">
      <c r="A63" t="n">
        <v>60</v>
      </c>
      <c r="B63">
        <f>B62*(1-Premissas!$E$18/12)+Premissas!$E$12</f>
        <v/>
      </c>
      <c r="C63">
        <f>IF($B$2=1,C62*(1-Premissas!$E$26/12)+D63,0)</f>
        <v/>
      </c>
      <c r="D63">
        <f>IF(AND($B$2=1,A63&gt;=Premissas!$E$23),Premissas!$E$22,0)</f>
        <v/>
      </c>
      <c r="E63">
        <f>B63*Premissas!$E$28</f>
        <v/>
      </c>
      <c r="F63">
        <f>B63*Premissas!$E$13/12*MIN(1,A63/Premissas!$E$17)</f>
        <v/>
      </c>
      <c r="G63">
        <f>F63*Premissas!$E$14</f>
        <v/>
      </c>
      <c r="H63">
        <f>IF(IF(A63-1-Premissas!$E$16&gt;=0,OFFSET($J$4,A63-1-Premissas!$E$16,0),0)&gt;0,ROUND(IF(A63-1-Premissas!$E$16&gt;=0,OFFSET($J$4,A63-1-Premissas!$E$16,0),0)*10000/Premissas!$E$5*Premissas!$E$15,0),0)</f>
        <v/>
      </c>
      <c r="I63">
        <f>ROUND(G63*Premissas!$E$6/10000,0)</f>
        <v/>
      </c>
      <c r="J63">
        <f>ROUND(G63*Premissas!$E$5/10000,0)</f>
        <v/>
      </c>
      <c r="K63">
        <f>IF(IF(A63-1-Premissas!$E$16&gt;=0,OFFSET($A$4,A63-1-Premissas!$E$16,0)&gt;=Premissas!$E$19,FALSE),ROUND(IF(A63-1-Premissas!$E$16&gt;=0,OFFSET($J$4,A63-1-Premissas!$E$16,0),0)*Premissas!$E$15,0),0)</f>
        <v/>
      </c>
      <c r="L63">
        <f>ROUND(C63*Premissas!$E$24/12,0)</f>
        <v/>
      </c>
      <c r="M63">
        <f>ROUND(D63*Premissas!$E$25,0)</f>
        <v/>
      </c>
      <c r="N63">
        <f>ROUND(E63*Premissas!$E$29+B63*Premissas!$E$30,0)</f>
        <v/>
      </c>
      <c r="O63">
        <f>K63+L63+M63+N63</f>
        <v/>
      </c>
      <c r="P63">
        <f>K63+ROUND(AC63*Premissas!$E$24,0)+M63+N63</f>
        <v/>
      </c>
      <c r="Q63">
        <f>ROUND(IF(A63-1-Premissas!$E$21&gt;=0,OFFSET($P$4,A63-1-Premissas!$E$21,0),0)*(1-Premissas!$E$20/100),0)</f>
        <v/>
      </c>
      <c r="R63">
        <f>ROUND(F63*Premissas!$E$11+N63*Premissas!$E$31/100,0)+ROUND((E63+B63)*Premissas!$E$10,0)+ROUND(Q63*Premissas!$E$8/100,0)+ROUND(Premissas!$E$35+(B63+C63)*Premissas!$E$36,0)</f>
        <v/>
      </c>
      <c r="S63">
        <f>O63-R63</f>
        <v/>
      </c>
      <c r="T63">
        <f>ROUND(O63*Premissas!$E$9/100,0)</f>
        <v/>
      </c>
      <c r="U63">
        <f>ROUND(AB63*Premissas!$E$33,0)</f>
        <v/>
      </c>
      <c r="V63">
        <f>Premissas!$E$37+ROUND(Premissas!$E$12*Premissas!$E$38+D63*Premissas!$E$27,0)</f>
        <v/>
      </c>
      <c r="W63">
        <f>Premissas!$E$39</f>
        <v/>
      </c>
      <c r="X63">
        <f>S63-T63-ROUND(Premissas!$E$12*Premissas!$E$38+D63*Premissas!$E$27,0)</f>
        <v/>
      </c>
      <c r="Y63">
        <f>O63-R63-T63-U63-V63-W63</f>
        <v/>
      </c>
      <c r="Z63">
        <f>Q63-R63-T63-U63-V63-W63</f>
        <v/>
      </c>
      <c r="AA63">
        <f>AA62+Z63</f>
        <v/>
      </c>
      <c r="AB63">
        <f>Premissas!$E$32+(B63+C63)/Premissas!$E$34</f>
        <v/>
      </c>
      <c r="AC63">
        <f>D63+AC51*(1-Premissas!$E$26/12)^12</f>
        <v/>
      </c>
    </row>
    <row r="64">
      <c r="A64" t="n">
        <v>61</v>
      </c>
      <c r="B64">
        <f>B63*(1-Premissas!$E$18/12)+Premissas!$E$12</f>
        <v/>
      </c>
      <c r="C64">
        <f>IF($B$2=1,C63*(1-Premissas!$E$26/12)+D64,0)</f>
        <v/>
      </c>
      <c r="D64">
        <f>IF(AND($B$2=1,A64&gt;=Premissas!$E$23),Premissas!$E$22,0)</f>
        <v/>
      </c>
      <c r="E64">
        <f>B64*Premissas!$E$28</f>
        <v/>
      </c>
      <c r="F64">
        <f>B64*Premissas!$E$13/12*MIN(1,A64/Premissas!$E$17)</f>
        <v/>
      </c>
      <c r="G64">
        <f>F64*Premissas!$E$14</f>
        <v/>
      </c>
      <c r="H64">
        <f>IF(IF(A64-1-Premissas!$E$16&gt;=0,OFFSET($J$4,A64-1-Premissas!$E$16,0),0)&gt;0,ROUND(IF(A64-1-Premissas!$E$16&gt;=0,OFFSET($J$4,A64-1-Premissas!$E$16,0),0)*10000/Premissas!$E$5*Premissas!$E$15,0),0)</f>
        <v/>
      </c>
      <c r="I64">
        <f>ROUND(G64*Premissas!$E$6/10000,0)</f>
        <v/>
      </c>
      <c r="J64">
        <f>ROUND(G64*Premissas!$E$5/10000,0)</f>
        <v/>
      </c>
      <c r="K64">
        <f>IF(IF(A64-1-Premissas!$E$16&gt;=0,OFFSET($A$4,A64-1-Premissas!$E$16,0)&gt;=Premissas!$E$19,FALSE),ROUND(IF(A64-1-Premissas!$E$16&gt;=0,OFFSET($J$4,A64-1-Premissas!$E$16,0),0)*Premissas!$E$15,0),0)</f>
        <v/>
      </c>
      <c r="L64">
        <f>ROUND(C64*Premissas!$E$24/12,0)</f>
        <v/>
      </c>
      <c r="M64">
        <f>ROUND(D64*Premissas!$E$25,0)</f>
        <v/>
      </c>
      <c r="N64">
        <f>ROUND(E64*Premissas!$E$29+B64*Premissas!$E$30,0)</f>
        <v/>
      </c>
      <c r="O64">
        <f>K64+L64+M64+N64</f>
        <v/>
      </c>
      <c r="P64">
        <f>K64+ROUND(AC64*Premissas!$E$24,0)+M64+N64</f>
        <v/>
      </c>
      <c r="Q64">
        <f>ROUND(IF(A64-1-Premissas!$E$21&gt;=0,OFFSET($P$4,A64-1-Premissas!$E$21,0),0)*(1-Premissas!$E$20/100),0)</f>
        <v/>
      </c>
      <c r="R64">
        <f>ROUND(F64*Premissas!$E$11+N64*Premissas!$E$31/100,0)+ROUND((E64+B64)*Premissas!$E$10,0)+ROUND(Q64*Premissas!$E$8/100,0)+ROUND(Premissas!$E$35+(B64+C64)*Premissas!$E$36,0)</f>
        <v/>
      </c>
      <c r="S64">
        <f>O64-R64</f>
        <v/>
      </c>
      <c r="T64">
        <f>ROUND(O64*Premissas!$E$9/100,0)</f>
        <v/>
      </c>
      <c r="U64">
        <f>ROUND(AB64*Premissas!$E$33,0)</f>
        <v/>
      </c>
      <c r="V64">
        <f>Premissas!$E$37+ROUND(Premissas!$E$12*Premissas!$E$38+D64*Premissas!$E$27,0)</f>
        <v/>
      </c>
      <c r="W64">
        <f>Premissas!$E$39</f>
        <v/>
      </c>
      <c r="X64">
        <f>S64-T64-ROUND(Premissas!$E$12*Premissas!$E$38+D64*Premissas!$E$27,0)</f>
        <v/>
      </c>
      <c r="Y64">
        <f>O64-R64-T64-U64-V64-W64</f>
        <v/>
      </c>
      <c r="Z64">
        <f>Q64-R64-T64-U64-V64-W64</f>
        <v/>
      </c>
      <c r="AA64">
        <f>AA63+Z64</f>
        <v/>
      </c>
      <c r="AB64">
        <f>Premissas!$E$32+(B64+C64)/Premissas!$E$34</f>
        <v/>
      </c>
      <c r="AC64">
        <f>D64+AC52*(1-Premissas!$E$26/12)^12</f>
        <v/>
      </c>
    </row>
    <row r="65">
      <c r="A65" t="n">
        <v>62</v>
      </c>
      <c r="B65">
        <f>B64*(1-Premissas!$E$18/12)+Premissas!$E$12</f>
        <v/>
      </c>
      <c r="C65">
        <f>IF($B$2=1,C64*(1-Premissas!$E$26/12)+D65,0)</f>
        <v/>
      </c>
      <c r="D65">
        <f>IF(AND($B$2=1,A65&gt;=Premissas!$E$23),Premissas!$E$22,0)</f>
        <v/>
      </c>
      <c r="E65">
        <f>B65*Premissas!$E$28</f>
        <v/>
      </c>
      <c r="F65">
        <f>B65*Premissas!$E$13/12*MIN(1,A65/Premissas!$E$17)</f>
        <v/>
      </c>
      <c r="G65">
        <f>F65*Premissas!$E$14</f>
        <v/>
      </c>
      <c r="H65">
        <f>IF(IF(A65-1-Premissas!$E$16&gt;=0,OFFSET($J$4,A65-1-Premissas!$E$16,0),0)&gt;0,ROUND(IF(A65-1-Premissas!$E$16&gt;=0,OFFSET($J$4,A65-1-Premissas!$E$16,0),0)*10000/Premissas!$E$5*Premissas!$E$15,0),0)</f>
        <v/>
      </c>
      <c r="I65">
        <f>ROUND(G65*Premissas!$E$6/10000,0)</f>
        <v/>
      </c>
      <c r="J65">
        <f>ROUND(G65*Premissas!$E$5/10000,0)</f>
        <v/>
      </c>
      <c r="K65">
        <f>IF(IF(A65-1-Premissas!$E$16&gt;=0,OFFSET($A$4,A65-1-Premissas!$E$16,0)&gt;=Premissas!$E$19,FALSE),ROUND(IF(A65-1-Premissas!$E$16&gt;=0,OFFSET($J$4,A65-1-Premissas!$E$16,0),0)*Premissas!$E$15,0),0)</f>
        <v/>
      </c>
      <c r="L65">
        <f>ROUND(C65*Premissas!$E$24/12,0)</f>
        <v/>
      </c>
      <c r="M65">
        <f>ROUND(D65*Premissas!$E$25,0)</f>
        <v/>
      </c>
      <c r="N65">
        <f>ROUND(E65*Premissas!$E$29+B65*Premissas!$E$30,0)</f>
        <v/>
      </c>
      <c r="O65">
        <f>K65+L65+M65+N65</f>
        <v/>
      </c>
      <c r="P65">
        <f>K65+ROUND(AC65*Premissas!$E$24,0)+M65+N65</f>
        <v/>
      </c>
      <c r="Q65">
        <f>ROUND(IF(A65-1-Premissas!$E$21&gt;=0,OFFSET($P$4,A65-1-Premissas!$E$21,0),0)*(1-Premissas!$E$20/100),0)</f>
        <v/>
      </c>
      <c r="R65">
        <f>ROUND(F65*Premissas!$E$11+N65*Premissas!$E$31/100,0)+ROUND((E65+B65)*Premissas!$E$10,0)+ROUND(Q65*Premissas!$E$8/100,0)+ROUND(Premissas!$E$35+(B65+C65)*Premissas!$E$36,0)</f>
        <v/>
      </c>
      <c r="S65">
        <f>O65-R65</f>
        <v/>
      </c>
      <c r="T65">
        <f>ROUND(O65*Premissas!$E$9/100,0)</f>
        <v/>
      </c>
      <c r="U65">
        <f>ROUND(AB65*Premissas!$E$33,0)</f>
        <v/>
      </c>
      <c r="V65">
        <f>Premissas!$E$37+ROUND(Premissas!$E$12*Premissas!$E$38+D65*Premissas!$E$27,0)</f>
        <v/>
      </c>
      <c r="W65">
        <f>Premissas!$E$39</f>
        <v/>
      </c>
      <c r="X65">
        <f>S65-T65-ROUND(Premissas!$E$12*Premissas!$E$38+D65*Premissas!$E$27,0)</f>
        <v/>
      </c>
      <c r="Y65">
        <f>O65-R65-T65-U65-V65-W65</f>
        <v/>
      </c>
      <c r="Z65">
        <f>Q65-R65-T65-U65-V65-W65</f>
        <v/>
      </c>
      <c r="AA65">
        <f>AA64+Z65</f>
        <v/>
      </c>
      <c r="AB65">
        <f>Premissas!$E$32+(B65+C65)/Premissas!$E$34</f>
        <v/>
      </c>
      <c r="AC65">
        <f>D65+AC53*(1-Premissas!$E$26/12)^12</f>
        <v/>
      </c>
    </row>
    <row r="66">
      <c r="A66" t="n">
        <v>63</v>
      </c>
      <c r="B66">
        <f>B65*(1-Premissas!$E$18/12)+Premissas!$E$12</f>
        <v/>
      </c>
      <c r="C66">
        <f>IF($B$2=1,C65*(1-Premissas!$E$26/12)+D66,0)</f>
        <v/>
      </c>
      <c r="D66">
        <f>IF(AND($B$2=1,A66&gt;=Premissas!$E$23),Premissas!$E$22,0)</f>
        <v/>
      </c>
      <c r="E66">
        <f>B66*Premissas!$E$28</f>
        <v/>
      </c>
      <c r="F66">
        <f>B66*Premissas!$E$13/12*MIN(1,A66/Premissas!$E$17)</f>
        <v/>
      </c>
      <c r="G66">
        <f>F66*Premissas!$E$14</f>
        <v/>
      </c>
      <c r="H66">
        <f>IF(IF(A66-1-Premissas!$E$16&gt;=0,OFFSET($J$4,A66-1-Premissas!$E$16,0),0)&gt;0,ROUND(IF(A66-1-Premissas!$E$16&gt;=0,OFFSET($J$4,A66-1-Premissas!$E$16,0),0)*10000/Premissas!$E$5*Premissas!$E$15,0),0)</f>
        <v/>
      </c>
      <c r="I66">
        <f>ROUND(G66*Premissas!$E$6/10000,0)</f>
        <v/>
      </c>
      <c r="J66">
        <f>ROUND(G66*Premissas!$E$5/10000,0)</f>
        <v/>
      </c>
      <c r="K66">
        <f>IF(IF(A66-1-Premissas!$E$16&gt;=0,OFFSET($A$4,A66-1-Premissas!$E$16,0)&gt;=Premissas!$E$19,FALSE),ROUND(IF(A66-1-Premissas!$E$16&gt;=0,OFFSET($J$4,A66-1-Premissas!$E$16,0),0)*Premissas!$E$15,0),0)</f>
        <v/>
      </c>
      <c r="L66">
        <f>ROUND(C66*Premissas!$E$24/12,0)</f>
        <v/>
      </c>
      <c r="M66">
        <f>ROUND(D66*Premissas!$E$25,0)</f>
        <v/>
      </c>
      <c r="N66">
        <f>ROUND(E66*Premissas!$E$29+B66*Premissas!$E$30,0)</f>
        <v/>
      </c>
      <c r="O66">
        <f>K66+L66+M66+N66</f>
        <v/>
      </c>
      <c r="P66">
        <f>K66+ROUND(AC66*Premissas!$E$24,0)+M66+N66</f>
        <v/>
      </c>
      <c r="Q66">
        <f>ROUND(IF(A66-1-Premissas!$E$21&gt;=0,OFFSET($P$4,A66-1-Premissas!$E$21,0),0)*(1-Premissas!$E$20/100),0)</f>
        <v/>
      </c>
      <c r="R66">
        <f>ROUND(F66*Premissas!$E$11+N66*Premissas!$E$31/100,0)+ROUND((E66+B66)*Premissas!$E$10,0)+ROUND(Q66*Premissas!$E$8/100,0)+ROUND(Premissas!$E$35+(B66+C66)*Premissas!$E$36,0)</f>
        <v/>
      </c>
      <c r="S66">
        <f>O66-R66</f>
        <v/>
      </c>
      <c r="T66">
        <f>ROUND(O66*Premissas!$E$9/100,0)</f>
        <v/>
      </c>
      <c r="U66">
        <f>ROUND(AB66*Premissas!$E$33,0)</f>
        <v/>
      </c>
      <c r="V66">
        <f>Premissas!$E$37+ROUND(Premissas!$E$12*Premissas!$E$38+D66*Premissas!$E$27,0)</f>
        <v/>
      </c>
      <c r="W66">
        <f>Premissas!$E$39</f>
        <v/>
      </c>
      <c r="X66">
        <f>S66-T66-ROUND(Premissas!$E$12*Premissas!$E$38+D66*Premissas!$E$27,0)</f>
        <v/>
      </c>
      <c r="Y66">
        <f>O66-R66-T66-U66-V66-W66</f>
        <v/>
      </c>
      <c r="Z66">
        <f>Q66-R66-T66-U66-V66-W66</f>
        <v/>
      </c>
      <c r="AA66">
        <f>AA65+Z66</f>
        <v/>
      </c>
      <c r="AB66">
        <f>Premissas!$E$32+(B66+C66)/Premissas!$E$34</f>
        <v/>
      </c>
      <c r="AC66">
        <f>D66+AC54*(1-Premissas!$E$26/12)^12</f>
        <v/>
      </c>
    </row>
    <row r="67">
      <c r="A67" t="n">
        <v>64</v>
      </c>
      <c r="B67">
        <f>B66*(1-Premissas!$E$18/12)+Premissas!$E$12</f>
        <v/>
      </c>
      <c r="C67">
        <f>IF($B$2=1,C66*(1-Premissas!$E$26/12)+D67,0)</f>
        <v/>
      </c>
      <c r="D67">
        <f>IF(AND($B$2=1,A67&gt;=Premissas!$E$23),Premissas!$E$22,0)</f>
        <v/>
      </c>
      <c r="E67">
        <f>B67*Premissas!$E$28</f>
        <v/>
      </c>
      <c r="F67">
        <f>B67*Premissas!$E$13/12*MIN(1,A67/Premissas!$E$17)</f>
        <v/>
      </c>
      <c r="G67">
        <f>F67*Premissas!$E$14</f>
        <v/>
      </c>
      <c r="H67">
        <f>IF(IF(A67-1-Premissas!$E$16&gt;=0,OFFSET($J$4,A67-1-Premissas!$E$16,0),0)&gt;0,ROUND(IF(A67-1-Premissas!$E$16&gt;=0,OFFSET($J$4,A67-1-Premissas!$E$16,0),0)*10000/Premissas!$E$5*Premissas!$E$15,0),0)</f>
        <v/>
      </c>
      <c r="I67">
        <f>ROUND(G67*Premissas!$E$6/10000,0)</f>
        <v/>
      </c>
      <c r="J67">
        <f>ROUND(G67*Premissas!$E$5/10000,0)</f>
        <v/>
      </c>
      <c r="K67">
        <f>IF(IF(A67-1-Premissas!$E$16&gt;=0,OFFSET($A$4,A67-1-Premissas!$E$16,0)&gt;=Premissas!$E$19,FALSE),ROUND(IF(A67-1-Premissas!$E$16&gt;=0,OFFSET($J$4,A67-1-Premissas!$E$16,0),0)*Premissas!$E$15,0),0)</f>
        <v/>
      </c>
      <c r="L67">
        <f>ROUND(C67*Premissas!$E$24/12,0)</f>
        <v/>
      </c>
      <c r="M67">
        <f>ROUND(D67*Premissas!$E$25,0)</f>
        <v/>
      </c>
      <c r="N67">
        <f>ROUND(E67*Premissas!$E$29+B67*Premissas!$E$30,0)</f>
        <v/>
      </c>
      <c r="O67">
        <f>K67+L67+M67+N67</f>
        <v/>
      </c>
      <c r="P67">
        <f>K67+ROUND(AC67*Premissas!$E$24,0)+M67+N67</f>
        <v/>
      </c>
      <c r="Q67">
        <f>ROUND(IF(A67-1-Premissas!$E$21&gt;=0,OFFSET($P$4,A67-1-Premissas!$E$21,0),0)*(1-Premissas!$E$20/100),0)</f>
        <v/>
      </c>
      <c r="R67">
        <f>ROUND(F67*Premissas!$E$11+N67*Premissas!$E$31/100,0)+ROUND((E67+B67)*Premissas!$E$10,0)+ROUND(Q67*Premissas!$E$8/100,0)+ROUND(Premissas!$E$35+(B67+C67)*Premissas!$E$36,0)</f>
        <v/>
      </c>
      <c r="S67">
        <f>O67-R67</f>
        <v/>
      </c>
      <c r="T67">
        <f>ROUND(O67*Premissas!$E$9/100,0)</f>
        <v/>
      </c>
      <c r="U67">
        <f>ROUND(AB67*Premissas!$E$33,0)</f>
        <v/>
      </c>
      <c r="V67">
        <f>Premissas!$E$37+ROUND(Premissas!$E$12*Premissas!$E$38+D67*Premissas!$E$27,0)</f>
        <v/>
      </c>
      <c r="W67">
        <f>Premissas!$E$39</f>
        <v/>
      </c>
      <c r="X67">
        <f>S67-T67-ROUND(Premissas!$E$12*Premissas!$E$38+D67*Premissas!$E$27,0)</f>
        <v/>
      </c>
      <c r="Y67">
        <f>O67-R67-T67-U67-V67-W67</f>
        <v/>
      </c>
      <c r="Z67">
        <f>Q67-R67-T67-U67-V67-W67</f>
        <v/>
      </c>
      <c r="AA67">
        <f>AA66+Z67</f>
        <v/>
      </c>
      <c r="AB67">
        <f>Premissas!$E$32+(B67+C67)/Premissas!$E$34</f>
        <v/>
      </c>
      <c r="AC67">
        <f>D67+AC55*(1-Premissas!$E$26/12)^12</f>
        <v/>
      </c>
    </row>
    <row r="68">
      <c r="A68" t="n">
        <v>65</v>
      </c>
      <c r="B68">
        <f>B67*(1-Premissas!$E$18/12)+Premissas!$E$12</f>
        <v/>
      </c>
      <c r="C68">
        <f>IF($B$2=1,C67*(1-Premissas!$E$26/12)+D68,0)</f>
        <v/>
      </c>
      <c r="D68">
        <f>IF(AND($B$2=1,A68&gt;=Premissas!$E$23),Premissas!$E$22,0)</f>
        <v/>
      </c>
      <c r="E68">
        <f>B68*Premissas!$E$28</f>
        <v/>
      </c>
      <c r="F68">
        <f>B68*Premissas!$E$13/12*MIN(1,A68/Premissas!$E$17)</f>
        <v/>
      </c>
      <c r="G68">
        <f>F68*Premissas!$E$14</f>
        <v/>
      </c>
      <c r="H68">
        <f>IF(IF(A68-1-Premissas!$E$16&gt;=0,OFFSET($J$4,A68-1-Premissas!$E$16,0),0)&gt;0,ROUND(IF(A68-1-Premissas!$E$16&gt;=0,OFFSET($J$4,A68-1-Premissas!$E$16,0),0)*10000/Premissas!$E$5*Premissas!$E$15,0),0)</f>
        <v/>
      </c>
      <c r="I68">
        <f>ROUND(G68*Premissas!$E$6/10000,0)</f>
        <v/>
      </c>
      <c r="J68">
        <f>ROUND(G68*Premissas!$E$5/10000,0)</f>
        <v/>
      </c>
      <c r="K68">
        <f>IF(IF(A68-1-Premissas!$E$16&gt;=0,OFFSET($A$4,A68-1-Premissas!$E$16,0)&gt;=Premissas!$E$19,FALSE),ROUND(IF(A68-1-Premissas!$E$16&gt;=0,OFFSET($J$4,A68-1-Premissas!$E$16,0),0)*Premissas!$E$15,0),0)</f>
        <v/>
      </c>
      <c r="L68">
        <f>ROUND(C68*Premissas!$E$24/12,0)</f>
        <v/>
      </c>
      <c r="M68">
        <f>ROUND(D68*Premissas!$E$25,0)</f>
        <v/>
      </c>
      <c r="N68">
        <f>ROUND(E68*Premissas!$E$29+B68*Premissas!$E$30,0)</f>
        <v/>
      </c>
      <c r="O68">
        <f>K68+L68+M68+N68</f>
        <v/>
      </c>
      <c r="P68">
        <f>K68+ROUND(AC68*Premissas!$E$24,0)+M68+N68</f>
        <v/>
      </c>
      <c r="Q68">
        <f>ROUND(IF(A68-1-Premissas!$E$21&gt;=0,OFFSET($P$4,A68-1-Premissas!$E$21,0),0)*(1-Premissas!$E$20/100),0)</f>
        <v/>
      </c>
      <c r="R68">
        <f>ROUND(F68*Premissas!$E$11+N68*Premissas!$E$31/100,0)+ROUND((E68+B68)*Premissas!$E$10,0)+ROUND(Q68*Premissas!$E$8/100,0)+ROUND(Premissas!$E$35+(B68+C68)*Premissas!$E$36,0)</f>
        <v/>
      </c>
      <c r="S68">
        <f>O68-R68</f>
        <v/>
      </c>
      <c r="T68">
        <f>ROUND(O68*Premissas!$E$9/100,0)</f>
        <v/>
      </c>
      <c r="U68">
        <f>ROUND(AB68*Premissas!$E$33,0)</f>
        <v/>
      </c>
      <c r="V68">
        <f>Premissas!$E$37+ROUND(Premissas!$E$12*Premissas!$E$38+D68*Premissas!$E$27,0)</f>
        <v/>
      </c>
      <c r="W68">
        <f>Premissas!$E$39</f>
        <v/>
      </c>
      <c r="X68">
        <f>S68-T68-ROUND(Premissas!$E$12*Premissas!$E$38+D68*Premissas!$E$27,0)</f>
        <v/>
      </c>
      <c r="Y68">
        <f>O68-R68-T68-U68-V68-W68</f>
        <v/>
      </c>
      <c r="Z68">
        <f>Q68-R68-T68-U68-V68-W68</f>
        <v/>
      </c>
      <c r="AA68">
        <f>AA67+Z68</f>
        <v/>
      </c>
      <c r="AB68">
        <f>Premissas!$E$32+(B68+C68)/Premissas!$E$34</f>
        <v/>
      </c>
      <c r="AC68">
        <f>D68+AC56*(1-Premissas!$E$26/12)^12</f>
        <v/>
      </c>
    </row>
    <row r="69">
      <c r="A69" t="n">
        <v>66</v>
      </c>
      <c r="B69">
        <f>B68*(1-Premissas!$E$18/12)+Premissas!$E$12</f>
        <v/>
      </c>
      <c r="C69">
        <f>IF($B$2=1,C68*(1-Premissas!$E$26/12)+D69,0)</f>
        <v/>
      </c>
      <c r="D69">
        <f>IF(AND($B$2=1,A69&gt;=Premissas!$E$23),Premissas!$E$22,0)</f>
        <v/>
      </c>
      <c r="E69">
        <f>B69*Premissas!$E$28</f>
        <v/>
      </c>
      <c r="F69">
        <f>B69*Premissas!$E$13/12*MIN(1,A69/Premissas!$E$17)</f>
        <v/>
      </c>
      <c r="G69">
        <f>F69*Premissas!$E$14</f>
        <v/>
      </c>
      <c r="H69">
        <f>IF(IF(A69-1-Premissas!$E$16&gt;=0,OFFSET($J$4,A69-1-Premissas!$E$16,0),0)&gt;0,ROUND(IF(A69-1-Premissas!$E$16&gt;=0,OFFSET($J$4,A69-1-Premissas!$E$16,0),0)*10000/Premissas!$E$5*Premissas!$E$15,0),0)</f>
        <v/>
      </c>
      <c r="I69">
        <f>ROUND(G69*Premissas!$E$6/10000,0)</f>
        <v/>
      </c>
      <c r="J69">
        <f>ROUND(G69*Premissas!$E$5/10000,0)</f>
        <v/>
      </c>
      <c r="K69">
        <f>IF(IF(A69-1-Premissas!$E$16&gt;=0,OFFSET($A$4,A69-1-Premissas!$E$16,0)&gt;=Premissas!$E$19,FALSE),ROUND(IF(A69-1-Premissas!$E$16&gt;=0,OFFSET($J$4,A69-1-Premissas!$E$16,0),0)*Premissas!$E$15,0),0)</f>
        <v/>
      </c>
      <c r="L69">
        <f>ROUND(C69*Premissas!$E$24/12,0)</f>
        <v/>
      </c>
      <c r="M69">
        <f>ROUND(D69*Premissas!$E$25,0)</f>
        <v/>
      </c>
      <c r="N69">
        <f>ROUND(E69*Premissas!$E$29+B69*Premissas!$E$30,0)</f>
        <v/>
      </c>
      <c r="O69">
        <f>K69+L69+M69+N69</f>
        <v/>
      </c>
      <c r="P69">
        <f>K69+ROUND(AC69*Premissas!$E$24,0)+M69+N69</f>
        <v/>
      </c>
      <c r="Q69">
        <f>ROUND(IF(A69-1-Premissas!$E$21&gt;=0,OFFSET($P$4,A69-1-Premissas!$E$21,0),0)*(1-Premissas!$E$20/100),0)</f>
        <v/>
      </c>
      <c r="R69">
        <f>ROUND(F69*Premissas!$E$11+N69*Premissas!$E$31/100,0)+ROUND((E69+B69)*Premissas!$E$10,0)+ROUND(Q69*Premissas!$E$8/100,0)+ROUND(Premissas!$E$35+(B69+C69)*Premissas!$E$36,0)</f>
        <v/>
      </c>
      <c r="S69">
        <f>O69-R69</f>
        <v/>
      </c>
      <c r="T69">
        <f>ROUND(O69*Premissas!$E$9/100,0)</f>
        <v/>
      </c>
      <c r="U69">
        <f>ROUND(AB69*Premissas!$E$33,0)</f>
        <v/>
      </c>
      <c r="V69">
        <f>Premissas!$E$37+ROUND(Premissas!$E$12*Premissas!$E$38+D69*Premissas!$E$27,0)</f>
        <v/>
      </c>
      <c r="W69">
        <f>Premissas!$E$39</f>
        <v/>
      </c>
      <c r="X69">
        <f>S69-T69-ROUND(Premissas!$E$12*Premissas!$E$38+D69*Premissas!$E$27,0)</f>
        <v/>
      </c>
      <c r="Y69">
        <f>O69-R69-T69-U69-V69-W69</f>
        <v/>
      </c>
      <c r="Z69">
        <f>Q69-R69-T69-U69-V69-W69</f>
        <v/>
      </c>
      <c r="AA69">
        <f>AA68+Z69</f>
        <v/>
      </c>
      <c r="AB69">
        <f>Premissas!$E$32+(B69+C69)/Premissas!$E$34</f>
        <v/>
      </c>
      <c r="AC69">
        <f>D69+AC57*(1-Premissas!$E$26/12)^12</f>
        <v/>
      </c>
    </row>
    <row r="70">
      <c r="A70" t="n">
        <v>67</v>
      </c>
      <c r="B70">
        <f>B69*(1-Premissas!$E$18/12)+Premissas!$E$12</f>
        <v/>
      </c>
      <c r="C70">
        <f>IF($B$2=1,C69*(1-Premissas!$E$26/12)+D70,0)</f>
        <v/>
      </c>
      <c r="D70">
        <f>IF(AND($B$2=1,A70&gt;=Premissas!$E$23),Premissas!$E$22,0)</f>
        <v/>
      </c>
      <c r="E70">
        <f>B70*Premissas!$E$28</f>
        <v/>
      </c>
      <c r="F70">
        <f>B70*Premissas!$E$13/12*MIN(1,A70/Premissas!$E$17)</f>
        <v/>
      </c>
      <c r="G70">
        <f>F70*Premissas!$E$14</f>
        <v/>
      </c>
      <c r="H70">
        <f>IF(IF(A70-1-Premissas!$E$16&gt;=0,OFFSET($J$4,A70-1-Premissas!$E$16,0),0)&gt;0,ROUND(IF(A70-1-Premissas!$E$16&gt;=0,OFFSET($J$4,A70-1-Premissas!$E$16,0),0)*10000/Premissas!$E$5*Premissas!$E$15,0),0)</f>
        <v/>
      </c>
      <c r="I70">
        <f>ROUND(G70*Premissas!$E$6/10000,0)</f>
        <v/>
      </c>
      <c r="J70">
        <f>ROUND(G70*Premissas!$E$5/10000,0)</f>
        <v/>
      </c>
      <c r="K70">
        <f>IF(IF(A70-1-Premissas!$E$16&gt;=0,OFFSET($A$4,A70-1-Premissas!$E$16,0)&gt;=Premissas!$E$19,FALSE),ROUND(IF(A70-1-Premissas!$E$16&gt;=0,OFFSET($J$4,A70-1-Premissas!$E$16,0),0)*Premissas!$E$15,0),0)</f>
        <v/>
      </c>
      <c r="L70">
        <f>ROUND(C70*Premissas!$E$24/12,0)</f>
        <v/>
      </c>
      <c r="M70">
        <f>ROUND(D70*Premissas!$E$25,0)</f>
        <v/>
      </c>
      <c r="N70">
        <f>ROUND(E70*Premissas!$E$29+B70*Premissas!$E$30,0)</f>
        <v/>
      </c>
      <c r="O70">
        <f>K70+L70+M70+N70</f>
        <v/>
      </c>
      <c r="P70">
        <f>K70+ROUND(AC70*Premissas!$E$24,0)+M70+N70</f>
        <v/>
      </c>
      <c r="Q70">
        <f>ROUND(IF(A70-1-Premissas!$E$21&gt;=0,OFFSET($P$4,A70-1-Premissas!$E$21,0),0)*(1-Premissas!$E$20/100),0)</f>
        <v/>
      </c>
      <c r="R70">
        <f>ROUND(F70*Premissas!$E$11+N70*Premissas!$E$31/100,0)+ROUND((E70+B70)*Premissas!$E$10,0)+ROUND(Q70*Premissas!$E$8/100,0)+ROUND(Premissas!$E$35+(B70+C70)*Premissas!$E$36,0)</f>
        <v/>
      </c>
      <c r="S70">
        <f>O70-R70</f>
        <v/>
      </c>
      <c r="T70">
        <f>ROUND(O70*Premissas!$E$9/100,0)</f>
        <v/>
      </c>
      <c r="U70">
        <f>ROUND(AB70*Premissas!$E$33,0)</f>
        <v/>
      </c>
      <c r="V70">
        <f>Premissas!$E$37+ROUND(Premissas!$E$12*Premissas!$E$38+D70*Premissas!$E$27,0)</f>
        <v/>
      </c>
      <c r="W70">
        <f>Premissas!$E$39</f>
        <v/>
      </c>
      <c r="X70">
        <f>S70-T70-ROUND(Premissas!$E$12*Premissas!$E$38+D70*Premissas!$E$27,0)</f>
        <v/>
      </c>
      <c r="Y70">
        <f>O70-R70-T70-U70-V70-W70</f>
        <v/>
      </c>
      <c r="Z70">
        <f>Q70-R70-T70-U70-V70-W70</f>
        <v/>
      </c>
      <c r="AA70">
        <f>AA69+Z70</f>
        <v/>
      </c>
      <c r="AB70">
        <f>Premissas!$E$32+(B70+C70)/Premissas!$E$34</f>
        <v/>
      </c>
      <c r="AC70">
        <f>D70+AC58*(1-Premissas!$E$26/12)^12</f>
        <v/>
      </c>
    </row>
    <row r="71">
      <c r="A71" t="n">
        <v>68</v>
      </c>
      <c r="B71">
        <f>B70*(1-Premissas!$E$18/12)+Premissas!$E$12</f>
        <v/>
      </c>
      <c r="C71">
        <f>IF($B$2=1,C70*(1-Premissas!$E$26/12)+D71,0)</f>
        <v/>
      </c>
      <c r="D71">
        <f>IF(AND($B$2=1,A71&gt;=Premissas!$E$23),Premissas!$E$22,0)</f>
        <v/>
      </c>
      <c r="E71">
        <f>B71*Premissas!$E$28</f>
        <v/>
      </c>
      <c r="F71">
        <f>B71*Premissas!$E$13/12*MIN(1,A71/Premissas!$E$17)</f>
        <v/>
      </c>
      <c r="G71">
        <f>F71*Premissas!$E$14</f>
        <v/>
      </c>
      <c r="H71">
        <f>IF(IF(A71-1-Premissas!$E$16&gt;=0,OFFSET($J$4,A71-1-Premissas!$E$16,0),0)&gt;0,ROUND(IF(A71-1-Premissas!$E$16&gt;=0,OFFSET($J$4,A71-1-Premissas!$E$16,0),0)*10000/Premissas!$E$5*Premissas!$E$15,0),0)</f>
        <v/>
      </c>
      <c r="I71">
        <f>ROUND(G71*Premissas!$E$6/10000,0)</f>
        <v/>
      </c>
      <c r="J71">
        <f>ROUND(G71*Premissas!$E$5/10000,0)</f>
        <v/>
      </c>
      <c r="K71">
        <f>IF(IF(A71-1-Premissas!$E$16&gt;=0,OFFSET($A$4,A71-1-Premissas!$E$16,0)&gt;=Premissas!$E$19,FALSE),ROUND(IF(A71-1-Premissas!$E$16&gt;=0,OFFSET($J$4,A71-1-Premissas!$E$16,0),0)*Premissas!$E$15,0),0)</f>
        <v/>
      </c>
      <c r="L71">
        <f>ROUND(C71*Premissas!$E$24/12,0)</f>
        <v/>
      </c>
      <c r="M71">
        <f>ROUND(D71*Premissas!$E$25,0)</f>
        <v/>
      </c>
      <c r="N71">
        <f>ROUND(E71*Premissas!$E$29+B71*Premissas!$E$30,0)</f>
        <v/>
      </c>
      <c r="O71">
        <f>K71+L71+M71+N71</f>
        <v/>
      </c>
      <c r="P71">
        <f>K71+ROUND(AC71*Premissas!$E$24,0)+M71+N71</f>
        <v/>
      </c>
      <c r="Q71">
        <f>ROUND(IF(A71-1-Premissas!$E$21&gt;=0,OFFSET($P$4,A71-1-Premissas!$E$21,0),0)*(1-Premissas!$E$20/100),0)</f>
        <v/>
      </c>
      <c r="R71">
        <f>ROUND(F71*Premissas!$E$11+N71*Premissas!$E$31/100,0)+ROUND((E71+B71)*Premissas!$E$10,0)+ROUND(Q71*Premissas!$E$8/100,0)+ROUND(Premissas!$E$35+(B71+C71)*Premissas!$E$36,0)</f>
        <v/>
      </c>
      <c r="S71">
        <f>O71-R71</f>
        <v/>
      </c>
      <c r="T71">
        <f>ROUND(O71*Premissas!$E$9/100,0)</f>
        <v/>
      </c>
      <c r="U71">
        <f>ROUND(AB71*Premissas!$E$33,0)</f>
        <v/>
      </c>
      <c r="V71">
        <f>Premissas!$E$37+ROUND(Premissas!$E$12*Premissas!$E$38+D71*Premissas!$E$27,0)</f>
        <v/>
      </c>
      <c r="W71">
        <f>Premissas!$E$39</f>
        <v/>
      </c>
      <c r="X71">
        <f>S71-T71-ROUND(Premissas!$E$12*Premissas!$E$38+D71*Premissas!$E$27,0)</f>
        <v/>
      </c>
      <c r="Y71">
        <f>O71-R71-T71-U71-V71-W71</f>
        <v/>
      </c>
      <c r="Z71">
        <f>Q71-R71-T71-U71-V71-W71</f>
        <v/>
      </c>
      <c r="AA71">
        <f>AA70+Z71</f>
        <v/>
      </c>
      <c r="AB71">
        <f>Premissas!$E$32+(B71+C71)/Premissas!$E$34</f>
        <v/>
      </c>
      <c r="AC71">
        <f>D71+AC59*(1-Premissas!$E$26/12)^12</f>
        <v/>
      </c>
    </row>
    <row r="72">
      <c r="A72" t="n">
        <v>69</v>
      </c>
      <c r="B72">
        <f>B71*(1-Premissas!$E$18/12)+Premissas!$E$12</f>
        <v/>
      </c>
      <c r="C72">
        <f>IF($B$2=1,C71*(1-Premissas!$E$26/12)+D72,0)</f>
        <v/>
      </c>
      <c r="D72">
        <f>IF(AND($B$2=1,A72&gt;=Premissas!$E$23),Premissas!$E$22,0)</f>
        <v/>
      </c>
      <c r="E72">
        <f>B72*Premissas!$E$28</f>
        <v/>
      </c>
      <c r="F72">
        <f>B72*Premissas!$E$13/12*MIN(1,A72/Premissas!$E$17)</f>
        <v/>
      </c>
      <c r="G72">
        <f>F72*Premissas!$E$14</f>
        <v/>
      </c>
      <c r="H72">
        <f>IF(IF(A72-1-Premissas!$E$16&gt;=0,OFFSET($J$4,A72-1-Premissas!$E$16,0),0)&gt;0,ROUND(IF(A72-1-Premissas!$E$16&gt;=0,OFFSET($J$4,A72-1-Premissas!$E$16,0),0)*10000/Premissas!$E$5*Premissas!$E$15,0),0)</f>
        <v/>
      </c>
      <c r="I72">
        <f>ROUND(G72*Premissas!$E$6/10000,0)</f>
        <v/>
      </c>
      <c r="J72">
        <f>ROUND(G72*Premissas!$E$5/10000,0)</f>
        <v/>
      </c>
      <c r="K72">
        <f>IF(IF(A72-1-Premissas!$E$16&gt;=0,OFFSET($A$4,A72-1-Premissas!$E$16,0)&gt;=Premissas!$E$19,FALSE),ROUND(IF(A72-1-Premissas!$E$16&gt;=0,OFFSET($J$4,A72-1-Premissas!$E$16,0),0)*Premissas!$E$15,0),0)</f>
        <v/>
      </c>
      <c r="L72">
        <f>ROUND(C72*Premissas!$E$24/12,0)</f>
        <v/>
      </c>
      <c r="M72">
        <f>ROUND(D72*Premissas!$E$25,0)</f>
        <v/>
      </c>
      <c r="N72">
        <f>ROUND(E72*Premissas!$E$29+B72*Premissas!$E$30,0)</f>
        <v/>
      </c>
      <c r="O72">
        <f>K72+L72+M72+N72</f>
        <v/>
      </c>
      <c r="P72">
        <f>K72+ROUND(AC72*Premissas!$E$24,0)+M72+N72</f>
        <v/>
      </c>
      <c r="Q72">
        <f>ROUND(IF(A72-1-Premissas!$E$21&gt;=0,OFFSET($P$4,A72-1-Premissas!$E$21,0),0)*(1-Premissas!$E$20/100),0)</f>
        <v/>
      </c>
      <c r="R72">
        <f>ROUND(F72*Premissas!$E$11+N72*Premissas!$E$31/100,0)+ROUND((E72+B72)*Premissas!$E$10,0)+ROUND(Q72*Premissas!$E$8/100,0)+ROUND(Premissas!$E$35+(B72+C72)*Premissas!$E$36,0)</f>
        <v/>
      </c>
      <c r="S72">
        <f>O72-R72</f>
        <v/>
      </c>
      <c r="T72">
        <f>ROUND(O72*Premissas!$E$9/100,0)</f>
        <v/>
      </c>
      <c r="U72">
        <f>ROUND(AB72*Premissas!$E$33,0)</f>
        <v/>
      </c>
      <c r="V72">
        <f>Premissas!$E$37+ROUND(Premissas!$E$12*Premissas!$E$38+D72*Premissas!$E$27,0)</f>
        <v/>
      </c>
      <c r="W72">
        <f>Premissas!$E$39</f>
        <v/>
      </c>
      <c r="X72">
        <f>S72-T72-ROUND(Premissas!$E$12*Premissas!$E$38+D72*Premissas!$E$27,0)</f>
        <v/>
      </c>
      <c r="Y72">
        <f>O72-R72-T72-U72-V72-W72</f>
        <v/>
      </c>
      <c r="Z72">
        <f>Q72-R72-T72-U72-V72-W72</f>
        <v/>
      </c>
      <c r="AA72">
        <f>AA71+Z72</f>
        <v/>
      </c>
      <c r="AB72">
        <f>Premissas!$E$32+(B72+C72)/Premissas!$E$34</f>
        <v/>
      </c>
      <c r="AC72">
        <f>D72+AC60*(1-Premissas!$E$26/12)^12</f>
        <v/>
      </c>
    </row>
    <row r="73">
      <c r="A73" t="n">
        <v>70</v>
      </c>
      <c r="B73">
        <f>B72*(1-Premissas!$E$18/12)+Premissas!$E$12</f>
        <v/>
      </c>
      <c r="C73">
        <f>IF($B$2=1,C72*(1-Premissas!$E$26/12)+D73,0)</f>
        <v/>
      </c>
      <c r="D73">
        <f>IF(AND($B$2=1,A73&gt;=Premissas!$E$23),Premissas!$E$22,0)</f>
        <v/>
      </c>
      <c r="E73">
        <f>B73*Premissas!$E$28</f>
        <v/>
      </c>
      <c r="F73">
        <f>B73*Premissas!$E$13/12*MIN(1,A73/Premissas!$E$17)</f>
        <v/>
      </c>
      <c r="G73">
        <f>F73*Premissas!$E$14</f>
        <v/>
      </c>
      <c r="H73">
        <f>IF(IF(A73-1-Premissas!$E$16&gt;=0,OFFSET($J$4,A73-1-Premissas!$E$16,0),0)&gt;0,ROUND(IF(A73-1-Premissas!$E$16&gt;=0,OFFSET($J$4,A73-1-Premissas!$E$16,0),0)*10000/Premissas!$E$5*Premissas!$E$15,0),0)</f>
        <v/>
      </c>
      <c r="I73">
        <f>ROUND(G73*Premissas!$E$6/10000,0)</f>
        <v/>
      </c>
      <c r="J73">
        <f>ROUND(G73*Premissas!$E$5/10000,0)</f>
        <v/>
      </c>
      <c r="K73">
        <f>IF(IF(A73-1-Premissas!$E$16&gt;=0,OFFSET($A$4,A73-1-Premissas!$E$16,0)&gt;=Premissas!$E$19,FALSE),ROUND(IF(A73-1-Premissas!$E$16&gt;=0,OFFSET($J$4,A73-1-Premissas!$E$16,0),0)*Premissas!$E$15,0),0)</f>
        <v/>
      </c>
      <c r="L73">
        <f>ROUND(C73*Premissas!$E$24/12,0)</f>
        <v/>
      </c>
      <c r="M73">
        <f>ROUND(D73*Premissas!$E$25,0)</f>
        <v/>
      </c>
      <c r="N73">
        <f>ROUND(E73*Premissas!$E$29+B73*Premissas!$E$30,0)</f>
        <v/>
      </c>
      <c r="O73">
        <f>K73+L73+M73+N73</f>
        <v/>
      </c>
      <c r="P73">
        <f>K73+ROUND(AC73*Premissas!$E$24,0)+M73+N73</f>
        <v/>
      </c>
      <c r="Q73">
        <f>ROUND(IF(A73-1-Premissas!$E$21&gt;=0,OFFSET($P$4,A73-1-Premissas!$E$21,0),0)*(1-Premissas!$E$20/100),0)</f>
        <v/>
      </c>
      <c r="R73">
        <f>ROUND(F73*Premissas!$E$11+N73*Premissas!$E$31/100,0)+ROUND((E73+B73)*Premissas!$E$10,0)+ROUND(Q73*Premissas!$E$8/100,0)+ROUND(Premissas!$E$35+(B73+C73)*Premissas!$E$36,0)</f>
        <v/>
      </c>
      <c r="S73">
        <f>O73-R73</f>
        <v/>
      </c>
      <c r="T73">
        <f>ROUND(O73*Premissas!$E$9/100,0)</f>
        <v/>
      </c>
      <c r="U73">
        <f>ROUND(AB73*Premissas!$E$33,0)</f>
        <v/>
      </c>
      <c r="V73">
        <f>Premissas!$E$37+ROUND(Premissas!$E$12*Premissas!$E$38+D73*Premissas!$E$27,0)</f>
        <v/>
      </c>
      <c r="W73">
        <f>Premissas!$E$39</f>
        <v/>
      </c>
      <c r="X73">
        <f>S73-T73-ROUND(Premissas!$E$12*Premissas!$E$38+D73*Premissas!$E$27,0)</f>
        <v/>
      </c>
      <c r="Y73">
        <f>O73-R73-T73-U73-V73-W73</f>
        <v/>
      </c>
      <c r="Z73">
        <f>Q73-R73-T73-U73-V73-W73</f>
        <v/>
      </c>
      <c r="AA73">
        <f>AA72+Z73</f>
        <v/>
      </c>
      <c r="AB73">
        <f>Premissas!$E$32+(B73+C73)/Premissas!$E$34</f>
        <v/>
      </c>
      <c r="AC73">
        <f>D73+AC61*(1-Premissas!$E$26/12)^12</f>
        <v/>
      </c>
    </row>
    <row r="74">
      <c r="A74" t="n">
        <v>71</v>
      </c>
      <c r="B74">
        <f>B73*(1-Premissas!$E$18/12)+Premissas!$E$12</f>
        <v/>
      </c>
      <c r="C74">
        <f>IF($B$2=1,C73*(1-Premissas!$E$26/12)+D74,0)</f>
        <v/>
      </c>
      <c r="D74">
        <f>IF(AND($B$2=1,A74&gt;=Premissas!$E$23),Premissas!$E$22,0)</f>
        <v/>
      </c>
      <c r="E74">
        <f>B74*Premissas!$E$28</f>
        <v/>
      </c>
      <c r="F74">
        <f>B74*Premissas!$E$13/12*MIN(1,A74/Premissas!$E$17)</f>
        <v/>
      </c>
      <c r="G74">
        <f>F74*Premissas!$E$14</f>
        <v/>
      </c>
      <c r="H74">
        <f>IF(IF(A74-1-Premissas!$E$16&gt;=0,OFFSET($J$4,A74-1-Premissas!$E$16,0),0)&gt;0,ROUND(IF(A74-1-Premissas!$E$16&gt;=0,OFFSET($J$4,A74-1-Premissas!$E$16,0),0)*10000/Premissas!$E$5*Premissas!$E$15,0),0)</f>
        <v/>
      </c>
      <c r="I74">
        <f>ROUND(G74*Premissas!$E$6/10000,0)</f>
        <v/>
      </c>
      <c r="J74">
        <f>ROUND(G74*Premissas!$E$5/10000,0)</f>
        <v/>
      </c>
      <c r="K74">
        <f>IF(IF(A74-1-Premissas!$E$16&gt;=0,OFFSET($A$4,A74-1-Premissas!$E$16,0)&gt;=Premissas!$E$19,FALSE),ROUND(IF(A74-1-Premissas!$E$16&gt;=0,OFFSET($J$4,A74-1-Premissas!$E$16,0),0)*Premissas!$E$15,0),0)</f>
        <v/>
      </c>
      <c r="L74">
        <f>ROUND(C74*Premissas!$E$24/12,0)</f>
        <v/>
      </c>
      <c r="M74">
        <f>ROUND(D74*Premissas!$E$25,0)</f>
        <v/>
      </c>
      <c r="N74">
        <f>ROUND(E74*Premissas!$E$29+B74*Premissas!$E$30,0)</f>
        <v/>
      </c>
      <c r="O74">
        <f>K74+L74+M74+N74</f>
        <v/>
      </c>
      <c r="P74">
        <f>K74+ROUND(AC74*Premissas!$E$24,0)+M74+N74</f>
        <v/>
      </c>
      <c r="Q74">
        <f>ROUND(IF(A74-1-Premissas!$E$21&gt;=0,OFFSET($P$4,A74-1-Premissas!$E$21,0),0)*(1-Premissas!$E$20/100),0)</f>
        <v/>
      </c>
      <c r="R74">
        <f>ROUND(F74*Premissas!$E$11+N74*Premissas!$E$31/100,0)+ROUND((E74+B74)*Premissas!$E$10,0)+ROUND(Q74*Premissas!$E$8/100,0)+ROUND(Premissas!$E$35+(B74+C74)*Premissas!$E$36,0)</f>
        <v/>
      </c>
      <c r="S74">
        <f>O74-R74</f>
        <v/>
      </c>
      <c r="T74">
        <f>ROUND(O74*Premissas!$E$9/100,0)</f>
        <v/>
      </c>
      <c r="U74">
        <f>ROUND(AB74*Premissas!$E$33,0)</f>
        <v/>
      </c>
      <c r="V74">
        <f>Premissas!$E$37+ROUND(Premissas!$E$12*Premissas!$E$38+D74*Premissas!$E$27,0)</f>
        <v/>
      </c>
      <c r="W74">
        <f>Premissas!$E$39</f>
        <v/>
      </c>
      <c r="X74">
        <f>S74-T74-ROUND(Premissas!$E$12*Premissas!$E$38+D74*Premissas!$E$27,0)</f>
        <v/>
      </c>
      <c r="Y74">
        <f>O74-R74-T74-U74-V74-W74</f>
        <v/>
      </c>
      <c r="Z74">
        <f>Q74-R74-T74-U74-V74-W74</f>
        <v/>
      </c>
      <c r="AA74">
        <f>AA73+Z74</f>
        <v/>
      </c>
      <c r="AB74">
        <f>Premissas!$E$32+(B74+C74)/Premissas!$E$34</f>
        <v/>
      </c>
      <c r="AC74">
        <f>D74+AC62*(1-Premissas!$E$26/12)^12</f>
        <v/>
      </c>
    </row>
    <row r="75">
      <c r="A75" t="n">
        <v>72</v>
      </c>
      <c r="B75">
        <f>B74*(1-Premissas!$E$18/12)+Premissas!$E$12</f>
        <v/>
      </c>
      <c r="C75">
        <f>IF($B$2=1,C74*(1-Premissas!$E$26/12)+D75,0)</f>
        <v/>
      </c>
      <c r="D75">
        <f>IF(AND($B$2=1,A75&gt;=Premissas!$E$23),Premissas!$E$22,0)</f>
        <v/>
      </c>
      <c r="E75">
        <f>B75*Premissas!$E$28</f>
        <v/>
      </c>
      <c r="F75">
        <f>B75*Premissas!$E$13/12*MIN(1,A75/Premissas!$E$17)</f>
        <v/>
      </c>
      <c r="G75">
        <f>F75*Premissas!$E$14</f>
        <v/>
      </c>
      <c r="H75">
        <f>IF(IF(A75-1-Premissas!$E$16&gt;=0,OFFSET($J$4,A75-1-Premissas!$E$16,0),0)&gt;0,ROUND(IF(A75-1-Premissas!$E$16&gt;=0,OFFSET($J$4,A75-1-Premissas!$E$16,0),0)*10000/Premissas!$E$5*Premissas!$E$15,0),0)</f>
        <v/>
      </c>
      <c r="I75">
        <f>ROUND(G75*Premissas!$E$6/10000,0)</f>
        <v/>
      </c>
      <c r="J75">
        <f>ROUND(G75*Premissas!$E$5/10000,0)</f>
        <v/>
      </c>
      <c r="K75">
        <f>IF(IF(A75-1-Premissas!$E$16&gt;=0,OFFSET($A$4,A75-1-Premissas!$E$16,0)&gt;=Premissas!$E$19,FALSE),ROUND(IF(A75-1-Premissas!$E$16&gt;=0,OFFSET($J$4,A75-1-Premissas!$E$16,0),0)*Premissas!$E$15,0),0)</f>
        <v/>
      </c>
      <c r="L75">
        <f>ROUND(C75*Premissas!$E$24/12,0)</f>
        <v/>
      </c>
      <c r="M75">
        <f>ROUND(D75*Premissas!$E$25,0)</f>
        <v/>
      </c>
      <c r="N75">
        <f>ROUND(E75*Premissas!$E$29+B75*Premissas!$E$30,0)</f>
        <v/>
      </c>
      <c r="O75">
        <f>K75+L75+M75+N75</f>
        <v/>
      </c>
      <c r="P75">
        <f>K75+ROUND(AC75*Premissas!$E$24,0)+M75+N75</f>
        <v/>
      </c>
      <c r="Q75">
        <f>ROUND(IF(A75-1-Premissas!$E$21&gt;=0,OFFSET($P$4,A75-1-Premissas!$E$21,0),0)*(1-Premissas!$E$20/100),0)</f>
        <v/>
      </c>
      <c r="R75">
        <f>ROUND(F75*Premissas!$E$11+N75*Premissas!$E$31/100,0)+ROUND((E75+B75)*Premissas!$E$10,0)+ROUND(Q75*Premissas!$E$8/100,0)+ROUND(Premissas!$E$35+(B75+C75)*Premissas!$E$36,0)</f>
        <v/>
      </c>
      <c r="S75">
        <f>O75-R75</f>
        <v/>
      </c>
      <c r="T75">
        <f>ROUND(O75*Premissas!$E$9/100,0)</f>
        <v/>
      </c>
      <c r="U75">
        <f>ROUND(AB75*Premissas!$E$33,0)</f>
        <v/>
      </c>
      <c r="V75">
        <f>Premissas!$E$37+ROUND(Premissas!$E$12*Premissas!$E$38+D75*Premissas!$E$27,0)</f>
        <v/>
      </c>
      <c r="W75">
        <f>Premissas!$E$39</f>
        <v/>
      </c>
      <c r="X75">
        <f>S75-T75-ROUND(Premissas!$E$12*Premissas!$E$38+D75*Premissas!$E$27,0)</f>
        <v/>
      </c>
      <c r="Y75">
        <f>O75-R75-T75-U75-V75-W75</f>
        <v/>
      </c>
      <c r="Z75">
        <f>Q75-R75-T75-U75-V75-W75</f>
        <v/>
      </c>
      <c r="AA75">
        <f>AA74+Z75</f>
        <v/>
      </c>
      <c r="AB75">
        <f>Premissas!$E$32+(B75+C75)/Premissas!$E$34</f>
        <v/>
      </c>
      <c r="AC75">
        <f>D75+AC63*(1-Premissas!$E$26/12)^12</f>
        <v/>
      </c>
    </row>
    <row r="76">
      <c r="A76" t="n">
        <v>73</v>
      </c>
      <c r="B76">
        <f>B75*(1-Premissas!$E$18/12)+Premissas!$E$12</f>
        <v/>
      </c>
      <c r="C76">
        <f>IF($B$2=1,C75*(1-Premissas!$E$26/12)+D76,0)</f>
        <v/>
      </c>
      <c r="D76">
        <f>IF(AND($B$2=1,A76&gt;=Premissas!$E$23),Premissas!$E$22,0)</f>
        <v/>
      </c>
      <c r="E76">
        <f>B76*Premissas!$E$28</f>
        <v/>
      </c>
      <c r="F76">
        <f>B76*Premissas!$E$13/12*MIN(1,A76/Premissas!$E$17)</f>
        <v/>
      </c>
      <c r="G76">
        <f>F76*Premissas!$E$14</f>
        <v/>
      </c>
      <c r="H76">
        <f>IF(IF(A76-1-Premissas!$E$16&gt;=0,OFFSET($J$4,A76-1-Premissas!$E$16,0),0)&gt;0,ROUND(IF(A76-1-Premissas!$E$16&gt;=0,OFFSET($J$4,A76-1-Premissas!$E$16,0),0)*10000/Premissas!$E$5*Premissas!$E$15,0),0)</f>
        <v/>
      </c>
      <c r="I76">
        <f>ROUND(G76*Premissas!$E$6/10000,0)</f>
        <v/>
      </c>
      <c r="J76">
        <f>ROUND(G76*Premissas!$E$5/10000,0)</f>
        <v/>
      </c>
      <c r="K76">
        <f>IF(IF(A76-1-Premissas!$E$16&gt;=0,OFFSET($A$4,A76-1-Premissas!$E$16,0)&gt;=Premissas!$E$19,FALSE),ROUND(IF(A76-1-Premissas!$E$16&gt;=0,OFFSET($J$4,A76-1-Premissas!$E$16,0),0)*Premissas!$E$15,0),0)</f>
        <v/>
      </c>
      <c r="L76">
        <f>ROUND(C76*Premissas!$E$24/12,0)</f>
        <v/>
      </c>
      <c r="M76">
        <f>ROUND(D76*Premissas!$E$25,0)</f>
        <v/>
      </c>
      <c r="N76">
        <f>ROUND(E76*Premissas!$E$29+B76*Premissas!$E$30,0)</f>
        <v/>
      </c>
      <c r="O76">
        <f>K76+L76+M76+N76</f>
        <v/>
      </c>
      <c r="P76">
        <f>K76+ROUND(AC76*Premissas!$E$24,0)+M76+N76</f>
        <v/>
      </c>
      <c r="Q76">
        <f>ROUND(IF(A76-1-Premissas!$E$21&gt;=0,OFFSET($P$4,A76-1-Premissas!$E$21,0),0)*(1-Premissas!$E$20/100),0)</f>
        <v/>
      </c>
      <c r="R76">
        <f>ROUND(F76*Premissas!$E$11+N76*Premissas!$E$31/100,0)+ROUND((E76+B76)*Premissas!$E$10,0)+ROUND(Q76*Premissas!$E$8/100,0)+ROUND(Premissas!$E$35+(B76+C76)*Premissas!$E$36,0)</f>
        <v/>
      </c>
      <c r="S76">
        <f>O76-R76</f>
        <v/>
      </c>
      <c r="T76">
        <f>ROUND(O76*Premissas!$E$9/100,0)</f>
        <v/>
      </c>
      <c r="U76">
        <f>ROUND(AB76*Premissas!$E$33,0)</f>
        <v/>
      </c>
      <c r="V76">
        <f>Premissas!$E$37+ROUND(Premissas!$E$12*Premissas!$E$38+D76*Premissas!$E$27,0)</f>
        <v/>
      </c>
      <c r="W76">
        <f>Premissas!$E$39</f>
        <v/>
      </c>
      <c r="X76">
        <f>S76-T76-ROUND(Premissas!$E$12*Premissas!$E$38+D76*Premissas!$E$27,0)</f>
        <v/>
      </c>
      <c r="Y76">
        <f>O76-R76-T76-U76-V76-W76</f>
        <v/>
      </c>
      <c r="Z76">
        <f>Q76-R76-T76-U76-V76-W76</f>
        <v/>
      </c>
      <c r="AA76">
        <f>AA75+Z76</f>
        <v/>
      </c>
      <c r="AB76">
        <f>Premissas!$E$32+(B76+C76)/Premissas!$E$34</f>
        <v/>
      </c>
      <c r="AC76">
        <f>D76+AC64*(1-Premissas!$E$26/12)^12</f>
        <v/>
      </c>
    </row>
    <row r="77">
      <c r="A77" t="n">
        <v>74</v>
      </c>
      <c r="B77">
        <f>B76*(1-Premissas!$E$18/12)+Premissas!$E$12</f>
        <v/>
      </c>
      <c r="C77">
        <f>IF($B$2=1,C76*(1-Premissas!$E$26/12)+D77,0)</f>
        <v/>
      </c>
      <c r="D77">
        <f>IF(AND($B$2=1,A77&gt;=Premissas!$E$23),Premissas!$E$22,0)</f>
        <v/>
      </c>
      <c r="E77">
        <f>B77*Premissas!$E$28</f>
        <v/>
      </c>
      <c r="F77">
        <f>B77*Premissas!$E$13/12*MIN(1,A77/Premissas!$E$17)</f>
        <v/>
      </c>
      <c r="G77">
        <f>F77*Premissas!$E$14</f>
        <v/>
      </c>
      <c r="H77">
        <f>IF(IF(A77-1-Premissas!$E$16&gt;=0,OFFSET($J$4,A77-1-Premissas!$E$16,0),0)&gt;0,ROUND(IF(A77-1-Premissas!$E$16&gt;=0,OFFSET($J$4,A77-1-Premissas!$E$16,0),0)*10000/Premissas!$E$5*Premissas!$E$15,0),0)</f>
        <v/>
      </c>
      <c r="I77">
        <f>ROUND(G77*Premissas!$E$6/10000,0)</f>
        <v/>
      </c>
      <c r="J77">
        <f>ROUND(G77*Premissas!$E$5/10000,0)</f>
        <v/>
      </c>
      <c r="K77">
        <f>IF(IF(A77-1-Premissas!$E$16&gt;=0,OFFSET($A$4,A77-1-Premissas!$E$16,0)&gt;=Premissas!$E$19,FALSE),ROUND(IF(A77-1-Premissas!$E$16&gt;=0,OFFSET($J$4,A77-1-Premissas!$E$16,0),0)*Premissas!$E$15,0),0)</f>
        <v/>
      </c>
      <c r="L77">
        <f>ROUND(C77*Premissas!$E$24/12,0)</f>
        <v/>
      </c>
      <c r="M77">
        <f>ROUND(D77*Premissas!$E$25,0)</f>
        <v/>
      </c>
      <c r="N77">
        <f>ROUND(E77*Premissas!$E$29+B77*Premissas!$E$30,0)</f>
        <v/>
      </c>
      <c r="O77">
        <f>K77+L77+M77+N77</f>
        <v/>
      </c>
      <c r="P77">
        <f>K77+ROUND(AC77*Premissas!$E$24,0)+M77+N77</f>
        <v/>
      </c>
      <c r="Q77">
        <f>ROUND(IF(A77-1-Premissas!$E$21&gt;=0,OFFSET($P$4,A77-1-Premissas!$E$21,0),0)*(1-Premissas!$E$20/100),0)</f>
        <v/>
      </c>
      <c r="R77">
        <f>ROUND(F77*Premissas!$E$11+N77*Premissas!$E$31/100,0)+ROUND((E77+B77)*Premissas!$E$10,0)+ROUND(Q77*Premissas!$E$8/100,0)+ROUND(Premissas!$E$35+(B77+C77)*Premissas!$E$36,0)</f>
        <v/>
      </c>
      <c r="S77">
        <f>O77-R77</f>
        <v/>
      </c>
      <c r="T77">
        <f>ROUND(O77*Premissas!$E$9/100,0)</f>
        <v/>
      </c>
      <c r="U77">
        <f>ROUND(AB77*Premissas!$E$33,0)</f>
        <v/>
      </c>
      <c r="V77">
        <f>Premissas!$E$37+ROUND(Premissas!$E$12*Premissas!$E$38+D77*Premissas!$E$27,0)</f>
        <v/>
      </c>
      <c r="W77">
        <f>Premissas!$E$39</f>
        <v/>
      </c>
      <c r="X77">
        <f>S77-T77-ROUND(Premissas!$E$12*Premissas!$E$38+D77*Premissas!$E$27,0)</f>
        <v/>
      </c>
      <c r="Y77">
        <f>O77-R77-T77-U77-V77-W77</f>
        <v/>
      </c>
      <c r="Z77">
        <f>Q77-R77-T77-U77-V77-W77</f>
        <v/>
      </c>
      <c r="AA77">
        <f>AA76+Z77</f>
        <v/>
      </c>
      <c r="AB77">
        <f>Premissas!$E$32+(B77+C77)/Premissas!$E$34</f>
        <v/>
      </c>
      <c r="AC77">
        <f>D77+AC65*(1-Premissas!$E$26/12)^12</f>
        <v/>
      </c>
    </row>
    <row r="78">
      <c r="A78" t="n">
        <v>75</v>
      </c>
      <c r="B78">
        <f>B77*(1-Premissas!$E$18/12)+Premissas!$E$12</f>
        <v/>
      </c>
      <c r="C78">
        <f>IF($B$2=1,C77*(1-Premissas!$E$26/12)+D78,0)</f>
        <v/>
      </c>
      <c r="D78">
        <f>IF(AND($B$2=1,A78&gt;=Premissas!$E$23),Premissas!$E$22,0)</f>
        <v/>
      </c>
      <c r="E78">
        <f>B78*Premissas!$E$28</f>
        <v/>
      </c>
      <c r="F78">
        <f>B78*Premissas!$E$13/12*MIN(1,A78/Premissas!$E$17)</f>
        <v/>
      </c>
      <c r="G78">
        <f>F78*Premissas!$E$14</f>
        <v/>
      </c>
      <c r="H78">
        <f>IF(IF(A78-1-Premissas!$E$16&gt;=0,OFFSET($J$4,A78-1-Premissas!$E$16,0),0)&gt;0,ROUND(IF(A78-1-Premissas!$E$16&gt;=0,OFFSET($J$4,A78-1-Premissas!$E$16,0),0)*10000/Premissas!$E$5*Premissas!$E$15,0),0)</f>
        <v/>
      </c>
      <c r="I78">
        <f>ROUND(G78*Premissas!$E$6/10000,0)</f>
        <v/>
      </c>
      <c r="J78">
        <f>ROUND(G78*Premissas!$E$5/10000,0)</f>
        <v/>
      </c>
      <c r="K78">
        <f>IF(IF(A78-1-Premissas!$E$16&gt;=0,OFFSET($A$4,A78-1-Premissas!$E$16,0)&gt;=Premissas!$E$19,FALSE),ROUND(IF(A78-1-Premissas!$E$16&gt;=0,OFFSET($J$4,A78-1-Premissas!$E$16,0),0)*Premissas!$E$15,0),0)</f>
        <v/>
      </c>
      <c r="L78">
        <f>ROUND(C78*Premissas!$E$24/12,0)</f>
        <v/>
      </c>
      <c r="M78">
        <f>ROUND(D78*Premissas!$E$25,0)</f>
        <v/>
      </c>
      <c r="N78">
        <f>ROUND(E78*Premissas!$E$29+B78*Premissas!$E$30,0)</f>
        <v/>
      </c>
      <c r="O78">
        <f>K78+L78+M78+N78</f>
        <v/>
      </c>
      <c r="P78">
        <f>K78+ROUND(AC78*Premissas!$E$24,0)+M78+N78</f>
        <v/>
      </c>
      <c r="Q78">
        <f>ROUND(IF(A78-1-Premissas!$E$21&gt;=0,OFFSET($P$4,A78-1-Premissas!$E$21,0),0)*(1-Premissas!$E$20/100),0)</f>
        <v/>
      </c>
      <c r="R78">
        <f>ROUND(F78*Premissas!$E$11+N78*Premissas!$E$31/100,0)+ROUND((E78+B78)*Premissas!$E$10,0)+ROUND(Q78*Premissas!$E$8/100,0)+ROUND(Premissas!$E$35+(B78+C78)*Premissas!$E$36,0)</f>
        <v/>
      </c>
      <c r="S78">
        <f>O78-R78</f>
        <v/>
      </c>
      <c r="T78">
        <f>ROUND(O78*Premissas!$E$9/100,0)</f>
        <v/>
      </c>
      <c r="U78">
        <f>ROUND(AB78*Premissas!$E$33,0)</f>
        <v/>
      </c>
      <c r="V78">
        <f>Premissas!$E$37+ROUND(Premissas!$E$12*Premissas!$E$38+D78*Premissas!$E$27,0)</f>
        <v/>
      </c>
      <c r="W78">
        <f>Premissas!$E$39</f>
        <v/>
      </c>
      <c r="X78">
        <f>S78-T78-ROUND(Premissas!$E$12*Premissas!$E$38+D78*Premissas!$E$27,0)</f>
        <v/>
      </c>
      <c r="Y78">
        <f>O78-R78-T78-U78-V78-W78</f>
        <v/>
      </c>
      <c r="Z78">
        <f>Q78-R78-T78-U78-V78-W78</f>
        <v/>
      </c>
      <c r="AA78">
        <f>AA77+Z78</f>
        <v/>
      </c>
      <c r="AB78">
        <f>Premissas!$E$32+(B78+C78)/Premissas!$E$34</f>
        <v/>
      </c>
      <c r="AC78">
        <f>D78+AC66*(1-Premissas!$E$26/12)^12</f>
        <v/>
      </c>
    </row>
    <row r="79">
      <c r="A79" t="n">
        <v>76</v>
      </c>
      <c r="B79">
        <f>B78*(1-Premissas!$E$18/12)+Premissas!$E$12</f>
        <v/>
      </c>
      <c r="C79">
        <f>IF($B$2=1,C78*(1-Premissas!$E$26/12)+D79,0)</f>
        <v/>
      </c>
      <c r="D79">
        <f>IF(AND($B$2=1,A79&gt;=Premissas!$E$23),Premissas!$E$22,0)</f>
        <v/>
      </c>
      <c r="E79">
        <f>B79*Premissas!$E$28</f>
        <v/>
      </c>
      <c r="F79">
        <f>B79*Premissas!$E$13/12*MIN(1,A79/Premissas!$E$17)</f>
        <v/>
      </c>
      <c r="G79">
        <f>F79*Premissas!$E$14</f>
        <v/>
      </c>
      <c r="H79">
        <f>IF(IF(A79-1-Premissas!$E$16&gt;=0,OFFSET($J$4,A79-1-Premissas!$E$16,0),0)&gt;0,ROUND(IF(A79-1-Premissas!$E$16&gt;=0,OFFSET($J$4,A79-1-Premissas!$E$16,0),0)*10000/Premissas!$E$5*Premissas!$E$15,0),0)</f>
        <v/>
      </c>
      <c r="I79">
        <f>ROUND(G79*Premissas!$E$6/10000,0)</f>
        <v/>
      </c>
      <c r="J79">
        <f>ROUND(G79*Premissas!$E$5/10000,0)</f>
        <v/>
      </c>
      <c r="K79">
        <f>IF(IF(A79-1-Premissas!$E$16&gt;=0,OFFSET($A$4,A79-1-Premissas!$E$16,0)&gt;=Premissas!$E$19,FALSE),ROUND(IF(A79-1-Premissas!$E$16&gt;=0,OFFSET($J$4,A79-1-Premissas!$E$16,0),0)*Premissas!$E$15,0),0)</f>
        <v/>
      </c>
      <c r="L79">
        <f>ROUND(C79*Premissas!$E$24/12,0)</f>
        <v/>
      </c>
      <c r="M79">
        <f>ROUND(D79*Premissas!$E$25,0)</f>
        <v/>
      </c>
      <c r="N79">
        <f>ROUND(E79*Premissas!$E$29+B79*Premissas!$E$30,0)</f>
        <v/>
      </c>
      <c r="O79">
        <f>K79+L79+M79+N79</f>
        <v/>
      </c>
      <c r="P79">
        <f>K79+ROUND(AC79*Premissas!$E$24,0)+M79+N79</f>
        <v/>
      </c>
      <c r="Q79">
        <f>ROUND(IF(A79-1-Premissas!$E$21&gt;=0,OFFSET($P$4,A79-1-Premissas!$E$21,0),0)*(1-Premissas!$E$20/100),0)</f>
        <v/>
      </c>
      <c r="R79">
        <f>ROUND(F79*Premissas!$E$11+N79*Premissas!$E$31/100,0)+ROUND((E79+B79)*Premissas!$E$10,0)+ROUND(Q79*Premissas!$E$8/100,0)+ROUND(Premissas!$E$35+(B79+C79)*Premissas!$E$36,0)</f>
        <v/>
      </c>
      <c r="S79">
        <f>O79-R79</f>
        <v/>
      </c>
      <c r="T79">
        <f>ROUND(O79*Premissas!$E$9/100,0)</f>
        <v/>
      </c>
      <c r="U79">
        <f>ROUND(AB79*Premissas!$E$33,0)</f>
        <v/>
      </c>
      <c r="V79">
        <f>Premissas!$E$37+ROUND(Premissas!$E$12*Premissas!$E$38+D79*Premissas!$E$27,0)</f>
        <v/>
      </c>
      <c r="W79">
        <f>Premissas!$E$39</f>
        <v/>
      </c>
      <c r="X79">
        <f>S79-T79-ROUND(Premissas!$E$12*Premissas!$E$38+D79*Premissas!$E$27,0)</f>
        <v/>
      </c>
      <c r="Y79">
        <f>O79-R79-T79-U79-V79-W79</f>
        <v/>
      </c>
      <c r="Z79">
        <f>Q79-R79-T79-U79-V79-W79</f>
        <v/>
      </c>
      <c r="AA79">
        <f>AA78+Z79</f>
        <v/>
      </c>
      <c r="AB79">
        <f>Premissas!$E$32+(B79+C79)/Premissas!$E$34</f>
        <v/>
      </c>
      <c r="AC79">
        <f>D79+AC67*(1-Premissas!$E$26/12)^12</f>
        <v/>
      </c>
    </row>
    <row r="80">
      <c r="A80" t="n">
        <v>77</v>
      </c>
      <c r="B80">
        <f>B79*(1-Premissas!$E$18/12)+Premissas!$E$12</f>
        <v/>
      </c>
      <c r="C80">
        <f>IF($B$2=1,C79*(1-Premissas!$E$26/12)+D80,0)</f>
        <v/>
      </c>
      <c r="D80">
        <f>IF(AND($B$2=1,A80&gt;=Premissas!$E$23),Premissas!$E$22,0)</f>
        <v/>
      </c>
      <c r="E80">
        <f>B80*Premissas!$E$28</f>
        <v/>
      </c>
      <c r="F80">
        <f>B80*Premissas!$E$13/12*MIN(1,A80/Premissas!$E$17)</f>
        <v/>
      </c>
      <c r="G80">
        <f>F80*Premissas!$E$14</f>
        <v/>
      </c>
      <c r="H80">
        <f>IF(IF(A80-1-Premissas!$E$16&gt;=0,OFFSET($J$4,A80-1-Premissas!$E$16,0),0)&gt;0,ROUND(IF(A80-1-Premissas!$E$16&gt;=0,OFFSET($J$4,A80-1-Premissas!$E$16,0),0)*10000/Premissas!$E$5*Premissas!$E$15,0),0)</f>
        <v/>
      </c>
      <c r="I80">
        <f>ROUND(G80*Premissas!$E$6/10000,0)</f>
        <v/>
      </c>
      <c r="J80">
        <f>ROUND(G80*Premissas!$E$5/10000,0)</f>
        <v/>
      </c>
      <c r="K80">
        <f>IF(IF(A80-1-Premissas!$E$16&gt;=0,OFFSET($A$4,A80-1-Premissas!$E$16,0)&gt;=Premissas!$E$19,FALSE),ROUND(IF(A80-1-Premissas!$E$16&gt;=0,OFFSET($J$4,A80-1-Premissas!$E$16,0),0)*Premissas!$E$15,0),0)</f>
        <v/>
      </c>
      <c r="L80">
        <f>ROUND(C80*Premissas!$E$24/12,0)</f>
        <v/>
      </c>
      <c r="M80">
        <f>ROUND(D80*Premissas!$E$25,0)</f>
        <v/>
      </c>
      <c r="N80">
        <f>ROUND(E80*Premissas!$E$29+B80*Premissas!$E$30,0)</f>
        <v/>
      </c>
      <c r="O80">
        <f>K80+L80+M80+N80</f>
        <v/>
      </c>
      <c r="P80">
        <f>K80+ROUND(AC80*Premissas!$E$24,0)+M80+N80</f>
        <v/>
      </c>
      <c r="Q80">
        <f>ROUND(IF(A80-1-Premissas!$E$21&gt;=0,OFFSET($P$4,A80-1-Premissas!$E$21,0),0)*(1-Premissas!$E$20/100),0)</f>
        <v/>
      </c>
      <c r="R80">
        <f>ROUND(F80*Premissas!$E$11+N80*Premissas!$E$31/100,0)+ROUND((E80+B80)*Premissas!$E$10,0)+ROUND(Q80*Premissas!$E$8/100,0)+ROUND(Premissas!$E$35+(B80+C80)*Premissas!$E$36,0)</f>
        <v/>
      </c>
      <c r="S80">
        <f>O80-R80</f>
        <v/>
      </c>
      <c r="T80">
        <f>ROUND(O80*Premissas!$E$9/100,0)</f>
        <v/>
      </c>
      <c r="U80">
        <f>ROUND(AB80*Premissas!$E$33,0)</f>
        <v/>
      </c>
      <c r="V80">
        <f>Premissas!$E$37+ROUND(Premissas!$E$12*Premissas!$E$38+D80*Premissas!$E$27,0)</f>
        <v/>
      </c>
      <c r="W80">
        <f>Premissas!$E$39</f>
        <v/>
      </c>
      <c r="X80">
        <f>S80-T80-ROUND(Premissas!$E$12*Premissas!$E$38+D80*Premissas!$E$27,0)</f>
        <v/>
      </c>
      <c r="Y80">
        <f>O80-R80-T80-U80-V80-W80</f>
        <v/>
      </c>
      <c r="Z80">
        <f>Q80-R80-T80-U80-V80-W80</f>
        <v/>
      </c>
      <c r="AA80">
        <f>AA79+Z80</f>
        <v/>
      </c>
      <c r="AB80">
        <f>Premissas!$E$32+(B80+C80)/Premissas!$E$34</f>
        <v/>
      </c>
      <c r="AC80">
        <f>D80+AC68*(1-Premissas!$E$26/12)^12</f>
        <v/>
      </c>
    </row>
    <row r="81">
      <c r="A81" t="n">
        <v>78</v>
      </c>
      <c r="B81">
        <f>B80*(1-Premissas!$E$18/12)+Premissas!$E$12</f>
        <v/>
      </c>
      <c r="C81">
        <f>IF($B$2=1,C80*(1-Premissas!$E$26/12)+D81,0)</f>
        <v/>
      </c>
      <c r="D81">
        <f>IF(AND($B$2=1,A81&gt;=Premissas!$E$23),Premissas!$E$22,0)</f>
        <v/>
      </c>
      <c r="E81">
        <f>B81*Premissas!$E$28</f>
        <v/>
      </c>
      <c r="F81">
        <f>B81*Premissas!$E$13/12*MIN(1,A81/Premissas!$E$17)</f>
        <v/>
      </c>
      <c r="G81">
        <f>F81*Premissas!$E$14</f>
        <v/>
      </c>
      <c r="H81">
        <f>IF(IF(A81-1-Premissas!$E$16&gt;=0,OFFSET($J$4,A81-1-Premissas!$E$16,0),0)&gt;0,ROUND(IF(A81-1-Premissas!$E$16&gt;=0,OFFSET($J$4,A81-1-Premissas!$E$16,0),0)*10000/Premissas!$E$5*Premissas!$E$15,0),0)</f>
        <v/>
      </c>
      <c r="I81">
        <f>ROUND(G81*Premissas!$E$6/10000,0)</f>
        <v/>
      </c>
      <c r="J81">
        <f>ROUND(G81*Premissas!$E$5/10000,0)</f>
        <v/>
      </c>
      <c r="K81">
        <f>IF(IF(A81-1-Premissas!$E$16&gt;=0,OFFSET($A$4,A81-1-Premissas!$E$16,0)&gt;=Premissas!$E$19,FALSE),ROUND(IF(A81-1-Premissas!$E$16&gt;=0,OFFSET($J$4,A81-1-Premissas!$E$16,0),0)*Premissas!$E$15,0),0)</f>
        <v/>
      </c>
      <c r="L81">
        <f>ROUND(C81*Premissas!$E$24/12,0)</f>
        <v/>
      </c>
      <c r="M81">
        <f>ROUND(D81*Premissas!$E$25,0)</f>
        <v/>
      </c>
      <c r="N81">
        <f>ROUND(E81*Premissas!$E$29+B81*Premissas!$E$30,0)</f>
        <v/>
      </c>
      <c r="O81">
        <f>K81+L81+M81+N81</f>
        <v/>
      </c>
      <c r="P81">
        <f>K81+ROUND(AC81*Premissas!$E$24,0)+M81+N81</f>
        <v/>
      </c>
      <c r="Q81">
        <f>ROUND(IF(A81-1-Premissas!$E$21&gt;=0,OFFSET($P$4,A81-1-Premissas!$E$21,0),0)*(1-Premissas!$E$20/100),0)</f>
        <v/>
      </c>
      <c r="R81">
        <f>ROUND(F81*Premissas!$E$11+N81*Premissas!$E$31/100,0)+ROUND((E81+B81)*Premissas!$E$10,0)+ROUND(Q81*Premissas!$E$8/100,0)+ROUND(Premissas!$E$35+(B81+C81)*Premissas!$E$36,0)</f>
        <v/>
      </c>
      <c r="S81">
        <f>O81-R81</f>
        <v/>
      </c>
      <c r="T81">
        <f>ROUND(O81*Premissas!$E$9/100,0)</f>
        <v/>
      </c>
      <c r="U81">
        <f>ROUND(AB81*Premissas!$E$33,0)</f>
        <v/>
      </c>
      <c r="V81">
        <f>Premissas!$E$37+ROUND(Premissas!$E$12*Premissas!$E$38+D81*Premissas!$E$27,0)</f>
        <v/>
      </c>
      <c r="W81">
        <f>Premissas!$E$39</f>
        <v/>
      </c>
      <c r="X81">
        <f>S81-T81-ROUND(Premissas!$E$12*Premissas!$E$38+D81*Premissas!$E$27,0)</f>
        <v/>
      </c>
      <c r="Y81">
        <f>O81-R81-T81-U81-V81-W81</f>
        <v/>
      </c>
      <c r="Z81">
        <f>Q81-R81-T81-U81-V81-W81</f>
        <v/>
      </c>
      <c r="AA81">
        <f>AA80+Z81</f>
        <v/>
      </c>
      <c r="AB81">
        <f>Premissas!$E$32+(B81+C81)/Premissas!$E$34</f>
        <v/>
      </c>
      <c r="AC81">
        <f>D81+AC69*(1-Premissas!$E$26/12)^12</f>
        <v/>
      </c>
    </row>
    <row r="82">
      <c r="A82" t="n">
        <v>79</v>
      </c>
      <c r="B82">
        <f>B81*(1-Premissas!$E$18/12)+Premissas!$E$12</f>
        <v/>
      </c>
      <c r="C82">
        <f>IF($B$2=1,C81*(1-Premissas!$E$26/12)+D82,0)</f>
        <v/>
      </c>
      <c r="D82">
        <f>IF(AND($B$2=1,A82&gt;=Premissas!$E$23),Premissas!$E$22,0)</f>
        <v/>
      </c>
      <c r="E82">
        <f>B82*Premissas!$E$28</f>
        <v/>
      </c>
      <c r="F82">
        <f>B82*Premissas!$E$13/12*MIN(1,A82/Premissas!$E$17)</f>
        <v/>
      </c>
      <c r="G82">
        <f>F82*Premissas!$E$14</f>
        <v/>
      </c>
      <c r="H82">
        <f>IF(IF(A82-1-Premissas!$E$16&gt;=0,OFFSET($J$4,A82-1-Premissas!$E$16,0),0)&gt;0,ROUND(IF(A82-1-Premissas!$E$16&gt;=0,OFFSET($J$4,A82-1-Premissas!$E$16,0),0)*10000/Premissas!$E$5*Premissas!$E$15,0),0)</f>
        <v/>
      </c>
      <c r="I82">
        <f>ROUND(G82*Premissas!$E$6/10000,0)</f>
        <v/>
      </c>
      <c r="J82">
        <f>ROUND(G82*Premissas!$E$5/10000,0)</f>
        <v/>
      </c>
      <c r="K82">
        <f>IF(IF(A82-1-Premissas!$E$16&gt;=0,OFFSET($A$4,A82-1-Premissas!$E$16,0)&gt;=Premissas!$E$19,FALSE),ROUND(IF(A82-1-Premissas!$E$16&gt;=0,OFFSET($J$4,A82-1-Premissas!$E$16,0),0)*Premissas!$E$15,0),0)</f>
        <v/>
      </c>
      <c r="L82">
        <f>ROUND(C82*Premissas!$E$24/12,0)</f>
        <v/>
      </c>
      <c r="M82">
        <f>ROUND(D82*Premissas!$E$25,0)</f>
        <v/>
      </c>
      <c r="N82">
        <f>ROUND(E82*Premissas!$E$29+B82*Premissas!$E$30,0)</f>
        <v/>
      </c>
      <c r="O82">
        <f>K82+L82+M82+N82</f>
        <v/>
      </c>
      <c r="P82">
        <f>K82+ROUND(AC82*Premissas!$E$24,0)+M82+N82</f>
        <v/>
      </c>
      <c r="Q82">
        <f>ROUND(IF(A82-1-Premissas!$E$21&gt;=0,OFFSET($P$4,A82-1-Premissas!$E$21,0),0)*(1-Premissas!$E$20/100),0)</f>
        <v/>
      </c>
      <c r="R82">
        <f>ROUND(F82*Premissas!$E$11+N82*Premissas!$E$31/100,0)+ROUND((E82+B82)*Premissas!$E$10,0)+ROUND(Q82*Premissas!$E$8/100,0)+ROUND(Premissas!$E$35+(B82+C82)*Premissas!$E$36,0)</f>
        <v/>
      </c>
      <c r="S82">
        <f>O82-R82</f>
        <v/>
      </c>
      <c r="T82">
        <f>ROUND(O82*Premissas!$E$9/100,0)</f>
        <v/>
      </c>
      <c r="U82">
        <f>ROUND(AB82*Premissas!$E$33,0)</f>
        <v/>
      </c>
      <c r="V82">
        <f>Premissas!$E$37+ROUND(Premissas!$E$12*Premissas!$E$38+D82*Premissas!$E$27,0)</f>
        <v/>
      </c>
      <c r="W82">
        <f>Premissas!$E$39</f>
        <v/>
      </c>
      <c r="X82">
        <f>S82-T82-ROUND(Premissas!$E$12*Premissas!$E$38+D82*Premissas!$E$27,0)</f>
        <v/>
      </c>
      <c r="Y82">
        <f>O82-R82-T82-U82-V82-W82</f>
        <v/>
      </c>
      <c r="Z82">
        <f>Q82-R82-T82-U82-V82-W82</f>
        <v/>
      </c>
      <c r="AA82">
        <f>AA81+Z82</f>
        <v/>
      </c>
      <c r="AB82">
        <f>Premissas!$E$32+(B82+C82)/Premissas!$E$34</f>
        <v/>
      </c>
      <c r="AC82">
        <f>D82+AC70*(1-Premissas!$E$26/12)^12</f>
        <v/>
      </c>
    </row>
    <row r="83">
      <c r="A83" t="n">
        <v>80</v>
      </c>
      <c r="B83">
        <f>B82*(1-Premissas!$E$18/12)+Premissas!$E$12</f>
        <v/>
      </c>
      <c r="C83">
        <f>IF($B$2=1,C82*(1-Premissas!$E$26/12)+D83,0)</f>
        <v/>
      </c>
      <c r="D83">
        <f>IF(AND($B$2=1,A83&gt;=Premissas!$E$23),Premissas!$E$22,0)</f>
        <v/>
      </c>
      <c r="E83">
        <f>B83*Premissas!$E$28</f>
        <v/>
      </c>
      <c r="F83">
        <f>B83*Premissas!$E$13/12*MIN(1,A83/Premissas!$E$17)</f>
        <v/>
      </c>
      <c r="G83">
        <f>F83*Premissas!$E$14</f>
        <v/>
      </c>
      <c r="H83">
        <f>IF(IF(A83-1-Premissas!$E$16&gt;=0,OFFSET($J$4,A83-1-Premissas!$E$16,0),0)&gt;0,ROUND(IF(A83-1-Premissas!$E$16&gt;=0,OFFSET($J$4,A83-1-Premissas!$E$16,0),0)*10000/Premissas!$E$5*Premissas!$E$15,0),0)</f>
        <v/>
      </c>
      <c r="I83">
        <f>ROUND(G83*Premissas!$E$6/10000,0)</f>
        <v/>
      </c>
      <c r="J83">
        <f>ROUND(G83*Premissas!$E$5/10000,0)</f>
        <v/>
      </c>
      <c r="K83">
        <f>IF(IF(A83-1-Premissas!$E$16&gt;=0,OFFSET($A$4,A83-1-Premissas!$E$16,0)&gt;=Premissas!$E$19,FALSE),ROUND(IF(A83-1-Premissas!$E$16&gt;=0,OFFSET($J$4,A83-1-Premissas!$E$16,0),0)*Premissas!$E$15,0),0)</f>
        <v/>
      </c>
      <c r="L83">
        <f>ROUND(C83*Premissas!$E$24/12,0)</f>
        <v/>
      </c>
      <c r="M83">
        <f>ROUND(D83*Premissas!$E$25,0)</f>
        <v/>
      </c>
      <c r="N83">
        <f>ROUND(E83*Premissas!$E$29+B83*Premissas!$E$30,0)</f>
        <v/>
      </c>
      <c r="O83">
        <f>K83+L83+M83+N83</f>
        <v/>
      </c>
      <c r="P83">
        <f>K83+ROUND(AC83*Premissas!$E$24,0)+M83+N83</f>
        <v/>
      </c>
      <c r="Q83">
        <f>ROUND(IF(A83-1-Premissas!$E$21&gt;=0,OFFSET($P$4,A83-1-Premissas!$E$21,0),0)*(1-Premissas!$E$20/100),0)</f>
        <v/>
      </c>
      <c r="R83">
        <f>ROUND(F83*Premissas!$E$11+N83*Premissas!$E$31/100,0)+ROUND((E83+B83)*Premissas!$E$10,0)+ROUND(Q83*Premissas!$E$8/100,0)+ROUND(Premissas!$E$35+(B83+C83)*Premissas!$E$36,0)</f>
        <v/>
      </c>
      <c r="S83">
        <f>O83-R83</f>
        <v/>
      </c>
      <c r="T83">
        <f>ROUND(O83*Premissas!$E$9/100,0)</f>
        <v/>
      </c>
      <c r="U83">
        <f>ROUND(AB83*Premissas!$E$33,0)</f>
        <v/>
      </c>
      <c r="V83">
        <f>Premissas!$E$37+ROUND(Premissas!$E$12*Premissas!$E$38+D83*Premissas!$E$27,0)</f>
        <v/>
      </c>
      <c r="W83">
        <f>Premissas!$E$39</f>
        <v/>
      </c>
      <c r="X83">
        <f>S83-T83-ROUND(Premissas!$E$12*Premissas!$E$38+D83*Premissas!$E$27,0)</f>
        <v/>
      </c>
      <c r="Y83">
        <f>O83-R83-T83-U83-V83-W83</f>
        <v/>
      </c>
      <c r="Z83">
        <f>Q83-R83-T83-U83-V83-W83</f>
        <v/>
      </c>
      <c r="AA83">
        <f>AA82+Z83</f>
        <v/>
      </c>
      <c r="AB83">
        <f>Premissas!$E$32+(B83+C83)/Premissas!$E$34</f>
        <v/>
      </c>
      <c r="AC83">
        <f>D83+AC71*(1-Premissas!$E$26/12)^12</f>
        <v/>
      </c>
    </row>
    <row r="84">
      <c r="A84" t="n">
        <v>81</v>
      </c>
      <c r="B84">
        <f>B83*(1-Premissas!$E$18/12)+Premissas!$E$12</f>
        <v/>
      </c>
      <c r="C84">
        <f>IF($B$2=1,C83*(1-Premissas!$E$26/12)+D84,0)</f>
        <v/>
      </c>
      <c r="D84">
        <f>IF(AND($B$2=1,A84&gt;=Premissas!$E$23),Premissas!$E$22,0)</f>
        <v/>
      </c>
      <c r="E84">
        <f>B84*Premissas!$E$28</f>
        <v/>
      </c>
      <c r="F84">
        <f>B84*Premissas!$E$13/12*MIN(1,A84/Premissas!$E$17)</f>
        <v/>
      </c>
      <c r="G84">
        <f>F84*Premissas!$E$14</f>
        <v/>
      </c>
      <c r="H84">
        <f>IF(IF(A84-1-Premissas!$E$16&gt;=0,OFFSET($J$4,A84-1-Premissas!$E$16,0),0)&gt;0,ROUND(IF(A84-1-Premissas!$E$16&gt;=0,OFFSET($J$4,A84-1-Premissas!$E$16,0),0)*10000/Premissas!$E$5*Premissas!$E$15,0),0)</f>
        <v/>
      </c>
      <c r="I84">
        <f>ROUND(G84*Premissas!$E$6/10000,0)</f>
        <v/>
      </c>
      <c r="J84">
        <f>ROUND(G84*Premissas!$E$5/10000,0)</f>
        <v/>
      </c>
      <c r="K84">
        <f>IF(IF(A84-1-Premissas!$E$16&gt;=0,OFFSET($A$4,A84-1-Premissas!$E$16,0)&gt;=Premissas!$E$19,FALSE),ROUND(IF(A84-1-Premissas!$E$16&gt;=0,OFFSET($J$4,A84-1-Premissas!$E$16,0),0)*Premissas!$E$15,0),0)</f>
        <v/>
      </c>
      <c r="L84">
        <f>ROUND(C84*Premissas!$E$24/12,0)</f>
        <v/>
      </c>
      <c r="M84">
        <f>ROUND(D84*Premissas!$E$25,0)</f>
        <v/>
      </c>
      <c r="N84">
        <f>ROUND(E84*Premissas!$E$29+B84*Premissas!$E$30,0)</f>
        <v/>
      </c>
      <c r="O84">
        <f>K84+L84+M84+N84</f>
        <v/>
      </c>
      <c r="P84">
        <f>K84+ROUND(AC84*Premissas!$E$24,0)+M84+N84</f>
        <v/>
      </c>
      <c r="Q84">
        <f>ROUND(IF(A84-1-Premissas!$E$21&gt;=0,OFFSET($P$4,A84-1-Premissas!$E$21,0),0)*(1-Premissas!$E$20/100),0)</f>
        <v/>
      </c>
      <c r="R84">
        <f>ROUND(F84*Premissas!$E$11+N84*Premissas!$E$31/100,0)+ROUND((E84+B84)*Premissas!$E$10,0)+ROUND(Q84*Premissas!$E$8/100,0)+ROUND(Premissas!$E$35+(B84+C84)*Premissas!$E$36,0)</f>
        <v/>
      </c>
      <c r="S84">
        <f>O84-R84</f>
        <v/>
      </c>
      <c r="T84">
        <f>ROUND(O84*Premissas!$E$9/100,0)</f>
        <v/>
      </c>
      <c r="U84">
        <f>ROUND(AB84*Premissas!$E$33,0)</f>
        <v/>
      </c>
      <c r="V84">
        <f>Premissas!$E$37+ROUND(Premissas!$E$12*Premissas!$E$38+D84*Premissas!$E$27,0)</f>
        <v/>
      </c>
      <c r="W84">
        <f>Premissas!$E$39</f>
        <v/>
      </c>
      <c r="X84">
        <f>S84-T84-ROUND(Premissas!$E$12*Premissas!$E$38+D84*Premissas!$E$27,0)</f>
        <v/>
      </c>
      <c r="Y84">
        <f>O84-R84-T84-U84-V84-W84</f>
        <v/>
      </c>
      <c r="Z84">
        <f>Q84-R84-T84-U84-V84-W84</f>
        <v/>
      </c>
      <c r="AA84">
        <f>AA83+Z84</f>
        <v/>
      </c>
      <c r="AB84">
        <f>Premissas!$E$32+(B84+C84)/Premissas!$E$34</f>
        <v/>
      </c>
      <c r="AC84">
        <f>D84+AC72*(1-Premissas!$E$26/12)^12</f>
        <v/>
      </c>
    </row>
    <row r="85">
      <c r="A85" t="n">
        <v>82</v>
      </c>
      <c r="B85">
        <f>B84*(1-Premissas!$E$18/12)+Premissas!$E$12</f>
        <v/>
      </c>
      <c r="C85">
        <f>IF($B$2=1,C84*(1-Premissas!$E$26/12)+D85,0)</f>
        <v/>
      </c>
      <c r="D85">
        <f>IF(AND($B$2=1,A85&gt;=Premissas!$E$23),Premissas!$E$22,0)</f>
        <v/>
      </c>
      <c r="E85">
        <f>B85*Premissas!$E$28</f>
        <v/>
      </c>
      <c r="F85">
        <f>B85*Premissas!$E$13/12*MIN(1,A85/Premissas!$E$17)</f>
        <v/>
      </c>
      <c r="G85">
        <f>F85*Premissas!$E$14</f>
        <v/>
      </c>
      <c r="H85">
        <f>IF(IF(A85-1-Premissas!$E$16&gt;=0,OFFSET($J$4,A85-1-Premissas!$E$16,0),0)&gt;0,ROUND(IF(A85-1-Premissas!$E$16&gt;=0,OFFSET($J$4,A85-1-Premissas!$E$16,0),0)*10000/Premissas!$E$5*Premissas!$E$15,0),0)</f>
        <v/>
      </c>
      <c r="I85">
        <f>ROUND(G85*Premissas!$E$6/10000,0)</f>
        <v/>
      </c>
      <c r="J85">
        <f>ROUND(G85*Premissas!$E$5/10000,0)</f>
        <v/>
      </c>
      <c r="K85">
        <f>IF(IF(A85-1-Premissas!$E$16&gt;=0,OFFSET($A$4,A85-1-Premissas!$E$16,0)&gt;=Premissas!$E$19,FALSE),ROUND(IF(A85-1-Premissas!$E$16&gt;=0,OFFSET($J$4,A85-1-Premissas!$E$16,0),0)*Premissas!$E$15,0),0)</f>
        <v/>
      </c>
      <c r="L85">
        <f>ROUND(C85*Premissas!$E$24/12,0)</f>
        <v/>
      </c>
      <c r="M85">
        <f>ROUND(D85*Premissas!$E$25,0)</f>
        <v/>
      </c>
      <c r="N85">
        <f>ROUND(E85*Premissas!$E$29+B85*Premissas!$E$30,0)</f>
        <v/>
      </c>
      <c r="O85">
        <f>K85+L85+M85+N85</f>
        <v/>
      </c>
      <c r="P85">
        <f>K85+ROUND(AC85*Premissas!$E$24,0)+M85+N85</f>
        <v/>
      </c>
      <c r="Q85">
        <f>ROUND(IF(A85-1-Premissas!$E$21&gt;=0,OFFSET($P$4,A85-1-Premissas!$E$21,0),0)*(1-Premissas!$E$20/100),0)</f>
        <v/>
      </c>
      <c r="R85">
        <f>ROUND(F85*Premissas!$E$11+N85*Premissas!$E$31/100,0)+ROUND((E85+B85)*Premissas!$E$10,0)+ROUND(Q85*Premissas!$E$8/100,0)+ROUND(Premissas!$E$35+(B85+C85)*Premissas!$E$36,0)</f>
        <v/>
      </c>
      <c r="S85">
        <f>O85-R85</f>
        <v/>
      </c>
      <c r="T85">
        <f>ROUND(O85*Premissas!$E$9/100,0)</f>
        <v/>
      </c>
      <c r="U85">
        <f>ROUND(AB85*Premissas!$E$33,0)</f>
        <v/>
      </c>
      <c r="V85">
        <f>Premissas!$E$37+ROUND(Premissas!$E$12*Premissas!$E$38+D85*Premissas!$E$27,0)</f>
        <v/>
      </c>
      <c r="W85">
        <f>Premissas!$E$39</f>
        <v/>
      </c>
      <c r="X85">
        <f>S85-T85-ROUND(Premissas!$E$12*Premissas!$E$38+D85*Premissas!$E$27,0)</f>
        <v/>
      </c>
      <c r="Y85">
        <f>O85-R85-T85-U85-V85-W85</f>
        <v/>
      </c>
      <c r="Z85">
        <f>Q85-R85-T85-U85-V85-W85</f>
        <v/>
      </c>
      <c r="AA85">
        <f>AA84+Z85</f>
        <v/>
      </c>
      <c r="AB85">
        <f>Premissas!$E$32+(B85+C85)/Premissas!$E$34</f>
        <v/>
      </c>
      <c r="AC85">
        <f>D85+AC73*(1-Premissas!$E$26/12)^12</f>
        <v/>
      </c>
    </row>
    <row r="86">
      <c r="A86" t="n">
        <v>83</v>
      </c>
      <c r="B86">
        <f>B85*(1-Premissas!$E$18/12)+Premissas!$E$12</f>
        <v/>
      </c>
      <c r="C86">
        <f>IF($B$2=1,C85*(1-Premissas!$E$26/12)+D86,0)</f>
        <v/>
      </c>
      <c r="D86">
        <f>IF(AND($B$2=1,A86&gt;=Premissas!$E$23),Premissas!$E$22,0)</f>
        <v/>
      </c>
      <c r="E86">
        <f>B86*Premissas!$E$28</f>
        <v/>
      </c>
      <c r="F86">
        <f>B86*Premissas!$E$13/12*MIN(1,A86/Premissas!$E$17)</f>
        <v/>
      </c>
      <c r="G86">
        <f>F86*Premissas!$E$14</f>
        <v/>
      </c>
      <c r="H86">
        <f>IF(IF(A86-1-Premissas!$E$16&gt;=0,OFFSET($J$4,A86-1-Premissas!$E$16,0),0)&gt;0,ROUND(IF(A86-1-Premissas!$E$16&gt;=0,OFFSET($J$4,A86-1-Premissas!$E$16,0),0)*10000/Premissas!$E$5*Premissas!$E$15,0),0)</f>
        <v/>
      </c>
      <c r="I86">
        <f>ROUND(G86*Premissas!$E$6/10000,0)</f>
        <v/>
      </c>
      <c r="J86">
        <f>ROUND(G86*Premissas!$E$5/10000,0)</f>
        <v/>
      </c>
      <c r="K86">
        <f>IF(IF(A86-1-Premissas!$E$16&gt;=0,OFFSET($A$4,A86-1-Premissas!$E$16,0)&gt;=Premissas!$E$19,FALSE),ROUND(IF(A86-1-Premissas!$E$16&gt;=0,OFFSET($J$4,A86-1-Premissas!$E$16,0),0)*Premissas!$E$15,0),0)</f>
        <v/>
      </c>
      <c r="L86">
        <f>ROUND(C86*Premissas!$E$24/12,0)</f>
        <v/>
      </c>
      <c r="M86">
        <f>ROUND(D86*Premissas!$E$25,0)</f>
        <v/>
      </c>
      <c r="N86">
        <f>ROUND(E86*Premissas!$E$29+B86*Premissas!$E$30,0)</f>
        <v/>
      </c>
      <c r="O86">
        <f>K86+L86+M86+N86</f>
        <v/>
      </c>
      <c r="P86">
        <f>K86+ROUND(AC86*Premissas!$E$24,0)+M86+N86</f>
        <v/>
      </c>
      <c r="Q86">
        <f>ROUND(IF(A86-1-Premissas!$E$21&gt;=0,OFFSET($P$4,A86-1-Premissas!$E$21,0),0)*(1-Premissas!$E$20/100),0)</f>
        <v/>
      </c>
      <c r="R86">
        <f>ROUND(F86*Premissas!$E$11+N86*Premissas!$E$31/100,0)+ROUND((E86+B86)*Premissas!$E$10,0)+ROUND(Q86*Premissas!$E$8/100,0)+ROUND(Premissas!$E$35+(B86+C86)*Premissas!$E$36,0)</f>
        <v/>
      </c>
      <c r="S86">
        <f>O86-R86</f>
        <v/>
      </c>
      <c r="T86">
        <f>ROUND(O86*Premissas!$E$9/100,0)</f>
        <v/>
      </c>
      <c r="U86">
        <f>ROUND(AB86*Premissas!$E$33,0)</f>
        <v/>
      </c>
      <c r="V86">
        <f>Premissas!$E$37+ROUND(Premissas!$E$12*Premissas!$E$38+D86*Premissas!$E$27,0)</f>
        <v/>
      </c>
      <c r="W86">
        <f>Premissas!$E$39</f>
        <v/>
      </c>
      <c r="X86">
        <f>S86-T86-ROUND(Premissas!$E$12*Premissas!$E$38+D86*Premissas!$E$27,0)</f>
        <v/>
      </c>
      <c r="Y86">
        <f>O86-R86-T86-U86-V86-W86</f>
        <v/>
      </c>
      <c r="Z86">
        <f>Q86-R86-T86-U86-V86-W86</f>
        <v/>
      </c>
      <c r="AA86">
        <f>AA85+Z86</f>
        <v/>
      </c>
      <c r="AB86">
        <f>Premissas!$E$32+(B86+C86)/Premissas!$E$34</f>
        <v/>
      </c>
      <c r="AC86">
        <f>D86+AC74*(1-Premissas!$E$26/12)^12</f>
        <v/>
      </c>
    </row>
    <row r="87">
      <c r="A87" t="n">
        <v>84</v>
      </c>
      <c r="B87">
        <f>B86*(1-Premissas!$E$18/12)+Premissas!$E$12</f>
        <v/>
      </c>
      <c r="C87">
        <f>IF($B$2=1,C86*(1-Premissas!$E$26/12)+D87,0)</f>
        <v/>
      </c>
      <c r="D87">
        <f>IF(AND($B$2=1,A87&gt;=Premissas!$E$23),Premissas!$E$22,0)</f>
        <v/>
      </c>
      <c r="E87">
        <f>B87*Premissas!$E$28</f>
        <v/>
      </c>
      <c r="F87">
        <f>B87*Premissas!$E$13/12*MIN(1,A87/Premissas!$E$17)</f>
        <v/>
      </c>
      <c r="G87">
        <f>F87*Premissas!$E$14</f>
        <v/>
      </c>
      <c r="H87">
        <f>IF(IF(A87-1-Premissas!$E$16&gt;=0,OFFSET($J$4,A87-1-Premissas!$E$16,0),0)&gt;0,ROUND(IF(A87-1-Premissas!$E$16&gt;=0,OFFSET($J$4,A87-1-Premissas!$E$16,0),0)*10000/Premissas!$E$5*Premissas!$E$15,0),0)</f>
        <v/>
      </c>
      <c r="I87">
        <f>ROUND(G87*Premissas!$E$6/10000,0)</f>
        <v/>
      </c>
      <c r="J87">
        <f>ROUND(G87*Premissas!$E$5/10000,0)</f>
        <v/>
      </c>
      <c r="K87">
        <f>IF(IF(A87-1-Premissas!$E$16&gt;=0,OFFSET($A$4,A87-1-Premissas!$E$16,0)&gt;=Premissas!$E$19,FALSE),ROUND(IF(A87-1-Premissas!$E$16&gt;=0,OFFSET($J$4,A87-1-Premissas!$E$16,0),0)*Premissas!$E$15,0),0)</f>
        <v/>
      </c>
      <c r="L87">
        <f>ROUND(C87*Premissas!$E$24/12,0)</f>
        <v/>
      </c>
      <c r="M87">
        <f>ROUND(D87*Premissas!$E$25,0)</f>
        <v/>
      </c>
      <c r="N87">
        <f>ROUND(E87*Premissas!$E$29+B87*Premissas!$E$30,0)</f>
        <v/>
      </c>
      <c r="O87">
        <f>K87+L87+M87+N87</f>
        <v/>
      </c>
      <c r="P87">
        <f>K87+ROUND(AC87*Premissas!$E$24,0)+M87+N87</f>
        <v/>
      </c>
      <c r="Q87">
        <f>ROUND(IF(A87-1-Premissas!$E$21&gt;=0,OFFSET($P$4,A87-1-Premissas!$E$21,0),0)*(1-Premissas!$E$20/100),0)</f>
        <v/>
      </c>
      <c r="R87">
        <f>ROUND(F87*Premissas!$E$11+N87*Premissas!$E$31/100,0)+ROUND((E87+B87)*Premissas!$E$10,0)+ROUND(Q87*Premissas!$E$8/100,0)+ROUND(Premissas!$E$35+(B87+C87)*Premissas!$E$36,0)</f>
        <v/>
      </c>
      <c r="S87">
        <f>O87-R87</f>
        <v/>
      </c>
      <c r="T87">
        <f>ROUND(O87*Premissas!$E$9/100,0)</f>
        <v/>
      </c>
      <c r="U87">
        <f>ROUND(AB87*Premissas!$E$33,0)</f>
        <v/>
      </c>
      <c r="V87">
        <f>Premissas!$E$37+ROUND(Premissas!$E$12*Premissas!$E$38+D87*Premissas!$E$27,0)</f>
        <v/>
      </c>
      <c r="W87">
        <f>Premissas!$E$39</f>
        <v/>
      </c>
      <c r="X87">
        <f>S87-T87-ROUND(Premissas!$E$12*Premissas!$E$38+D87*Premissas!$E$27,0)</f>
        <v/>
      </c>
      <c r="Y87">
        <f>O87-R87-T87-U87-V87-W87</f>
        <v/>
      </c>
      <c r="Z87">
        <f>Q87-R87-T87-U87-V87-W87</f>
        <v/>
      </c>
      <c r="AA87">
        <f>AA86+Z87</f>
        <v/>
      </c>
      <c r="AB87">
        <f>Premissas!$E$32+(B87+C87)/Premissas!$E$34</f>
        <v/>
      </c>
      <c r="AC87">
        <f>D87+AC75*(1-Premissas!$E$26/12)^12</f>
        <v/>
      </c>
    </row>
    <row r="88">
      <c r="A88" t="n">
        <v>85</v>
      </c>
      <c r="B88">
        <f>B87*(1-Premissas!$E$18/12)+Premissas!$E$12</f>
        <v/>
      </c>
      <c r="C88">
        <f>IF($B$2=1,C87*(1-Premissas!$E$26/12)+D88,0)</f>
        <v/>
      </c>
      <c r="D88">
        <f>IF(AND($B$2=1,A88&gt;=Premissas!$E$23),Premissas!$E$22,0)</f>
        <v/>
      </c>
      <c r="E88">
        <f>B88*Premissas!$E$28</f>
        <v/>
      </c>
      <c r="F88">
        <f>B88*Premissas!$E$13/12*MIN(1,A88/Premissas!$E$17)</f>
        <v/>
      </c>
      <c r="G88">
        <f>F88*Premissas!$E$14</f>
        <v/>
      </c>
      <c r="H88">
        <f>IF(IF(A88-1-Premissas!$E$16&gt;=0,OFFSET($J$4,A88-1-Premissas!$E$16,0),0)&gt;0,ROUND(IF(A88-1-Premissas!$E$16&gt;=0,OFFSET($J$4,A88-1-Premissas!$E$16,0),0)*10000/Premissas!$E$5*Premissas!$E$15,0),0)</f>
        <v/>
      </c>
      <c r="I88">
        <f>ROUND(G88*Premissas!$E$6/10000,0)</f>
        <v/>
      </c>
      <c r="J88">
        <f>ROUND(G88*Premissas!$E$5/10000,0)</f>
        <v/>
      </c>
      <c r="K88">
        <f>IF(IF(A88-1-Premissas!$E$16&gt;=0,OFFSET($A$4,A88-1-Premissas!$E$16,0)&gt;=Premissas!$E$19,FALSE),ROUND(IF(A88-1-Premissas!$E$16&gt;=0,OFFSET($J$4,A88-1-Premissas!$E$16,0),0)*Premissas!$E$15,0),0)</f>
        <v/>
      </c>
      <c r="L88">
        <f>ROUND(C88*Premissas!$E$24/12,0)</f>
        <v/>
      </c>
      <c r="M88">
        <f>ROUND(D88*Premissas!$E$25,0)</f>
        <v/>
      </c>
      <c r="N88">
        <f>ROUND(E88*Premissas!$E$29+B88*Premissas!$E$30,0)</f>
        <v/>
      </c>
      <c r="O88">
        <f>K88+L88+M88+N88</f>
        <v/>
      </c>
      <c r="P88">
        <f>K88+ROUND(AC88*Premissas!$E$24,0)+M88+N88</f>
        <v/>
      </c>
      <c r="Q88">
        <f>ROUND(IF(A88-1-Premissas!$E$21&gt;=0,OFFSET($P$4,A88-1-Premissas!$E$21,0),0)*(1-Premissas!$E$20/100),0)</f>
        <v/>
      </c>
      <c r="R88">
        <f>ROUND(F88*Premissas!$E$11+N88*Premissas!$E$31/100,0)+ROUND((E88+B88)*Premissas!$E$10,0)+ROUND(Q88*Premissas!$E$8/100,0)+ROUND(Premissas!$E$35+(B88+C88)*Premissas!$E$36,0)</f>
        <v/>
      </c>
      <c r="S88">
        <f>O88-R88</f>
        <v/>
      </c>
      <c r="T88">
        <f>ROUND(O88*Premissas!$E$9/100,0)</f>
        <v/>
      </c>
      <c r="U88">
        <f>ROUND(AB88*Premissas!$E$33,0)</f>
        <v/>
      </c>
      <c r="V88">
        <f>Premissas!$E$37+ROUND(Premissas!$E$12*Premissas!$E$38+D88*Premissas!$E$27,0)</f>
        <v/>
      </c>
      <c r="W88">
        <f>Premissas!$E$39</f>
        <v/>
      </c>
      <c r="X88">
        <f>S88-T88-ROUND(Premissas!$E$12*Premissas!$E$38+D88*Premissas!$E$27,0)</f>
        <v/>
      </c>
      <c r="Y88">
        <f>O88-R88-T88-U88-V88-W88</f>
        <v/>
      </c>
      <c r="Z88">
        <f>Q88-R88-T88-U88-V88-W88</f>
        <v/>
      </c>
      <c r="AA88">
        <f>AA87+Z88</f>
        <v/>
      </c>
      <c r="AB88">
        <f>Premissas!$E$32+(B88+C88)/Premissas!$E$34</f>
        <v/>
      </c>
      <c r="AC88">
        <f>D88+AC76*(1-Premissas!$E$26/12)^12</f>
        <v/>
      </c>
    </row>
    <row r="89">
      <c r="A89" t="n">
        <v>86</v>
      </c>
      <c r="B89">
        <f>B88*(1-Premissas!$E$18/12)+Premissas!$E$12</f>
        <v/>
      </c>
      <c r="C89">
        <f>IF($B$2=1,C88*(1-Premissas!$E$26/12)+D89,0)</f>
        <v/>
      </c>
      <c r="D89">
        <f>IF(AND($B$2=1,A89&gt;=Premissas!$E$23),Premissas!$E$22,0)</f>
        <v/>
      </c>
      <c r="E89">
        <f>B89*Premissas!$E$28</f>
        <v/>
      </c>
      <c r="F89">
        <f>B89*Premissas!$E$13/12*MIN(1,A89/Premissas!$E$17)</f>
        <v/>
      </c>
      <c r="G89">
        <f>F89*Premissas!$E$14</f>
        <v/>
      </c>
      <c r="H89">
        <f>IF(IF(A89-1-Premissas!$E$16&gt;=0,OFFSET($J$4,A89-1-Premissas!$E$16,0),0)&gt;0,ROUND(IF(A89-1-Premissas!$E$16&gt;=0,OFFSET($J$4,A89-1-Premissas!$E$16,0),0)*10000/Premissas!$E$5*Premissas!$E$15,0),0)</f>
        <v/>
      </c>
      <c r="I89">
        <f>ROUND(G89*Premissas!$E$6/10000,0)</f>
        <v/>
      </c>
      <c r="J89">
        <f>ROUND(G89*Premissas!$E$5/10000,0)</f>
        <v/>
      </c>
      <c r="K89">
        <f>IF(IF(A89-1-Premissas!$E$16&gt;=0,OFFSET($A$4,A89-1-Premissas!$E$16,0)&gt;=Premissas!$E$19,FALSE),ROUND(IF(A89-1-Premissas!$E$16&gt;=0,OFFSET($J$4,A89-1-Premissas!$E$16,0),0)*Premissas!$E$15,0),0)</f>
        <v/>
      </c>
      <c r="L89">
        <f>ROUND(C89*Premissas!$E$24/12,0)</f>
        <v/>
      </c>
      <c r="M89">
        <f>ROUND(D89*Premissas!$E$25,0)</f>
        <v/>
      </c>
      <c r="N89">
        <f>ROUND(E89*Premissas!$E$29+B89*Premissas!$E$30,0)</f>
        <v/>
      </c>
      <c r="O89">
        <f>K89+L89+M89+N89</f>
        <v/>
      </c>
      <c r="P89">
        <f>K89+ROUND(AC89*Premissas!$E$24,0)+M89+N89</f>
        <v/>
      </c>
      <c r="Q89">
        <f>ROUND(IF(A89-1-Premissas!$E$21&gt;=0,OFFSET($P$4,A89-1-Premissas!$E$21,0),0)*(1-Premissas!$E$20/100),0)</f>
        <v/>
      </c>
      <c r="R89">
        <f>ROUND(F89*Premissas!$E$11+N89*Premissas!$E$31/100,0)+ROUND((E89+B89)*Premissas!$E$10,0)+ROUND(Q89*Premissas!$E$8/100,0)+ROUND(Premissas!$E$35+(B89+C89)*Premissas!$E$36,0)</f>
        <v/>
      </c>
      <c r="S89">
        <f>O89-R89</f>
        <v/>
      </c>
      <c r="T89">
        <f>ROUND(O89*Premissas!$E$9/100,0)</f>
        <v/>
      </c>
      <c r="U89">
        <f>ROUND(AB89*Premissas!$E$33,0)</f>
        <v/>
      </c>
      <c r="V89">
        <f>Premissas!$E$37+ROUND(Premissas!$E$12*Premissas!$E$38+D89*Premissas!$E$27,0)</f>
        <v/>
      </c>
      <c r="W89">
        <f>Premissas!$E$39</f>
        <v/>
      </c>
      <c r="X89">
        <f>S89-T89-ROUND(Premissas!$E$12*Premissas!$E$38+D89*Premissas!$E$27,0)</f>
        <v/>
      </c>
      <c r="Y89">
        <f>O89-R89-T89-U89-V89-W89</f>
        <v/>
      </c>
      <c r="Z89">
        <f>Q89-R89-T89-U89-V89-W89</f>
        <v/>
      </c>
      <c r="AA89">
        <f>AA88+Z89</f>
        <v/>
      </c>
      <c r="AB89">
        <f>Premissas!$E$32+(B89+C89)/Premissas!$E$34</f>
        <v/>
      </c>
      <c r="AC89">
        <f>D89+AC77*(1-Premissas!$E$26/12)^12</f>
        <v/>
      </c>
    </row>
    <row r="90">
      <c r="A90" t="n">
        <v>87</v>
      </c>
      <c r="B90">
        <f>B89*(1-Premissas!$E$18/12)+Premissas!$E$12</f>
        <v/>
      </c>
      <c r="C90">
        <f>IF($B$2=1,C89*(1-Premissas!$E$26/12)+D90,0)</f>
        <v/>
      </c>
      <c r="D90">
        <f>IF(AND($B$2=1,A90&gt;=Premissas!$E$23),Premissas!$E$22,0)</f>
        <v/>
      </c>
      <c r="E90">
        <f>B90*Premissas!$E$28</f>
        <v/>
      </c>
      <c r="F90">
        <f>B90*Premissas!$E$13/12*MIN(1,A90/Premissas!$E$17)</f>
        <v/>
      </c>
      <c r="G90">
        <f>F90*Premissas!$E$14</f>
        <v/>
      </c>
      <c r="H90">
        <f>IF(IF(A90-1-Premissas!$E$16&gt;=0,OFFSET($J$4,A90-1-Premissas!$E$16,0),0)&gt;0,ROUND(IF(A90-1-Premissas!$E$16&gt;=0,OFFSET($J$4,A90-1-Premissas!$E$16,0),0)*10000/Premissas!$E$5*Premissas!$E$15,0),0)</f>
        <v/>
      </c>
      <c r="I90">
        <f>ROUND(G90*Premissas!$E$6/10000,0)</f>
        <v/>
      </c>
      <c r="J90">
        <f>ROUND(G90*Premissas!$E$5/10000,0)</f>
        <v/>
      </c>
      <c r="K90">
        <f>IF(IF(A90-1-Premissas!$E$16&gt;=0,OFFSET($A$4,A90-1-Premissas!$E$16,0)&gt;=Premissas!$E$19,FALSE),ROUND(IF(A90-1-Premissas!$E$16&gt;=0,OFFSET($J$4,A90-1-Premissas!$E$16,0),0)*Premissas!$E$15,0),0)</f>
        <v/>
      </c>
      <c r="L90">
        <f>ROUND(C90*Premissas!$E$24/12,0)</f>
        <v/>
      </c>
      <c r="M90">
        <f>ROUND(D90*Premissas!$E$25,0)</f>
        <v/>
      </c>
      <c r="N90">
        <f>ROUND(E90*Premissas!$E$29+B90*Premissas!$E$30,0)</f>
        <v/>
      </c>
      <c r="O90">
        <f>K90+L90+M90+N90</f>
        <v/>
      </c>
      <c r="P90">
        <f>K90+ROUND(AC90*Premissas!$E$24,0)+M90+N90</f>
        <v/>
      </c>
      <c r="Q90">
        <f>ROUND(IF(A90-1-Premissas!$E$21&gt;=0,OFFSET($P$4,A90-1-Premissas!$E$21,0),0)*(1-Premissas!$E$20/100),0)</f>
        <v/>
      </c>
      <c r="R90">
        <f>ROUND(F90*Premissas!$E$11+N90*Premissas!$E$31/100,0)+ROUND((E90+B90)*Premissas!$E$10,0)+ROUND(Q90*Premissas!$E$8/100,0)+ROUND(Premissas!$E$35+(B90+C90)*Premissas!$E$36,0)</f>
        <v/>
      </c>
      <c r="S90">
        <f>O90-R90</f>
        <v/>
      </c>
      <c r="T90">
        <f>ROUND(O90*Premissas!$E$9/100,0)</f>
        <v/>
      </c>
      <c r="U90">
        <f>ROUND(AB90*Premissas!$E$33,0)</f>
        <v/>
      </c>
      <c r="V90">
        <f>Premissas!$E$37+ROUND(Premissas!$E$12*Premissas!$E$38+D90*Premissas!$E$27,0)</f>
        <v/>
      </c>
      <c r="W90">
        <f>Premissas!$E$39</f>
        <v/>
      </c>
      <c r="X90">
        <f>S90-T90-ROUND(Premissas!$E$12*Premissas!$E$38+D90*Premissas!$E$27,0)</f>
        <v/>
      </c>
      <c r="Y90">
        <f>O90-R90-T90-U90-V90-W90</f>
        <v/>
      </c>
      <c r="Z90">
        <f>Q90-R90-T90-U90-V90-W90</f>
        <v/>
      </c>
      <c r="AA90">
        <f>AA89+Z90</f>
        <v/>
      </c>
      <c r="AB90">
        <f>Premissas!$E$32+(B90+C90)/Premissas!$E$34</f>
        <v/>
      </c>
      <c r="AC90">
        <f>D90+AC78*(1-Premissas!$E$26/12)^12</f>
        <v/>
      </c>
    </row>
    <row r="91">
      <c r="A91" t="n">
        <v>88</v>
      </c>
      <c r="B91">
        <f>B90*(1-Premissas!$E$18/12)+Premissas!$E$12</f>
        <v/>
      </c>
      <c r="C91">
        <f>IF($B$2=1,C90*(1-Premissas!$E$26/12)+D91,0)</f>
        <v/>
      </c>
      <c r="D91">
        <f>IF(AND($B$2=1,A91&gt;=Premissas!$E$23),Premissas!$E$22,0)</f>
        <v/>
      </c>
      <c r="E91">
        <f>B91*Premissas!$E$28</f>
        <v/>
      </c>
      <c r="F91">
        <f>B91*Premissas!$E$13/12*MIN(1,A91/Premissas!$E$17)</f>
        <v/>
      </c>
      <c r="G91">
        <f>F91*Premissas!$E$14</f>
        <v/>
      </c>
      <c r="H91">
        <f>IF(IF(A91-1-Premissas!$E$16&gt;=0,OFFSET($J$4,A91-1-Premissas!$E$16,0),0)&gt;0,ROUND(IF(A91-1-Premissas!$E$16&gt;=0,OFFSET($J$4,A91-1-Premissas!$E$16,0),0)*10000/Premissas!$E$5*Premissas!$E$15,0),0)</f>
        <v/>
      </c>
      <c r="I91">
        <f>ROUND(G91*Premissas!$E$6/10000,0)</f>
        <v/>
      </c>
      <c r="J91">
        <f>ROUND(G91*Premissas!$E$5/10000,0)</f>
        <v/>
      </c>
      <c r="K91">
        <f>IF(IF(A91-1-Premissas!$E$16&gt;=0,OFFSET($A$4,A91-1-Premissas!$E$16,0)&gt;=Premissas!$E$19,FALSE),ROUND(IF(A91-1-Premissas!$E$16&gt;=0,OFFSET($J$4,A91-1-Premissas!$E$16,0),0)*Premissas!$E$15,0),0)</f>
        <v/>
      </c>
      <c r="L91">
        <f>ROUND(C91*Premissas!$E$24/12,0)</f>
        <v/>
      </c>
      <c r="M91">
        <f>ROUND(D91*Premissas!$E$25,0)</f>
        <v/>
      </c>
      <c r="N91">
        <f>ROUND(E91*Premissas!$E$29+B91*Premissas!$E$30,0)</f>
        <v/>
      </c>
      <c r="O91">
        <f>K91+L91+M91+N91</f>
        <v/>
      </c>
      <c r="P91">
        <f>K91+ROUND(AC91*Premissas!$E$24,0)+M91+N91</f>
        <v/>
      </c>
      <c r="Q91">
        <f>ROUND(IF(A91-1-Premissas!$E$21&gt;=0,OFFSET($P$4,A91-1-Premissas!$E$21,0),0)*(1-Premissas!$E$20/100),0)</f>
        <v/>
      </c>
      <c r="R91">
        <f>ROUND(F91*Premissas!$E$11+N91*Premissas!$E$31/100,0)+ROUND((E91+B91)*Premissas!$E$10,0)+ROUND(Q91*Premissas!$E$8/100,0)+ROUND(Premissas!$E$35+(B91+C91)*Premissas!$E$36,0)</f>
        <v/>
      </c>
      <c r="S91">
        <f>O91-R91</f>
        <v/>
      </c>
      <c r="T91">
        <f>ROUND(O91*Premissas!$E$9/100,0)</f>
        <v/>
      </c>
      <c r="U91">
        <f>ROUND(AB91*Premissas!$E$33,0)</f>
        <v/>
      </c>
      <c r="V91">
        <f>Premissas!$E$37+ROUND(Premissas!$E$12*Premissas!$E$38+D91*Premissas!$E$27,0)</f>
        <v/>
      </c>
      <c r="W91">
        <f>Premissas!$E$39</f>
        <v/>
      </c>
      <c r="X91">
        <f>S91-T91-ROUND(Premissas!$E$12*Premissas!$E$38+D91*Premissas!$E$27,0)</f>
        <v/>
      </c>
      <c r="Y91">
        <f>O91-R91-T91-U91-V91-W91</f>
        <v/>
      </c>
      <c r="Z91">
        <f>Q91-R91-T91-U91-V91-W91</f>
        <v/>
      </c>
      <c r="AA91">
        <f>AA90+Z91</f>
        <v/>
      </c>
      <c r="AB91">
        <f>Premissas!$E$32+(B91+C91)/Premissas!$E$34</f>
        <v/>
      </c>
      <c r="AC91">
        <f>D91+AC79*(1-Premissas!$E$26/12)^12</f>
        <v/>
      </c>
    </row>
    <row r="92">
      <c r="A92" t="n">
        <v>89</v>
      </c>
      <c r="B92">
        <f>B91*(1-Premissas!$E$18/12)+Premissas!$E$12</f>
        <v/>
      </c>
      <c r="C92">
        <f>IF($B$2=1,C91*(1-Premissas!$E$26/12)+D92,0)</f>
        <v/>
      </c>
      <c r="D92">
        <f>IF(AND($B$2=1,A92&gt;=Premissas!$E$23),Premissas!$E$22,0)</f>
        <v/>
      </c>
      <c r="E92">
        <f>B92*Premissas!$E$28</f>
        <v/>
      </c>
      <c r="F92">
        <f>B92*Premissas!$E$13/12*MIN(1,A92/Premissas!$E$17)</f>
        <v/>
      </c>
      <c r="G92">
        <f>F92*Premissas!$E$14</f>
        <v/>
      </c>
      <c r="H92">
        <f>IF(IF(A92-1-Premissas!$E$16&gt;=0,OFFSET($J$4,A92-1-Premissas!$E$16,0),0)&gt;0,ROUND(IF(A92-1-Premissas!$E$16&gt;=0,OFFSET($J$4,A92-1-Premissas!$E$16,0),0)*10000/Premissas!$E$5*Premissas!$E$15,0),0)</f>
        <v/>
      </c>
      <c r="I92">
        <f>ROUND(G92*Premissas!$E$6/10000,0)</f>
        <v/>
      </c>
      <c r="J92">
        <f>ROUND(G92*Premissas!$E$5/10000,0)</f>
        <v/>
      </c>
      <c r="K92">
        <f>IF(IF(A92-1-Premissas!$E$16&gt;=0,OFFSET($A$4,A92-1-Premissas!$E$16,0)&gt;=Premissas!$E$19,FALSE),ROUND(IF(A92-1-Premissas!$E$16&gt;=0,OFFSET($J$4,A92-1-Premissas!$E$16,0),0)*Premissas!$E$15,0),0)</f>
        <v/>
      </c>
      <c r="L92">
        <f>ROUND(C92*Premissas!$E$24/12,0)</f>
        <v/>
      </c>
      <c r="M92">
        <f>ROUND(D92*Premissas!$E$25,0)</f>
        <v/>
      </c>
      <c r="N92">
        <f>ROUND(E92*Premissas!$E$29+B92*Premissas!$E$30,0)</f>
        <v/>
      </c>
      <c r="O92">
        <f>K92+L92+M92+N92</f>
        <v/>
      </c>
      <c r="P92">
        <f>K92+ROUND(AC92*Premissas!$E$24,0)+M92+N92</f>
        <v/>
      </c>
      <c r="Q92">
        <f>ROUND(IF(A92-1-Premissas!$E$21&gt;=0,OFFSET($P$4,A92-1-Premissas!$E$21,0),0)*(1-Premissas!$E$20/100),0)</f>
        <v/>
      </c>
      <c r="R92">
        <f>ROUND(F92*Premissas!$E$11+N92*Premissas!$E$31/100,0)+ROUND((E92+B92)*Premissas!$E$10,0)+ROUND(Q92*Premissas!$E$8/100,0)+ROUND(Premissas!$E$35+(B92+C92)*Premissas!$E$36,0)</f>
        <v/>
      </c>
      <c r="S92">
        <f>O92-R92</f>
        <v/>
      </c>
      <c r="T92">
        <f>ROUND(O92*Premissas!$E$9/100,0)</f>
        <v/>
      </c>
      <c r="U92">
        <f>ROUND(AB92*Premissas!$E$33,0)</f>
        <v/>
      </c>
      <c r="V92">
        <f>Premissas!$E$37+ROUND(Premissas!$E$12*Premissas!$E$38+D92*Premissas!$E$27,0)</f>
        <v/>
      </c>
      <c r="W92">
        <f>Premissas!$E$39</f>
        <v/>
      </c>
      <c r="X92">
        <f>S92-T92-ROUND(Premissas!$E$12*Premissas!$E$38+D92*Premissas!$E$27,0)</f>
        <v/>
      </c>
      <c r="Y92">
        <f>O92-R92-T92-U92-V92-W92</f>
        <v/>
      </c>
      <c r="Z92">
        <f>Q92-R92-T92-U92-V92-W92</f>
        <v/>
      </c>
      <c r="AA92">
        <f>AA91+Z92</f>
        <v/>
      </c>
      <c r="AB92">
        <f>Premissas!$E$32+(B92+C92)/Premissas!$E$34</f>
        <v/>
      </c>
      <c r="AC92">
        <f>D92+AC80*(1-Premissas!$E$26/12)^12</f>
        <v/>
      </c>
    </row>
    <row r="93">
      <c r="A93" t="n">
        <v>90</v>
      </c>
      <c r="B93">
        <f>B92*(1-Premissas!$E$18/12)+Premissas!$E$12</f>
        <v/>
      </c>
      <c r="C93">
        <f>IF($B$2=1,C92*(1-Premissas!$E$26/12)+D93,0)</f>
        <v/>
      </c>
      <c r="D93">
        <f>IF(AND($B$2=1,A93&gt;=Premissas!$E$23),Premissas!$E$22,0)</f>
        <v/>
      </c>
      <c r="E93">
        <f>B93*Premissas!$E$28</f>
        <v/>
      </c>
      <c r="F93">
        <f>B93*Premissas!$E$13/12*MIN(1,A93/Premissas!$E$17)</f>
        <v/>
      </c>
      <c r="G93">
        <f>F93*Premissas!$E$14</f>
        <v/>
      </c>
      <c r="H93">
        <f>IF(IF(A93-1-Premissas!$E$16&gt;=0,OFFSET($J$4,A93-1-Premissas!$E$16,0),0)&gt;0,ROUND(IF(A93-1-Premissas!$E$16&gt;=0,OFFSET($J$4,A93-1-Premissas!$E$16,0),0)*10000/Premissas!$E$5*Premissas!$E$15,0),0)</f>
        <v/>
      </c>
      <c r="I93">
        <f>ROUND(G93*Premissas!$E$6/10000,0)</f>
        <v/>
      </c>
      <c r="J93">
        <f>ROUND(G93*Premissas!$E$5/10000,0)</f>
        <v/>
      </c>
      <c r="K93">
        <f>IF(IF(A93-1-Premissas!$E$16&gt;=0,OFFSET($A$4,A93-1-Premissas!$E$16,0)&gt;=Premissas!$E$19,FALSE),ROUND(IF(A93-1-Premissas!$E$16&gt;=0,OFFSET($J$4,A93-1-Premissas!$E$16,0),0)*Premissas!$E$15,0),0)</f>
        <v/>
      </c>
      <c r="L93">
        <f>ROUND(C93*Premissas!$E$24/12,0)</f>
        <v/>
      </c>
      <c r="M93">
        <f>ROUND(D93*Premissas!$E$25,0)</f>
        <v/>
      </c>
      <c r="N93">
        <f>ROUND(E93*Premissas!$E$29+B93*Premissas!$E$30,0)</f>
        <v/>
      </c>
      <c r="O93">
        <f>K93+L93+M93+N93</f>
        <v/>
      </c>
      <c r="P93">
        <f>K93+ROUND(AC93*Premissas!$E$24,0)+M93+N93</f>
        <v/>
      </c>
      <c r="Q93">
        <f>ROUND(IF(A93-1-Premissas!$E$21&gt;=0,OFFSET($P$4,A93-1-Premissas!$E$21,0),0)*(1-Premissas!$E$20/100),0)</f>
        <v/>
      </c>
      <c r="R93">
        <f>ROUND(F93*Premissas!$E$11+N93*Premissas!$E$31/100,0)+ROUND((E93+B93)*Premissas!$E$10,0)+ROUND(Q93*Premissas!$E$8/100,0)+ROUND(Premissas!$E$35+(B93+C93)*Premissas!$E$36,0)</f>
        <v/>
      </c>
      <c r="S93">
        <f>O93-R93</f>
        <v/>
      </c>
      <c r="T93">
        <f>ROUND(O93*Premissas!$E$9/100,0)</f>
        <v/>
      </c>
      <c r="U93">
        <f>ROUND(AB93*Premissas!$E$33,0)</f>
        <v/>
      </c>
      <c r="V93">
        <f>Premissas!$E$37+ROUND(Premissas!$E$12*Premissas!$E$38+D93*Premissas!$E$27,0)</f>
        <v/>
      </c>
      <c r="W93">
        <f>Premissas!$E$39</f>
        <v/>
      </c>
      <c r="X93">
        <f>S93-T93-ROUND(Premissas!$E$12*Premissas!$E$38+D93*Premissas!$E$27,0)</f>
        <v/>
      </c>
      <c r="Y93">
        <f>O93-R93-T93-U93-V93-W93</f>
        <v/>
      </c>
      <c r="Z93">
        <f>Q93-R93-T93-U93-V93-W93</f>
        <v/>
      </c>
      <c r="AA93">
        <f>AA92+Z93</f>
        <v/>
      </c>
      <c r="AB93">
        <f>Premissas!$E$32+(B93+C93)/Premissas!$E$34</f>
        <v/>
      </c>
      <c r="AC93">
        <f>D93+AC81*(1-Premissas!$E$26/12)^12</f>
        <v/>
      </c>
    </row>
    <row r="94">
      <c r="A94" t="n">
        <v>91</v>
      </c>
      <c r="B94">
        <f>B93*(1-Premissas!$E$18/12)+Premissas!$E$12</f>
        <v/>
      </c>
      <c r="C94">
        <f>IF($B$2=1,C93*(1-Premissas!$E$26/12)+D94,0)</f>
        <v/>
      </c>
      <c r="D94">
        <f>IF(AND($B$2=1,A94&gt;=Premissas!$E$23),Premissas!$E$22,0)</f>
        <v/>
      </c>
      <c r="E94">
        <f>B94*Premissas!$E$28</f>
        <v/>
      </c>
      <c r="F94">
        <f>B94*Premissas!$E$13/12*MIN(1,A94/Premissas!$E$17)</f>
        <v/>
      </c>
      <c r="G94">
        <f>F94*Premissas!$E$14</f>
        <v/>
      </c>
      <c r="H94">
        <f>IF(IF(A94-1-Premissas!$E$16&gt;=0,OFFSET($J$4,A94-1-Premissas!$E$16,0),0)&gt;0,ROUND(IF(A94-1-Premissas!$E$16&gt;=0,OFFSET($J$4,A94-1-Premissas!$E$16,0),0)*10000/Premissas!$E$5*Premissas!$E$15,0),0)</f>
        <v/>
      </c>
      <c r="I94">
        <f>ROUND(G94*Premissas!$E$6/10000,0)</f>
        <v/>
      </c>
      <c r="J94">
        <f>ROUND(G94*Premissas!$E$5/10000,0)</f>
        <v/>
      </c>
      <c r="K94">
        <f>IF(IF(A94-1-Premissas!$E$16&gt;=0,OFFSET($A$4,A94-1-Premissas!$E$16,0)&gt;=Premissas!$E$19,FALSE),ROUND(IF(A94-1-Premissas!$E$16&gt;=0,OFFSET($J$4,A94-1-Premissas!$E$16,0),0)*Premissas!$E$15,0),0)</f>
        <v/>
      </c>
      <c r="L94">
        <f>ROUND(C94*Premissas!$E$24/12,0)</f>
        <v/>
      </c>
      <c r="M94">
        <f>ROUND(D94*Premissas!$E$25,0)</f>
        <v/>
      </c>
      <c r="N94">
        <f>ROUND(E94*Premissas!$E$29+B94*Premissas!$E$30,0)</f>
        <v/>
      </c>
      <c r="O94">
        <f>K94+L94+M94+N94</f>
        <v/>
      </c>
      <c r="P94">
        <f>K94+ROUND(AC94*Premissas!$E$24,0)+M94+N94</f>
        <v/>
      </c>
      <c r="Q94">
        <f>ROUND(IF(A94-1-Premissas!$E$21&gt;=0,OFFSET($P$4,A94-1-Premissas!$E$21,0),0)*(1-Premissas!$E$20/100),0)</f>
        <v/>
      </c>
      <c r="R94">
        <f>ROUND(F94*Premissas!$E$11+N94*Premissas!$E$31/100,0)+ROUND((E94+B94)*Premissas!$E$10,0)+ROUND(Q94*Premissas!$E$8/100,0)+ROUND(Premissas!$E$35+(B94+C94)*Premissas!$E$36,0)</f>
        <v/>
      </c>
      <c r="S94">
        <f>O94-R94</f>
        <v/>
      </c>
      <c r="T94">
        <f>ROUND(O94*Premissas!$E$9/100,0)</f>
        <v/>
      </c>
      <c r="U94">
        <f>ROUND(AB94*Premissas!$E$33,0)</f>
        <v/>
      </c>
      <c r="V94">
        <f>Premissas!$E$37+ROUND(Premissas!$E$12*Premissas!$E$38+D94*Premissas!$E$27,0)</f>
        <v/>
      </c>
      <c r="W94">
        <f>Premissas!$E$39</f>
        <v/>
      </c>
      <c r="X94">
        <f>S94-T94-ROUND(Premissas!$E$12*Premissas!$E$38+D94*Premissas!$E$27,0)</f>
        <v/>
      </c>
      <c r="Y94">
        <f>O94-R94-T94-U94-V94-W94</f>
        <v/>
      </c>
      <c r="Z94">
        <f>Q94-R94-T94-U94-V94-W94</f>
        <v/>
      </c>
      <c r="AA94">
        <f>AA93+Z94</f>
        <v/>
      </c>
      <c r="AB94">
        <f>Premissas!$E$32+(B94+C94)/Premissas!$E$34</f>
        <v/>
      </c>
      <c r="AC94">
        <f>D94+AC82*(1-Premissas!$E$26/12)^12</f>
        <v/>
      </c>
    </row>
    <row r="95">
      <c r="A95" t="n">
        <v>92</v>
      </c>
      <c r="B95">
        <f>B94*(1-Premissas!$E$18/12)+Premissas!$E$12</f>
        <v/>
      </c>
      <c r="C95">
        <f>IF($B$2=1,C94*(1-Premissas!$E$26/12)+D95,0)</f>
        <v/>
      </c>
      <c r="D95">
        <f>IF(AND($B$2=1,A95&gt;=Premissas!$E$23),Premissas!$E$22,0)</f>
        <v/>
      </c>
      <c r="E95">
        <f>B95*Premissas!$E$28</f>
        <v/>
      </c>
      <c r="F95">
        <f>B95*Premissas!$E$13/12*MIN(1,A95/Premissas!$E$17)</f>
        <v/>
      </c>
      <c r="G95">
        <f>F95*Premissas!$E$14</f>
        <v/>
      </c>
      <c r="H95">
        <f>IF(IF(A95-1-Premissas!$E$16&gt;=0,OFFSET($J$4,A95-1-Premissas!$E$16,0),0)&gt;0,ROUND(IF(A95-1-Premissas!$E$16&gt;=0,OFFSET($J$4,A95-1-Premissas!$E$16,0),0)*10000/Premissas!$E$5*Premissas!$E$15,0),0)</f>
        <v/>
      </c>
      <c r="I95">
        <f>ROUND(G95*Premissas!$E$6/10000,0)</f>
        <v/>
      </c>
      <c r="J95">
        <f>ROUND(G95*Premissas!$E$5/10000,0)</f>
        <v/>
      </c>
      <c r="K95">
        <f>IF(IF(A95-1-Premissas!$E$16&gt;=0,OFFSET($A$4,A95-1-Premissas!$E$16,0)&gt;=Premissas!$E$19,FALSE),ROUND(IF(A95-1-Premissas!$E$16&gt;=0,OFFSET($J$4,A95-1-Premissas!$E$16,0),0)*Premissas!$E$15,0),0)</f>
        <v/>
      </c>
      <c r="L95">
        <f>ROUND(C95*Premissas!$E$24/12,0)</f>
        <v/>
      </c>
      <c r="M95">
        <f>ROUND(D95*Premissas!$E$25,0)</f>
        <v/>
      </c>
      <c r="N95">
        <f>ROUND(E95*Premissas!$E$29+B95*Premissas!$E$30,0)</f>
        <v/>
      </c>
      <c r="O95">
        <f>K95+L95+M95+N95</f>
        <v/>
      </c>
      <c r="P95">
        <f>K95+ROUND(AC95*Premissas!$E$24,0)+M95+N95</f>
        <v/>
      </c>
      <c r="Q95">
        <f>ROUND(IF(A95-1-Premissas!$E$21&gt;=0,OFFSET($P$4,A95-1-Premissas!$E$21,0),0)*(1-Premissas!$E$20/100),0)</f>
        <v/>
      </c>
      <c r="R95">
        <f>ROUND(F95*Premissas!$E$11+N95*Premissas!$E$31/100,0)+ROUND((E95+B95)*Premissas!$E$10,0)+ROUND(Q95*Premissas!$E$8/100,0)+ROUND(Premissas!$E$35+(B95+C95)*Premissas!$E$36,0)</f>
        <v/>
      </c>
      <c r="S95">
        <f>O95-R95</f>
        <v/>
      </c>
      <c r="T95">
        <f>ROUND(O95*Premissas!$E$9/100,0)</f>
        <v/>
      </c>
      <c r="U95">
        <f>ROUND(AB95*Premissas!$E$33,0)</f>
        <v/>
      </c>
      <c r="V95">
        <f>Premissas!$E$37+ROUND(Premissas!$E$12*Premissas!$E$38+D95*Premissas!$E$27,0)</f>
        <v/>
      </c>
      <c r="W95">
        <f>Premissas!$E$39</f>
        <v/>
      </c>
      <c r="X95">
        <f>S95-T95-ROUND(Premissas!$E$12*Premissas!$E$38+D95*Premissas!$E$27,0)</f>
        <v/>
      </c>
      <c r="Y95">
        <f>O95-R95-T95-U95-V95-W95</f>
        <v/>
      </c>
      <c r="Z95">
        <f>Q95-R95-T95-U95-V95-W95</f>
        <v/>
      </c>
      <c r="AA95">
        <f>AA94+Z95</f>
        <v/>
      </c>
      <c r="AB95">
        <f>Premissas!$E$32+(B95+C95)/Premissas!$E$34</f>
        <v/>
      </c>
      <c r="AC95">
        <f>D95+AC83*(1-Premissas!$E$26/12)^12</f>
        <v/>
      </c>
    </row>
    <row r="96">
      <c r="A96" t="n">
        <v>93</v>
      </c>
      <c r="B96">
        <f>B95*(1-Premissas!$E$18/12)+Premissas!$E$12</f>
        <v/>
      </c>
      <c r="C96">
        <f>IF($B$2=1,C95*(1-Premissas!$E$26/12)+D96,0)</f>
        <v/>
      </c>
      <c r="D96">
        <f>IF(AND($B$2=1,A96&gt;=Premissas!$E$23),Premissas!$E$22,0)</f>
        <v/>
      </c>
      <c r="E96">
        <f>B96*Premissas!$E$28</f>
        <v/>
      </c>
      <c r="F96">
        <f>B96*Premissas!$E$13/12*MIN(1,A96/Premissas!$E$17)</f>
        <v/>
      </c>
      <c r="G96">
        <f>F96*Premissas!$E$14</f>
        <v/>
      </c>
      <c r="H96">
        <f>IF(IF(A96-1-Premissas!$E$16&gt;=0,OFFSET($J$4,A96-1-Premissas!$E$16,0),0)&gt;0,ROUND(IF(A96-1-Premissas!$E$16&gt;=0,OFFSET($J$4,A96-1-Premissas!$E$16,0),0)*10000/Premissas!$E$5*Premissas!$E$15,0),0)</f>
        <v/>
      </c>
      <c r="I96">
        <f>ROUND(G96*Premissas!$E$6/10000,0)</f>
        <v/>
      </c>
      <c r="J96">
        <f>ROUND(G96*Premissas!$E$5/10000,0)</f>
        <v/>
      </c>
      <c r="K96">
        <f>IF(IF(A96-1-Premissas!$E$16&gt;=0,OFFSET($A$4,A96-1-Premissas!$E$16,0)&gt;=Premissas!$E$19,FALSE),ROUND(IF(A96-1-Premissas!$E$16&gt;=0,OFFSET($J$4,A96-1-Premissas!$E$16,0),0)*Premissas!$E$15,0),0)</f>
        <v/>
      </c>
      <c r="L96">
        <f>ROUND(C96*Premissas!$E$24/12,0)</f>
        <v/>
      </c>
      <c r="M96">
        <f>ROUND(D96*Premissas!$E$25,0)</f>
        <v/>
      </c>
      <c r="N96">
        <f>ROUND(E96*Premissas!$E$29+B96*Premissas!$E$30,0)</f>
        <v/>
      </c>
      <c r="O96">
        <f>K96+L96+M96+N96</f>
        <v/>
      </c>
      <c r="P96">
        <f>K96+ROUND(AC96*Premissas!$E$24,0)+M96+N96</f>
        <v/>
      </c>
      <c r="Q96">
        <f>ROUND(IF(A96-1-Premissas!$E$21&gt;=0,OFFSET($P$4,A96-1-Premissas!$E$21,0),0)*(1-Premissas!$E$20/100),0)</f>
        <v/>
      </c>
      <c r="R96">
        <f>ROUND(F96*Premissas!$E$11+N96*Premissas!$E$31/100,0)+ROUND((E96+B96)*Premissas!$E$10,0)+ROUND(Q96*Premissas!$E$8/100,0)+ROUND(Premissas!$E$35+(B96+C96)*Premissas!$E$36,0)</f>
        <v/>
      </c>
      <c r="S96">
        <f>O96-R96</f>
        <v/>
      </c>
      <c r="T96">
        <f>ROUND(O96*Premissas!$E$9/100,0)</f>
        <v/>
      </c>
      <c r="U96">
        <f>ROUND(AB96*Premissas!$E$33,0)</f>
        <v/>
      </c>
      <c r="V96">
        <f>Premissas!$E$37+ROUND(Premissas!$E$12*Premissas!$E$38+D96*Premissas!$E$27,0)</f>
        <v/>
      </c>
      <c r="W96">
        <f>Premissas!$E$39</f>
        <v/>
      </c>
      <c r="X96">
        <f>S96-T96-ROUND(Premissas!$E$12*Premissas!$E$38+D96*Premissas!$E$27,0)</f>
        <v/>
      </c>
      <c r="Y96">
        <f>O96-R96-T96-U96-V96-W96</f>
        <v/>
      </c>
      <c r="Z96">
        <f>Q96-R96-T96-U96-V96-W96</f>
        <v/>
      </c>
      <c r="AA96">
        <f>AA95+Z96</f>
        <v/>
      </c>
      <c r="AB96">
        <f>Premissas!$E$32+(B96+C96)/Premissas!$E$34</f>
        <v/>
      </c>
      <c r="AC96">
        <f>D96+AC84*(1-Premissas!$E$26/12)^12</f>
        <v/>
      </c>
    </row>
    <row r="97">
      <c r="A97" t="n">
        <v>94</v>
      </c>
      <c r="B97">
        <f>B96*(1-Premissas!$E$18/12)+Premissas!$E$12</f>
        <v/>
      </c>
      <c r="C97">
        <f>IF($B$2=1,C96*(1-Premissas!$E$26/12)+D97,0)</f>
        <v/>
      </c>
      <c r="D97">
        <f>IF(AND($B$2=1,A97&gt;=Premissas!$E$23),Premissas!$E$22,0)</f>
        <v/>
      </c>
      <c r="E97">
        <f>B97*Premissas!$E$28</f>
        <v/>
      </c>
      <c r="F97">
        <f>B97*Premissas!$E$13/12*MIN(1,A97/Premissas!$E$17)</f>
        <v/>
      </c>
      <c r="G97">
        <f>F97*Premissas!$E$14</f>
        <v/>
      </c>
      <c r="H97">
        <f>IF(IF(A97-1-Premissas!$E$16&gt;=0,OFFSET($J$4,A97-1-Premissas!$E$16,0),0)&gt;0,ROUND(IF(A97-1-Premissas!$E$16&gt;=0,OFFSET($J$4,A97-1-Premissas!$E$16,0),0)*10000/Premissas!$E$5*Premissas!$E$15,0),0)</f>
        <v/>
      </c>
      <c r="I97">
        <f>ROUND(G97*Premissas!$E$6/10000,0)</f>
        <v/>
      </c>
      <c r="J97">
        <f>ROUND(G97*Premissas!$E$5/10000,0)</f>
        <v/>
      </c>
      <c r="K97">
        <f>IF(IF(A97-1-Premissas!$E$16&gt;=0,OFFSET($A$4,A97-1-Premissas!$E$16,0)&gt;=Premissas!$E$19,FALSE),ROUND(IF(A97-1-Premissas!$E$16&gt;=0,OFFSET($J$4,A97-1-Premissas!$E$16,0),0)*Premissas!$E$15,0),0)</f>
        <v/>
      </c>
      <c r="L97">
        <f>ROUND(C97*Premissas!$E$24/12,0)</f>
        <v/>
      </c>
      <c r="M97">
        <f>ROUND(D97*Premissas!$E$25,0)</f>
        <v/>
      </c>
      <c r="N97">
        <f>ROUND(E97*Premissas!$E$29+B97*Premissas!$E$30,0)</f>
        <v/>
      </c>
      <c r="O97">
        <f>K97+L97+M97+N97</f>
        <v/>
      </c>
      <c r="P97">
        <f>K97+ROUND(AC97*Premissas!$E$24,0)+M97+N97</f>
        <v/>
      </c>
      <c r="Q97">
        <f>ROUND(IF(A97-1-Premissas!$E$21&gt;=0,OFFSET($P$4,A97-1-Premissas!$E$21,0),0)*(1-Premissas!$E$20/100),0)</f>
        <v/>
      </c>
      <c r="R97">
        <f>ROUND(F97*Premissas!$E$11+N97*Premissas!$E$31/100,0)+ROUND((E97+B97)*Premissas!$E$10,0)+ROUND(Q97*Premissas!$E$8/100,0)+ROUND(Premissas!$E$35+(B97+C97)*Premissas!$E$36,0)</f>
        <v/>
      </c>
      <c r="S97">
        <f>O97-R97</f>
        <v/>
      </c>
      <c r="T97">
        <f>ROUND(O97*Premissas!$E$9/100,0)</f>
        <v/>
      </c>
      <c r="U97">
        <f>ROUND(AB97*Premissas!$E$33,0)</f>
        <v/>
      </c>
      <c r="V97">
        <f>Premissas!$E$37+ROUND(Premissas!$E$12*Premissas!$E$38+D97*Premissas!$E$27,0)</f>
        <v/>
      </c>
      <c r="W97">
        <f>Premissas!$E$39</f>
        <v/>
      </c>
      <c r="X97">
        <f>S97-T97-ROUND(Premissas!$E$12*Premissas!$E$38+D97*Premissas!$E$27,0)</f>
        <v/>
      </c>
      <c r="Y97">
        <f>O97-R97-T97-U97-V97-W97</f>
        <v/>
      </c>
      <c r="Z97">
        <f>Q97-R97-T97-U97-V97-W97</f>
        <v/>
      </c>
      <c r="AA97">
        <f>AA96+Z97</f>
        <v/>
      </c>
      <c r="AB97">
        <f>Premissas!$E$32+(B97+C97)/Premissas!$E$34</f>
        <v/>
      </c>
      <c r="AC97">
        <f>D97+AC85*(1-Premissas!$E$26/12)^12</f>
        <v/>
      </c>
    </row>
    <row r="98">
      <c r="A98" t="n">
        <v>95</v>
      </c>
      <c r="B98">
        <f>B97*(1-Premissas!$E$18/12)+Premissas!$E$12</f>
        <v/>
      </c>
      <c r="C98">
        <f>IF($B$2=1,C97*(1-Premissas!$E$26/12)+D98,0)</f>
        <v/>
      </c>
      <c r="D98">
        <f>IF(AND($B$2=1,A98&gt;=Premissas!$E$23),Premissas!$E$22,0)</f>
        <v/>
      </c>
      <c r="E98">
        <f>B98*Premissas!$E$28</f>
        <v/>
      </c>
      <c r="F98">
        <f>B98*Premissas!$E$13/12*MIN(1,A98/Premissas!$E$17)</f>
        <v/>
      </c>
      <c r="G98">
        <f>F98*Premissas!$E$14</f>
        <v/>
      </c>
      <c r="H98">
        <f>IF(IF(A98-1-Premissas!$E$16&gt;=0,OFFSET($J$4,A98-1-Premissas!$E$16,0),0)&gt;0,ROUND(IF(A98-1-Premissas!$E$16&gt;=0,OFFSET($J$4,A98-1-Premissas!$E$16,0),0)*10000/Premissas!$E$5*Premissas!$E$15,0),0)</f>
        <v/>
      </c>
      <c r="I98">
        <f>ROUND(G98*Premissas!$E$6/10000,0)</f>
        <v/>
      </c>
      <c r="J98">
        <f>ROUND(G98*Premissas!$E$5/10000,0)</f>
        <v/>
      </c>
      <c r="K98">
        <f>IF(IF(A98-1-Premissas!$E$16&gt;=0,OFFSET($A$4,A98-1-Premissas!$E$16,0)&gt;=Premissas!$E$19,FALSE),ROUND(IF(A98-1-Premissas!$E$16&gt;=0,OFFSET($J$4,A98-1-Premissas!$E$16,0),0)*Premissas!$E$15,0),0)</f>
        <v/>
      </c>
      <c r="L98">
        <f>ROUND(C98*Premissas!$E$24/12,0)</f>
        <v/>
      </c>
      <c r="M98">
        <f>ROUND(D98*Premissas!$E$25,0)</f>
        <v/>
      </c>
      <c r="N98">
        <f>ROUND(E98*Premissas!$E$29+B98*Premissas!$E$30,0)</f>
        <v/>
      </c>
      <c r="O98">
        <f>K98+L98+M98+N98</f>
        <v/>
      </c>
      <c r="P98">
        <f>K98+ROUND(AC98*Premissas!$E$24,0)+M98+N98</f>
        <v/>
      </c>
      <c r="Q98">
        <f>ROUND(IF(A98-1-Premissas!$E$21&gt;=0,OFFSET($P$4,A98-1-Premissas!$E$21,0),0)*(1-Premissas!$E$20/100),0)</f>
        <v/>
      </c>
      <c r="R98">
        <f>ROUND(F98*Premissas!$E$11+N98*Premissas!$E$31/100,0)+ROUND((E98+B98)*Premissas!$E$10,0)+ROUND(Q98*Premissas!$E$8/100,0)+ROUND(Premissas!$E$35+(B98+C98)*Premissas!$E$36,0)</f>
        <v/>
      </c>
      <c r="S98">
        <f>O98-R98</f>
        <v/>
      </c>
      <c r="T98">
        <f>ROUND(O98*Premissas!$E$9/100,0)</f>
        <v/>
      </c>
      <c r="U98">
        <f>ROUND(AB98*Premissas!$E$33,0)</f>
        <v/>
      </c>
      <c r="V98">
        <f>Premissas!$E$37+ROUND(Premissas!$E$12*Premissas!$E$38+D98*Premissas!$E$27,0)</f>
        <v/>
      </c>
      <c r="W98">
        <f>Premissas!$E$39</f>
        <v/>
      </c>
      <c r="X98">
        <f>S98-T98-ROUND(Premissas!$E$12*Premissas!$E$38+D98*Premissas!$E$27,0)</f>
        <v/>
      </c>
      <c r="Y98">
        <f>O98-R98-T98-U98-V98-W98</f>
        <v/>
      </c>
      <c r="Z98">
        <f>Q98-R98-T98-U98-V98-W98</f>
        <v/>
      </c>
      <c r="AA98">
        <f>AA97+Z98</f>
        <v/>
      </c>
      <c r="AB98">
        <f>Premissas!$E$32+(B98+C98)/Premissas!$E$34</f>
        <v/>
      </c>
      <c r="AC98">
        <f>D98+AC86*(1-Premissas!$E$26/12)^12</f>
        <v/>
      </c>
    </row>
    <row r="99">
      <c r="A99" t="n">
        <v>96</v>
      </c>
      <c r="B99">
        <f>B98*(1-Premissas!$E$18/12)+Premissas!$E$12</f>
        <v/>
      </c>
      <c r="C99">
        <f>IF($B$2=1,C98*(1-Premissas!$E$26/12)+D99,0)</f>
        <v/>
      </c>
      <c r="D99">
        <f>IF(AND($B$2=1,A99&gt;=Premissas!$E$23),Premissas!$E$22,0)</f>
        <v/>
      </c>
      <c r="E99">
        <f>B99*Premissas!$E$28</f>
        <v/>
      </c>
      <c r="F99">
        <f>B99*Premissas!$E$13/12*MIN(1,A99/Premissas!$E$17)</f>
        <v/>
      </c>
      <c r="G99">
        <f>F99*Premissas!$E$14</f>
        <v/>
      </c>
      <c r="H99">
        <f>IF(IF(A99-1-Premissas!$E$16&gt;=0,OFFSET($J$4,A99-1-Premissas!$E$16,0),0)&gt;0,ROUND(IF(A99-1-Premissas!$E$16&gt;=0,OFFSET($J$4,A99-1-Premissas!$E$16,0),0)*10000/Premissas!$E$5*Premissas!$E$15,0),0)</f>
        <v/>
      </c>
      <c r="I99">
        <f>ROUND(G99*Premissas!$E$6/10000,0)</f>
        <v/>
      </c>
      <c r="J99">
        <f>ROUND(G99*Premissas!$E$5/10000,0)</f>
        <v/>
      </c>
      <c r="K99">
        <f>IF(IF(A99-1-Premissas!$E$16&gt;=0,OFFSET($A$4,A99-1-Premissas!$E$16,0)&gt;=Premissas!$E$19,FALSE),ROUND(IF(A99-1-Premissas!$E$16&gt;=0,OFFSET($J$4,A99-1-Premissas!$E$16,0),0)*Premissas!$E$15,0),0)</f>
        <v/>
      </c>
      <c r="L99">
        <f>ROUND(C99*Premissas!$E$24/12,0)</f>
        <v/>
      </c>
      <c r="M99">
        <f>ROUND(D99*Premissas!$E$25,0)</f>
        <v/>
      </c>
      <c r="N99">
        <f>ROUND(E99*Premissas!$E$29+B99*Premissas!$E$30,0)</f>
        <v/>
      </c>
      <c r="O99">
        <f>K99+L99+M99+N99</f>
        <v/>
      </c>
      <c r="P99">
        <f>K99+ROUND(AC99*Premissas!$E$24,0)+M99+N99</f>
        <v/>
      </c>
      <c r="Q99">
        <f>ROUND(IF(A99-1-Premissas!$E$21&gt;=0,OFFSET($P$4,A99-1-Premissas!$E$21,0),0)*(1-Premissas!$E$20/100),0)</f>
        <v/>
      </c>
      <c r="R99">
        <f>ROUND(F99*Premissas!$E$11+N99*Premissas!$E$31/100,0)+ROUND((E99+B99)*Premissas!$E$10,0)+ROUND(Q99*Premissas!$E$8/100,0)+ROUND(Premissas!$E$35+(B99+C99)*Premissas!$E$36,0)</f>
        <v/>
      </c>
      <c r="S99">
        <f>O99-R99</f>
        <v/>
      </c>
      <c r="T99">
        <f>ROUND(O99*Premissas!$E$9/100,0)</f>
        <v/>
      </c>
      <c r="U99">
        <f>ROUND(AB99*Premissas!$E$33,0)</f>
        <v/>
      </c>
      <c r="V99">
        <f>Premissas!$E$37+ROUND(Premissas!$E$12*Premissas!$E$38+D99*Premissas!$E$27,0)</f>
        <v/>
      </c>
      <c r="W99">
        <f>Premissas!$E$39</f>
        <v/>
      </c>
      <c r="X99">
        <f>S99-T99-ROUND(Premissas!$E$12*Premissas!$E$38+D99*Premissas!$E$27,0)</f>
        <v/>
      </c>
      <c r="Y99">
        <f>O99-R99-T99-U99-V99-W99</f>
        <v/>
      </c>
      <c r="Z99">
        <f>Q99-R99-T99-U99-V99-W99</f>
        <v/>
      </c>
      <c r="AA99">
        <f>AA98+Z99</f>
        <v/>
      </c>
      <c r="AB99">
        <f>Premissas!$E$32+(B99+C99)/Premissas!$E$34</f>
        <v/>
      </c>
      <c r="AC99">
        <f>D99+AC87*(1-Premissas!$E$26/12)^12</f>
        <v/>
      </c>
    </row>
    <row r="100">
      <c r="A100" t="n">
        <v>97</v>
      </c>
      <c r="B100">
        <f>B99*(1-Premissas!$E$18/12)+Premissas!$E$12</f>
        <v/>
      </c>
      <c r="C100">
        <f>IF($B$2=1,C99*(1-Premissas!$E$26/12)+D100,0)</f>
        <v/>
      </c>
      <c r="D100">
        <f>IF(AND($B$2=1,A100&gt;=Premissas!$E$23),Premissas!$E$22,0)</f>
        <v/>
      </c>
      <c r="E100">
        <f>B100*Premissas!$E$28</f>
        <v/>
      </c>
      <c r="F100">
        <f>B100*Premissas!$E$13/12*MIN(1,A100/Premissas!$E$17)</f>
        <v/>
      </c>
      <c r="G100">
        <f>F100*Premissas!$E$14</f>
        <v/>
      </c>
      <c r="H100">
        <f>IF(IF(A100-1-Premissas!$E$16&gt;=0,OFFSET($J$4,A100-1-Premissas!$E$16,0),0)&gt;0,ROUND(IF(A100-1-Premissas!$E$16&gt;=0,OFFSET($J$4,A100-1-Premissas!$E$16,0),0)*10000/Premissas!$E$5*Premissas!$E$15,0),0)</f>
        <v/>
      </c>
      <c r="I100">
        <f>ROUND(G100*Premissas!$E$6/10000,0)</f>
        <v/>
      </c>
      <c r="J100">
        <f>ROUND(G100*Premissas!$E$5/10000,0)</f>
        <v/>
      </c>
      <c r="K100">
        <f>IF(IF(A100-1-Premissas!$E$16&gt;=0,OFFSET($A$4,A100-1-Premissas!$E$16,0)&gt;=Premissas!$E$19,FALSE),ROUND(IF(A100-1-Premissas!$E$16&gt;=0,OFFSET($J$4,A100-1-Premissas!$E$16,0),0)*Premissas!$E$15,0),0)</f>
        <v/>
      </c>
      <c r="L100">
        <f>ROUND(C100*Premissas!$E$24/12,0)</f>
        <v/>
      </c>
      <c r="M100">
        <f>ROUND(D100*Premissas!$E$25,0)</f>
        <v/>
      </c>
      <c r="N100">
        <f>ROUND(E100*Premissas!$E$29+B100*Premissas!$E$30,0)</f>
        <v/>
      </c>
      <c r="O100">
        <f>K100+L100+M100+N100</f>
        <v/>
      </c>
      <c r="P100">
        <f>K100+ROUND(AC100*Premissas!$E$24,0)+M100+N100</f>
        <v/>
      </c>
      <c r="Q100">
        <f>ROUND(IF(A100-1-Premissas!$E$21&gt;=0,OFFSET($P$4,A100-1-Premissas!$E$21,0),0)*(1-Premissas!$E$20/100),0)</f>
        <v/>
      </c>
      <c r="R100">
        <f>ROUND(F100*Premissas!$E$11+N100*Premissas!$E$31/100,0)+ROUND((E100+B100)*Premissas!$E$10,0)+ROUND(Q100*Premissas!$E$8/100,0)+ROUND(Premissas!$E$35+(B100+C100)*Premissas!$E$36,0)</f>
        <v/>
      </c>
      <c r="S100">
        <f>O100-R100</f>
        <v/>
      </c>
      <c r="T100">
        <f>ROUND(O100*Premissas!$E$9/100,0)</f>
        <v/>
      </c>
      <c r="U100">
        <f>ROUND(AB100*Premissas!$E$33,0)</f>
        <v/>
      </c>
      <c r="V100">
        <f>Premissas!$E$37+ROUND(Premissas!$E$12*Premissas!$E$38+D100*Premissas!$E$27,0)</f>
        <v/>
      </c>
      <c r="W100">
        <f>Premissas!$E$39</f>
        <v/>
      </c>
      <c r="X100">
        <f>S100-T100-ROUND(Premissas!$E$12*Premissas!$E$38+D100*Premissas!$E$27,0)</f>
        <v/>
      </c>
      <c r="Y100">
        <f>O100-R100-T100-U100-V100-W100</f>
        <v/>
      </c>
      <c r="Z100">
        <f>Q100-R100-T100-U100-V100-W100</f>
        <v/>
      </c>
      <c r="AA100">
        <f>AA99+Z100</f>
        <v/>
      </c>
      <c r="AB100">
        <f>Premissas!$E$32+(B100+C100)/Premissas!$E$34</f>
        <v/>
      </c>
      <c r="AC100">
        <f>D100+AC88*(1-Premissas!$E$26/12)^12</f>
        <v/>
      </c>
    </row>
    <row r="101">
      <c r="A101" t="n">
        <v>98</v>
      </c>
      <c r="B101">
        <f>B100*(1-Premissas!$E$18/12)+Premissas!$E$12</f>
        <v/>
      </c>
      <c r="C101">
        <f>IF($B$2=1,C100*(1-Premissas!$E$26/12)+D101,0)</f>
        <v/>
      </c>
      <c r="D101">
        <f>IF(AND($B$2=1,A101&gt;=Premissas!$E$23),Premissas!$E$22,0)</f>
        <v/>
      </c>
      <c r="E101">
        <f>B101*Premissas!$E$28</f>
        <v/>
      </c>
      <c r="F101">
        <f>B101*Premissas!$E$13/12*MIN(1,A101/Premissas!$E$17)</f>
        <v/>
      </c>
      <c r="G101">
        <f>F101*Premissas!$E$14</f>
        <v/>
      </c>
      <c r="H101">
        <f>IF(IF(A101-1-Premissas!$E$16&gt;=0,OFFSET($J$4,A101-1-Premissas!$E$16,0),0)&gt;0,ROUND(IF(A101-1-Premissas!$E$16&gt;=0,OFFSET($J$4,A101-1-Premissas!$E$16,0),0)*10000/Premissas!$E$5*Premissas!$E$15,0),0)</f>
        <v/>
      </c>
      <c r="I101">
        <f>ROUND(G101*Premissas!$E$6/10000,0)</f>
        <v/>
      </c>
      <c r="J101">
        <f>ROUND(G101*Premissas!$E$5/10000,0)</f>
        <v/>
      </c>
      <c r="K101">
        <f>IF(IF(A101-1-Premissas!$E$16&gt;=0,OFFSET($A$4,A101-1-Premissas!$E$16,0)&gt;=Premissas!$E$19,FALSE),ROUND(IF(A101-1-Premissas!$E$16&gt;=0,OFFSET($J$4,A101-1-Premissas!$E$16,0),0)*Premissas!$E$15,0),0)</f>
        <v/>
      </c>
      <c r="L101">
        <f>ROUND(C101*Premissas!$E$24/12,0)</f>
        <v/>
      </c>
      <c r="M101">
        <f>ROUND(D101*Premissas!$E$25,0)</f>
        <v/>
      </c>
      <c r="N101">
        <f>ROUND(E101*Premissas!$E$29+B101*Premissas!$E$30,0)</f>
        <v/>
      </c>
      <c r="O101">
        <f>K101+L101+M101+N101</f>
        <v/>
      </c>
      <c r="P101">
        <f>K101+ROUND(AC101*Premissas!$E$24,0)+M101+N101</f>
        <v/>
      </c>
      <c r="Q101">
        <f>ROUND(IF(A101-1-Premissas!$E$21&gt;=0,OFFSET($P$4,A101-1-Premissas!$E$21,0),0)*(1-Premissas!$E$20/100),0)</f>
        <v/>
      </c>
      <c r="R101">
        <f>ROUND(F101*Premissas!$E$11+N101*Premissas!$E$31/100,0)+ROUND((E101+B101)*Premissas!$E$10,0)+ROUND(Q101*Premissas!$E$8/100,0)+ROUND(Premissas!$E$35+(B101+C101)*Premissas!$E$36,0)</f>
        <v/>
      </c>
      <c r="S101">
        <f>O101-R101</f>
        <v/>
      </c>
      <c r="T101">
        <f>ROUND(O101*Premissas!$E$9/100,0)</f>
        <v/>
      </c>
      <c r="U101">
        <f>ROUND(AB101*Premissas!$E$33,0)</f>
        <v/>
      </c>
      <c r="V101">
        <f>Premissas!$E$37+ROUND(Premissas!$E$12*Premissas!$E$38+D101*Premissas!$E$27,0)</f>
        <v/>
      </c>
      <c r="W101">
        <f>Premissas!$E$39</f>
        <v/>
      </c>
      <c r="X101">
        <f>S101-T101-ROUND(Premissas!$E$12*Premissas!$E$38+D101*Premissas!$E$27,0)</f>
        <v/>
      </c>
      <c r="Y101">
        <f>O101-R101-T101-U101-V101-W101</f>
        <v/>
      </c>
      <c r="Z101">
        <f>Q101-R101-T101-U101-V101-W101</f>
        <v/>
      </c>
      <c r="AA101">
        <f>AA100+Z101</f>
        <v/>
      </c>
      <c r="AB101">
        <f>Premissas!$E$32+(B101+C101)/Premissas!$E$34</f>
        <v/>
      </c>
      <c r="AC101">
        <f>D101+AC89*(1-Premissas!$E$26/12)^12</f>
        <v/>
      </c>
    </row>
    <row r="102">
      <c r="A102" t="n">
        <v>99</v>
      </c>
      <c r="B102">
        <f>B101*(1-Premissas!$E$18/12)+Premissas!$E$12</f>
        <v/>
      </c>
      <c r="C102">
        <f>IF($B$2=1,C101*(1-Premissas!$E$26/12)+D102,0)</f>
        <v/>
      </c>
      <c r="D102">
        <f>IF(AND($B$2=1,A102&gt;=Premissas!$E$23),Premissas!$E$22,0)</f>
        <v/>
      </c>
      <c r="E102">
        <f>B102*Premissas!$E$28</f>
        <v/>
      </c>
      <c r="F102">
        <f>B102*Premissas!$E$13/12*MIN(1,A102/Premissas!$E$17)</f>
        <v/>
      </c>
      <c r="G102">
        <f>F102*Premissas!$E$14</f>
        <v/>
      </c>
      <c r="H102">
        <f>IF(IF(A102-1-Premissas!$E$16&gt;=0,OFFSET($J$4,A102-1-Premissas!$E$16,0),0)&gt;0,ROUND(IF(A102-1-Premissas!$E$16&gt;=0,OFFSET($J$4,A102-1-Premissas!$E$16,0),0)*10000/Premissas!$E$5*Premissas!$E$15,0),0)</f>
        <v/>
      </c>
      <c r="I102">
        <f>ROUND(G102*Premissas!$E$6/10000,0)</f>
        <v/>
      </c>
      <c r="J102">
        <f>ROUND(G102*Premissas!$E$5/10000,0)</f>
        <v/>
      </c>
      <c r="K102">
        <f>IF(IF(A102-1-Premissas!$E$16&gt;=0,OFFSET($A$4,A102-1-Premissas!$E$16,0)&gt;=Premissas!$E$19,FALSE),ROUND(IF(A102-1-Premissas!$E$16&gt;=0,OFFSET($J$4,A102-1-Premissas!$E$16,0),0)*Premissas!$E$15,0),0)</f>
        <v/>
      </c>
      <c r="L102">
        <f>ROUND(C102*Premissas!$E$24/12,0)</f>
        <v/>
      </c>
      <c r="M102">
        <f>ROUND(D102*Premissas!$E$25,0)</f>
        <v/>
      </c>
      <c r="N102">
        <f>ROUND(E102*Premissas!$E$29+B102*Premissas!$E$30,0)</f>
        <v/>
      </c>
      <c r="O102">
        <f>K102+L102+M102+N102</f>
        <v/>
      </c>
      <c r="P102">
        <f>K102+ROUND(AC102*Premissas!$E$24,0)+M102+N102</f>
        <v/>
      </c>
      <c r="Q102">
        <f>ROUND(IF(A102-1-Premissas!$E$21&gt;=0,OFFSET($P$4,A102-1-Premissas!$E$21,0),0)*(1-Premissas!$E$20/100),0)</f>
        <v/>
      </c>
      <c r="R102">
        <f>ROUND(F102*Premissas!$E$11+N102*Premissas!$E$31/100,0)+ROUND((E102+B102)*Premissas!$E$10,0)+ROUND(Q102*Premissas!$E$8/100,0)+ROUND(Premissas!$E$35+(B102+C102)*Premissas!$E$36,0)</f>
        <v/>
      </c>
      <c r="S102">
        <f>O102-R102</f>
        <v/>
      </c>
      <c r="T102">
        <f>ROUND(O102*Premissas!$E$9/100,0)</f>
        <v/>
      </c>
      <c r="U102">
        <f>ROUND(AB102*Premissas!$E$33,0)</f>
        <v/>
      </c>
      <c r="V102">
        <f>Premissas!$E$37+ROUND(Premissas!$E$12*Premissas!$E$38+D102*Premissas!$E$27,0)</f>
        <v/>
      </c>
      <c r="W102">
        <f>Premissas!$E$39</f>
        <v/>
      </c>
      <c r="X102">
        <f>S102-T102-ROUND(Premissas!$E$12*Premissas!$E$38+D102*Premissas!$E$27,0)</f>
        <v/>
      </c>
      <c r="Y102">
        <f>O102-R102-T102-U102-V102-W102</f>
        <v/>
      </c>
      <c r="Z102">
        <f>Q102-R102-T102-U102-V102-W102</f>
        <v/>
      </c>
      <c r="AA102">
        <f>AA101+Z102</f>
        <v/>
      </c>
      <c r="AB102">
        <f>Premissas!$E$32+(B102+C102)/Premissas!$E$34</f>
        <v/>
      </c>
      <c r="AC102">
        <f>D102+AC90*(1-Premissas!$E$26/12)^12</f>
        <v/>
      </c>
    </row>
    <row r="103">
      <c r="A103" t="n">
        <v>100</v>
      </c>
      <c r="B103">
        <f>B102*(1-Premissas!$E$18/12)+Premissas!$E$12</f>
        <v/>
      </c>
      <c r="C103">
        <f>IF($B$2=1,C102*(1-Premissas!$E$26/12)+D103,0)</f>
        <v/>
      </c>
      <c r="D103">
        <f>IF(AND($B$2=1,A103&gt;=Premissas!$E$23),Premissas!$E$22,0)</f>
        <v/>
      </c>
      <c r="E103">
        <f>B103*Premissas!$E$28</f>
        <v/>
      </c>
      <c r="F103">
        <f>B103*Premissas!$E$13/12*MIN(1,A103/Premissas!$E$17)</f>
        <v/>
      </c>
      <c r="G103">
        <f>F103*Premissas!$E$14</f>
        <v/>
      </c>
      <c r="H103">
        <f>IF(IF(A103-1-Premissas!$E$16&gt;=0,OFFSET($J$4,A103-1-Premissas!$E$16,0),0)&gt;0,ROUND(IF(A103-1-Premissas!$E$16&gt;=0,OFFSET($J$4,A103-1-Premissas!$E$16,0),0)*10000/Premissas!$E$5*Premissas!$E$15,0),0)</f>
        <v/>
      </c>
      <c r="I103">
        <f>ROUND(G103*Premissas!$E$6/10000,0)</f>
        <v/>
      </c>
      <c r="J103">
        <f>ROUND(G103*Premissas!$E$5/10000,0)</f>
        <v/>
      </c>
      <c r="K103">
        <f>IF(IF(A103-1-Premissas!$E$16&gt;=0,OFFSET($A$4,A103-1-Premissas!$E$16,0)&gt;=Premissas!$E$19,FALSE),ROUND(IF(A103-1-Premissas!$E$16&gt;=0,OFFSET($J$4,A103-1-Premissas!$E$16,0),0)*Premissas!$E$15,0),0)</f>
        <v/>
      </c>
      <c r="L103">
        <f>ROUND(C103*Premissas!$E$24/12,0)</f>
        <v/>
      </c>
      <c r="M103">
        <f>ROUND(D103*Premissas!$E$25,0)</f>
        <v/>
      </c>
      <c r="N103">
        <f>ROUND(E103*Premissas!$E$29+B103*Premissas!$E$30,0)</f>
        <v/>
      </c>
      <c r="O103">
        <f>K103+L103+M103+N103</f>
        <v/>
      </c>
      <c r="P103">
        <f>K103+ROUND(AC103*Premissas!$E$24,0)+M103+N103</f>
        <v/>
      </c>
      <c r="Q103">
        <f>ROUND(IF(A103-1-Premissas!$E$21&gt;=0,OFFSET($P$4,A103-1-Premissas!$E$21,0),0)*(1-Premissas!$E$20/100),0)</f>
        <v/>
      </c>
      <c r="R103">
        <f>ROUND(F103*Premissas!$E$11+N103*Premissas!$E$31/100,0)+ROUND((E103+B103)*Premissas!$E$10,0)+ROUND(Q103*Premissas!$E$8/100,0)+ROUND(Premissas!$E$35+(B103+C103)*Premissas!$E$36,0)</f>
        <v/>
      </c>
      <c r="S103">
        <f>O103-R103</f>
        <v/>
      </c>
      <c r="T103">
        <f>ROUND(O103*Premissas!$E$9/100,0)</f>
        <v/>
      </c>
      <c r="U103">
        <f>ROUND(AB103*Premissas!$E$33,0)</f>
        <v/>
      </c>
      <c r="V103">
        <f>Premissas!$E$37+ROUND(Premissas!$E$12*Premissas!$E$38+D103*Premissas!$E$27,0)</f>
        <v/>
      </c>
      <c r="W103">
        <f>Premissas!$E$39</f>
        <v/>
      </c>
      <c r="X103">
        <f>S103-T103-ROUND(Premissas!$E$12*Premissas!$E$38+D103*Premissas!$E$27,0)</f>
        <v/>
      </c>
      <c r="Y103">
        <f>O103-R103-T103-U103-V103-W103</f>
        <v/>
      </c>
      <c r="Z103">
        <f>Q103-R103-T103-U103-V103-W103</f>
        <v/>
      </c>
      <c r="AA103">
        <f>AA102+Z103</f>
        <v/>
      </c>
      <c r="AB103">
        <f>Premissas!$E$32+(B103+C103)/Premissas!$E$34</f>
        <v/>
      </c>
      <c r="AC103">
        <f>D103+AC91*(1-Premissas!$E$26/12)^12</f>
        <v/>
      </c>
    </row>
    <row r="104">
      <c r="A104" t="n">
        <v>101</v>
      </c>
      <c r="B104">
        <f>B103*(1-Premissas!$E$18/12)+Premissas!$E$12</f>
        <v/>
      </c>
      <c r="C104">
        <f>IF($B$2=1,C103*(1-Premissas!$E$26/12)+D104,0)</f>
        <v/>
      </c>
      <c r="D104">
        <f>IF(AND($B$2=1,A104&gt;=Premissas!$E$23),Premissas!$E$22,0)</f>
        <v/>
      </c>
      <c r="E104">
        <f>B104*Premissas!$E$28</f>
        <v/>
      </c>
      <c r="F104">
        <f>B104*Premissas!$E$13/12*MIN(1,A104/Premissas!$E$17)</f>
        <v/>
      </c>
      <c r="G104">
        <f>F104*Premissas!$E$14</f>
        <v/>
      </c>
      <c r="H104">
        <f>IF(IF(A104-1-Premissas!$E$16&gt;=0,OFFSET($J$4,A104-1-Premissas!$E$16,0),0)&gt;0,ROUND(IF(A104-1-Premissas!$E$16&gt;=0,OFFSET($J$4,A104-1-Premissas!$E$16,0),0)*10000/Premissas!$E$5*Premissas!$E$15,0),0)</f>
        <v/>
      </c>
      <c r="I104">
        <f>ROUND(G104*Premissas!$E$6/10000,0)</f>
        <v/>
      </c>
      <c r="J104">
        <f>ROUND(G104*Premissas!$E$5/10000,0)</f>
        <v/>
      </c>
      <c r="K104">
        <f>IF(IF(A104-1-Premissas!$E$16&gt;=0,OFFSET($A$4,A104-1-Premissas!$E$16,0)&gt;=Premissas!$E$19,FALSE),ROUND(IF(A104-1-Premissas!$E$16&gt;=0,OFFSET($J$4,A104-1-Premissas!$E$16,0),0)*Premissas!$E$15,0),0)</f>
        <v/>
      </c>
      <c r="L104">
        <f>ROUND(C104*Premissas!$E$24/12,0)</f>
        <v/>
      </c>
      <c r="M104">
        <f>ROUND(D104*Premissas!$E$25,0)</f>
        <v/>
      </c>
      <c r="N104">
        <f>ROUND(E104*Premissas!$E$29+B104*Premissas!$E$30,0)</f>
        <v/>
      </c>
      <c r="O104">
        <f>K104+L104+M104+N104</f>
        <v/>
      </c>
      <c r="P104">
        <f>K104+ROUND(AC104*Premissas!$E$24,0)+M104+N104</f>
        <v/>
      </c>
      <c r="Q104">
        <f>ROUND(IF(A104-1-Premissas!$E$21&gt;=0,OFFSET($P$4,A104-1-Premissas!$E$21,0),0)*(1-Premissas!$E$20/100),0)</f>
        <v/>
      </c>
      <c r="R104">
        <f>ROUND(F104*Premissas!$E$11+N104*Premissas!$E$31/100,0)+ROUND((E104+B104)*Premissas!$E$10,0)+ROUND(Q104*Premissas!$E$8/100,0)+ROUND(Premissas!$E$35+(B104+C104)*Premissas!$E$36,0)</f>
        <v/>
      </c>
      <c r="S104">
        <f>O104-R104</f>
        <v/>
      </c>
      <c r="T104">
        <f>ROUND(O104*Premissas!$E$9/100,0)</f>
        <v/>
      </c>
      <c r="U104">
        <f>ROUND(AB104*Premissas!$E$33,0)</f>
        <v/>
      </c>
      <c r="V104">
        <f>Premissas!$E$37+ROUND(Premissas!$E$12*Premissas!$E$38+D104*Premissas!$E$27,0)</f>
        <v/>
      </c>
      <c r="W104">
        <f>Premissas!$E$39</f>
        <v/>
      </c>
      <c r="X104">
        <f>S104-T104-ROUND(Premissas!$E$12*Premissas!$E$38+D104*Premissas!$E$27,0)</f>
        <v/>
      </c>
      <c r="Y104">
        <f>O104-R104-T104-U104-V104-W104</f>
        <v/>
      </c>
      <c r="Z104">
        <f>Q104-R104-T104-U104-V104-W104</f>
        <v/>
      </c>
      <c r="AA104">
        <f>AA103+Z104</f>
        <v/>
      </c>
      <c r="AB104">
        <f>Premissas!$E$32+(B104+C104)/Premissas!$E$34</f>
        <v/>
      </c>
      <c r="AC104">
        <f>D104+AC92*(1-Premissas!$E$26/12)^12</f>
        <v/>
      </c>
    </row>
    <row r="105">
      <c r="A105" t="n">
        <v>102</v>
      </c>
      <c r="B105">
        <f>B104*(1-Premissas!$E$18/12)+Premissas!$E$12</f>
        <v/>
      </c>
      <c r="C105">
        <f>IF($B$2=1,C104*(1-Premissas!$E$26/12)+D105,0)</f>
        <v/>
      </c>
      <c r="D105">
        <f>IF(AND($B$2=1,A105&gt;=Premissas!$E$23),Premissas!$E$22,0)</f>
        <v/>
      </c>
      <c r="E105">
        <f>B105*Premissas!$E$28</f>
        <v/>
      </c>
      <c r="F105">
        <f>B105*Premissas!$E$13/12*MIN(1,A105/Premissas!$E$17)</f>
        <v/>
      </c>
      <c r="G105">
        <f>F105*Premissas!$E$14</f>
        <v/>
      </c>
      <c r="H105">
        <f>IF(IF(A105-1-Premissas!$E$16&gt;=0,OFFSET($J$4,A105-1-Premissas!$E$16,0),0)&gt;0,ROUND(IF(A105-1-Premissas!$E$16&gt;=0,OFFSET($J$4,A105-1-Premissas!$E$16,0),0)*10000/Premissas!$E$5*Premissas!$E$15,0),0)</f>
        <v/>
      </c>
      <c r="I105">
        <f>ROUND(G105*Premissas!$E$6/10000,0)</f>
        <v/>
      </c>
      <c r="J105">
        <f>ROUND(G105*Premissas!$E$5/10000,0)</f>
        <v/>
      </c>
      <c r="K105">
        <f>IF(IF(A105-1-Premissas!$E$16&gt;=0,OFFSET($A$4,A105-1-Premissas!$E$16,0)&gt;=Premissas!$E$19,FALSE),ROUND(IF(A105-1-Premissas!$E$16&gt;=0,OFFSET($J$4,A105-1-Premissas!$E$16,0),0)*Premissas!$E$15,0),0)</f>
        <v/>
      </c>
      <c r="L105">
        <f>ROUND(C105*Premissas!$E$24/12,0)</f>
        <v/>
      </c>
      <c r="M105">
        <f>ROUND(D105*Premissas!$E$25,0)</f>
        <v/>
      </c>
      <c r="N105">
        <f>ROUND(E105*Premissas!$E$29+B105*Premissas!$E$30,0)</f>
        <v/>
      </c>
      <c r="O105">
        <f>K105+L105+M105+N105</f>
        <v/>
      </c>
      <c r="P105">
        <f>K105+ROUND(AC105*Premissas!$E$24,0)+M105+N105</f>
        <v/>
      </c>
      <c r="Q105">
        <f>ROUND(IF(A105-1-Premissas!$E$21&gt;=0,OFFSET($P$4,A105-1-Premissas!$E$21,0),0)*(1-Premissas!$E$20/100),0)</f>
        <v/>
      </c>
      <c r="R105">
        <f>ROUND(F105*Premissas!$E$11+N105*Premissas!$E$31/100,0)+ROUND((E105+B105)*Premissas!$E$10,0)+ROUND(Q105*Premissas!$E$8/100,0)+ROUND(Premissas!$E$35+(B105+C105)*Premissas!$E$36,0)</f>
        <v/>
      </c>
      <c r="S105">
        <f>O105-R105</f>
        <v/>
      </c>
      <c r="T105">
        <f>ROUND(O105*Premissas!$E$9/100,0)</f>
        <v/>
      </c>
      <c r="U105">
        <f>ROUND(AB105*Premissas!$E$33,0)</f>
        <v/>
      </c>
      <c r="V105">
        <f>Premissas!$E$37+ROUND(Premissas!$E$12*Premissas!$E$38+D105*Premissas!$E$27,0)</f>
        <v/>
      </c>
      <c r="W105">
        <f>Premissas!$E$39</f>
        <v/>
      </c>
      <c r="X105">
        <f>S105-T105-ROUND(Premissas!$E$12*Premissas!$E$38+D105*Premissas!$E$27,0)</f>
        <v/>
      </c>
      <c r="Y105">
        <f>O105-R105-T105-U105-V105-W105</f>
        <v/>
      </c>
      <c r="Z105">
        <f>Q105-R105-T105-U105-V105-W105</f>
        <v/>
      </c>
      <c r="AA105">
        <f>AA104+Z105</f>
        <v/>
      </c>
      <c r="AB105">
        <f>Premissas!$E$32+(B105+C105)/Premissas!$E$34</f>
        <v/>
      </c>
      <c r="AC105">
        <f>D105+AC93*(1-Premissas!$E$26/12)^12</f>
        <v/>
      </c>
    </row>
    <row r="106">
      <c r="A106" t="n">
        <v>103</v>
      </c>
      <c r="B106">
        <f>B105*(1-Premissas!$E$18/12)+Premissas!$E$12</f>
        <v/>
      </c>
      <c r="C106">
        <f>IF($B$2=1,C105*(1-Premissas!$E$26/12)+D106,0)</f>
        <v/>
      </c>
      <c r="D106">
        <f>IF(AND($B$2=1,A106&gt;=Premissas!$E$23),Premissas!$E$22,0)</f>
        <v/>
      </c>
      <c r="E106">
        <f>B106*Premissas!$E$28</f>
        <v/>
      </c>
      <c r="F106">
        <f>B106*Premissas!$E$13/12*MIN(1,A106/Premissas!$E$17)</f>
        <v/>
      </c>
      <c r="G106">
        <f>F106*Premissas!$E$14</f>
        <v/>
      </c>
      <c r="H106">
        <f>IF(IF(A106-1-Premissas!$E$16&gt;=0,OFFSET($J$4,A106-1-Premissas!$E$16,0),0)&gt;0,ROUND(IF(A106-1-Premissas!$E$16&gt;=0,OFFSET($J$4,A106-1-Premissas!$E$16,0),0)*10000/Premissas!$E$5*Premissas!$E$15,0),0)</f>
        <v/>
      </c>
      <c r="I106">
        <f>ROUND(G106*Premissas!$E$6/10000,0)</f>
        <v/>
      </c>
      <c r="J106">
        <f>ROUND(G106*Premissas!$E$5/10000,0)</f>
        <v/>
      </c>
      <c r="K106">
        <f>IF(IF(A106-1-Premissas!$E$16&gt;=0,OFFSET($A$4,A106-1-Premissas!$E$16,0)&gt;=Premissas!$E$19,FALSE),ROUND(IF(A106-1-Premissas!$E$16&gt;=0,OFFSET($J$4,A106-1-Premissas!$E$16,0),0)*Premissas!$E$15,0),0)</f>
        <v/>
      </c>
      <c r="L106">
        <f>ROUND(C106*Premissas!$E$24/12,0)</f>
        <v/>
      </c>
      <c r="M106">
        <f>ROUND(D106*Premissas!$E$25,0)</f>
        <v/>
      </c>
      <c r="N106">
        <f>ROUND(E106*Premissas!$E$29+B106*Premissas!$E$30,0)</f>
        <v/>
      </c>
      <c r="O106">
        <f>K106+L106+M106+N106</f>
        <v/>
      </c>
      <c r="P106">
        <f>K106+ROUND(AC106*Premissas!$E$24,0)+M106+N106</f>
        <v/>
      </c>
      <c r="Q106">
        <f>ROUND(IF(A106-1-Premissas!$E$21&gt;=0,OFFSET($P$4,A106-1-Premissas!$E$21,0),0)*(1-Premissas!$E$20/100),0)</f>
        <v/>
      </c>
      <c r="R106">
        <f>ROUND(F106*Premissas!$E$11+N106*Premissas!$E$31/100,0)+ROUND((E106+B106)*Premissas!$E$10,0)+ROUND(Q106*Premissas!$E$8/100,0)+ROUND(Premissas!$E$35+(B106+C106)*Premissas!$E$36,0)</f>
        <v/>
      </c>
      <c r="S106">
        <f>O106-R106</f>
        <v/>
      </c>
      <c r="T106">
        <f>ROUND(O106*Premissas!$E$9/100,0)</f>
        <v/>
      </c>
      <c r="U106">
        <f>ROUND(AB106*Premissas!$E$33,0)</f>
        <v/>
      </c>
      <c r="V106">
        <f>Premissas!$E$37+ROUND(Premissas!$E$12*Premissas!$E$38+D106*Premissas!$E$27,0)</f>
        <v/>
      </c>
      <c r="W106">
        <f>Premissas!$E$39</f>
        <v/>
      </c>
      <c r="X106">
        <f>S106-T106-ROUND(Premissas!$E$12*Premissas!$E$38+D106*Premissas!$E$27,0)</f>
        <v/>
      </c>
      <c r="Y106">
        <f>O106-R106-T106-U106-V106-W106</f>
        <v/>
      </c>
      <c r="Z106">
        <f>Q106-R106-T106-U106-V106-W106</f>
        <v/>
      </c>
      <c r="AA106">
        <f>AA105+Z106</f>
        <v/>
      </c>
      <c r="AB106">
        <f>Premissas!$E$32+(B106+C106)/Premissas!$E$34</f>
        <v/>
      </c>
      <c r="AC106">
        <f>D106+AC94*(1-Premissas!$E$26/12)^12</f>
        <v/>
      </c>
    </row>
    <row r="107">
      <c r="A107" t="n">
        <v>104</v>
      </c>
      <c r="B107">
        <f>B106*(1-Premissas!$E$18/12)+Premissas!$E$12</f>
        <v/>
      </c>
      <c r="C107">
        <f>IF($B$2=1,C106*(1-Premissas!$E$26/12)+D107,0)</f>
        <v/>
      </c>
      <c r="D107">
        <f>IF(AND($B$2=1,A107&gt;=Premissas!$E$23),Premissas!$E$22,0)</f>
        <v/>
      </c>
      <c r="E107">
        <f>B107*Premissas!$E$28</f>
        <v/>
      </c>
      <c r="F107">
        <f>B107*Premissas!$E$13/12*MIN(1,A107/Premissas!$E$17)</f>
        <v/>
      </c>
      <c r="G107">
        <f>F107*Premissas!$E$14</f>
        <v/>
      </c>
      <c r="H107">
        <f>IF(IF(A107-1-Premissas!$E$16&gt;=0,OFFSET($J$4,A107-1-Premissas!$E$16,0),0)&gt;0,ROUND(IF(A107-1-Premissas!$E$16&gt;=0,OFFSET($J$4,A107-1-Premissas!$E$16,0),0)*10000/Premissas!$E$5*Premissas!$E$15,0),0)</f>
        <v/>
      </c>
      <c r="I107">
        <f>ROUND(G107*Premissas!$E$6/10000,0)</f>
        <v/>
      </c>
      <c r="J107">
        <f>ROUND(G107*Premissas!$E$5/10000,0)</f>
        <v/>
      </c>
      <c r="K107">
        <f>IF(IF(A107-1-Premissas!$E$16&gt;=0,OFFSET($A$4,A107-1-Premissas!$E$16,0)&gt;=Premissas!$E$19,FALSE),ROUND(IF(A107-1-Premissas!$E$16&gt;=0,OFFSET($J$4,A107-1-Premissas!$E$16,0),0)*Premissas!$E$15,0),0)</f>
        <v/>
      </c>
      <c r="L107">
        <f>ROUND(C107*Premissas!$E$24/12,0)</f>
        <v/>
      </c>
      <c r="M107">
        <f>ROUND(D107*Premissas!$E$25,0)</f>
        <v/>
      </c>
      <c r="N107">
        <f>ROUND(E107*Premissas!$E$29+B107*Premissas!$E$30,0)</f>
        <v/>
      </c>
      <c r="O107">
        <f>K107+L107+M107+N107</f>
        <v/>
      </c>
      <c r="P107">
        <f>K107+ROUND(AC107*Premissas!$E$24,0)+M107+N107</f>
        <v/>
      </c>
      <c r="Q107">
        <f>ROUND(IF(A107-1-Premissas!$E$21&gt;=0,OFFSET($P$4,A107-1-Premissas!$E$21,0),0)*(1-Premissas!$E$20/100),0)</f>
        <v/>
      </c>
      <c r="R107">
        <f>ROUND(F107*Premissas!$E$11+N107*Premissas!$E$31/100,0)+ROUND((E107+B107)*Premissas!$E$10,0)+ROUND(Q107*Premissas!$E$8/100,0)+ROUND(Premissas!$E$35+(B107+C107)*Premissas!$E$36,0)</f>
        <v/>
      </c>
      <c r="S107">
        <f>O107-R107</f>
        <v/>
      </c>
      <c r="T107">
        <f>ROUND(O107*Premissas!$E$9/100,0)</f>
        <v/>
      </c>
      <c r="U107">
        <f>ROUND(AB107*Premissas!$E$33,0)</f>
        <v/>
      </c>
      <c r="V107">
        <f>Premissas!$E$37+ROUND(Premissas!$E$12*Premissas!$E$38+D107*Premissas!$E$27,0)</f>
        <v/>
      </c>
      <c r="W107">
        <f>Premissas!$E$39</f>
        <v/>
      </c>
      <c r="X107">
        <f>S107-T107-ROUND(Premissas!$E$12*Premissas!$E$38+D107*Premissas!$E$27,0)</f>
        <v/>
      </c>
      <c r="Y107">
        <f>O107-R107-T107-U107-V107-W107</f>
        <v/>
      </c>
      <c r="Z107">
        <f>Q107-R107-T107-U107-V107-W107</f>
        <v/>
      </c>
      <c r="AA107">
        <f>AA106+Z107</f>
        <v/>
      </c>
      <c r="AB107">
        <f>Premissas!$E$32+(B107+C107)/Premissas!$E$34</f>
        <v/>
      </c>
      <c r="AC107">
        <f>D107+AC95*(1-Premissas!$E$26/12)^12</f>
        <v/>
      </c>
    </row>
    <row r="108">
      <c r="A108" t="n">
        <v>105</v>
      </c>
      <c r="B108">
        <f>B107*(1-Premissas!$E$18/12)+Premissas!$E$12</f>
        <v/>
      </c>
      <c r="C108">
        <f>IF($B$2=1,C107*(1-Premissas!$E$26/12)+D108,0)</f>
        <v/>
      </c>
      <c r="D108">
        <f>IF(AND($B$2=1,A108&gt;=Premissas!$E$23),Premissas!$E$22,0)</f>
        <v/>
      </c>
      <c r="E108">
        <f>B108*Premissas!$E$28</f>
        <v/>
      </c>
      <c r="F108">
        <f>B108*Premissas!$E$13/12*MIN(1,A108/Premissas!$E$17)</f>
        <v/>
      </c>
      <c r="G108">
        <f>F108*Premissas!$E$14</f>
        <v/>
      </c>
      <c r="H108">
        <f>IF(IF(A108-1-Premissas!$E$16&gt;=0,OFFSET($J$4,A108-1-Premissas!$E$16,0),0)&gt;0,ROUND(IF(A108-1-Premissas!$E$16&gt;=0,OFFSET($J$4,A108-1-Premissas!$E$16,0),0)*10000/Premissas!$E$5*Premissas!$E$15,0),0)</f>
        <v/>
      </c>
      <c r="I108">
        <f>ROUND(G108*Premissas!$E$6/10000,0)</f>
        <v/>
      </c>
      <c r="J108">
        <f>ROUND(G108*Premissas!$E$5/10000,0)</f>
        <v/>
      </c>
      <c r="K108">
        <f>IF(IF(A108-1-Premissas!$E$16&gt;=0,OFFSET($A$4,A108-1-Premissas!$E$16,0)&gt;=Premissas!$E$19,FALSE),ROUND(IF(A108-1-Premissas!$E$16&gt;=0,OFFSET($J$4,A108-1-Premissas!$E$16,0),0)*Premissas!$E$15,0),0)</f>
        <v/>
      </c>
      <c r="L108">
        <f>ROUND(C108*Premissas!$E$24/12,0)</f>
        <v/>
      </c>
      <c r="M108">
        <f>ROUND(D108*Premissas!$E$25,0)</f>
        <v/>
      </c>
      <c r="N108">
        <f>ROUND(E108*Premissas!$E$29+B108*Premissas!$E$30,0)</f>
        <v/>
      </c>
      <c r="O108">
        <f>K108+L108+M108+N108</f>
        <v/>
      </c>
      <c r="P108">
        <f>K108+ROUND(AC108*Premissas!$E$24,0)+M108+N108</f>
        <v/>
      </c>
      <c r="Q108">
        <f>ROUND(IF(A108-1-Premissas!$E$21&gt;=0,OFFSET($P$4,A108-1-Premissas!$E$21,0),0)*(1-Premissas!$E$20/100),0)</f>
        <v/>
      </c>
      <c r="R108">
        <f>ROUND(F108*Premissas!$E$11+N108*Premissas!$E$31/100,0)+ROUND((E108+B108)*Premissas!$E$10,0)+ROUND(Q108*Premissas!$E$8/100,0)+ROUND(Premissas!$E$35+(B108+C108)*Premissas!$E$36,0)</f>
        <v/>
      </c>
      <c r="S108">
        <f>O108-R108</f>
        <v/>
      </c>
      <c r="T108">
        <f>ROUND(O108*Premissas!$E$9/100,0)</f>
        <v/>
      </c>
      <c r="U108">
        <f>ROUND(AB108*Premissas!$E$33,0)</f>
        <v/>
      </c>
      <c r="V108">
        <f>Premissas!$E$37+ROUND(Premissas!$E$12*Premissas!$E$38+D108*Premissas!$E$27,0)</f>
        <v/>
      </c>
      <c r="W108">
        <f>Premissas!$E$39</f>
        <v/>
      </c>
      <c r="X108">
        <f>S108-T108-ROUND(Premissas!$E$12*Premissas!$E$38+D108*Premissas!$E$27,0)</f>
        <v/>
      </c>
      <c r="Y108">
        <f>O108-R108-T108-U108-V108-W108</f>
        <v/>
      </c>
      <c r="Z108">
        <f>Q108-R108-T108-U108-V108-W108</f>
        <v/>
      </c>
      <c r="AA108">
        <f>AA107+Z108</f>
        <v/>
      </c>
      <c r="AB108">
        <f>Premissas!$E$32+(B108+C108)/Premissas!$E$34</f>
        <v/>
      </c>
      <c r="AC108">
        <f>D108+AC96*(1-Premissas!$E$26/12)^12</f>
        <v/>
      </c>
    </row>
    <row r="109">
      <c r="A109" t="n">
        <v>106</v>
      </c>
      <c r="B109">
        <f>B108*(1-Premissas!$E$18/12)+Premissas!$E$12</f>
        <v/>
      </c>
      <c r="C109">
        <f>IF($B$2=1,C108*(1-Premissas!$E$26/12)+D109,0)</f>
        <v/>
      </c>
      <c r="D109">
        <f>IF(AND($B$2=1,A109&gt;=Premissas!$E$23),Premissas!$E$22,0)</f>
        <v/>
      </c>
      <c r="E109">
        <f>B109*Premissas!$E$28</f>
        <v/>
      </c>
      <c r="F109">
        <f>B109*Premissas!$E$13/12*MIN(1,A109/Premissas!$E$17)</f>
        <v/>
      </c>
      <c r="G109">
        <f>F109*Premissas!$E$14</f>
        <v/>
      </c>
      <c r="H109">
        <f>IF(IF(A109-1-Premissas!$E$16&gt;=0,OFFSET($J$4,A109-1-Premissas!$E$16,0),0)&gt;0,ROUND(IF(A109-1-Premissas!$E$16&gt;=0,OFFSET($J$4,A109-1-Premissas!$E$16,0),0)*10000/Premissas!$E$5*Premissas!$E$15,0),0)</f>
        <v/>
      </c>
      <c r="I109">
        <f>ROUND(G109*Premissas!$E$6/10000,0)</f>
        <v/>
      </c>
      <c r="J109">
        <f>ROUND(G109*Premissas!$E$5/10000,0)</f>
        <v/>
      </c>
      <c r="K109">
        <f>IF(IF(A109-1-Premissas!$E$16&gt;=0,OFFSET($A$4,A109-1-Premissas!$E$16,0)&gt;=Premissas!$E$19,FALSE),ROUND(IF(A109-1-Premissas!$E$16&gt;=0,OFFSET($J$4,A109-1-Premissas!$E$16,0),0)*Premissas!$E$15,0),0)</f>
        <v/>
      </c>
      <c r="L109">
        <f>ROUND(C109*Premissas!$E$24/12,0)</f>
        <v/>
      </c>
      <c r="M109">
        <f>ROUND(D109*Premissas!$E$25,0)</f>
        <v/>
      </c>
      <c r="N109">
        <f>ROUND(E109*Premissas!$E$29+B109*Premissas!$E$30,0)</f>
        <v/>
      </c>
      <c r="O109">
        <f>K109+L109+M109+N109</f>
        <v/>
      </c>
      <c r="P109">
        <f>K109+ROUND(AC109*Premissas!$E$24,0)+M109+N109</f>
        <v/>
      </c>
      <c r="Q109">
        <f>ROUND(IF(A109-1-Premissas!$E$21&gt;=0,OFFSET($P$4,A109-1-Premissas!$E$21,0),0)*(1-Premissas!$E$20/100),0)</f>
        <v/>
      </c>
      <c r="R109">
        <f>ROUND(F109*Premissas!$E$11+N109*Premissas!$E$31/100,0)+ROUND((E109+B109)*Premissas!$E$10,0)+ROUND(Q109*Premissas!$E$8/100,0)+ROUND(Premissas!$E$35+(B109+C109)*Premissas!$E$36,0)</f>
        <v/>
      </c>
      <c r="S109">
        <f>O109-R109</f>
        <v/>
      </c>
      <c r="T109">
        <f>ROUND(O109*Premissas!$E$9/100,0)</f>
        <v/>
      </c>
      <c r="U109">
        <f>ROUND(AB109*Premissas!$E$33,0)</f>
        <v/>
      </c>
      <c r="V109">
        <f>Premissas!$E$37+ROUND(Premissas!$E$12*Premissas!$E$38+D109*Premissas!$E$27,0)</f>
        <v/>
      </c>
      <c r="W109">
        <f>Premissas!$E$39</f>
        <v/>
      </c>
      <c r="X109">
        <f>S109-T109-ROUND(Premissas!$E$12*Premissas!$E$38+D109*Premissas!$E$27,0)</f>
        <v/>
      </c>
      <c r="Y109">
        <f>O109-R109-T109-U109-V109-W109</f>
        <v/>
      </c>
      <c r="Z109">
        <f>Q109-R109-T109-U109-V109-W109</f>
        <v/>
      </c>
      <c r="AA109">
        <f>AA108+Z109</f>
        <v/>
      </c>
      <c r="AB109">
        <f>Premissas!$E$32+(B109+C109)/Premissas!$E$34</f>
        <v/>
      </c>
      <c r="AC109">
        <f>D109+AC97*(1-Premissas!$E$26/12)^12</f>
        <v/>
      </c>
    </row>
    <row r="110">
      <c r="A110" t="n">
        <v>107</v>
      </c>
      <c r="B110">
        <f>B109*(1-Premissas!$E$18/12)+Premissas!$E$12</f>
        <v/>
      </c>
      <c r="C110">
        <f>IF($B$2=1,C109*(1-Premissas!$E$26/12)+D110,0)</f>
        <v/>
      </c>
      <c r="D110">
        <f>IF(AND($B$2=1,A110&gt;=Premissas!$E$23),Premissas!$E$22,0)</f>
        <v/>
      </c>
      <c r="E110">
        <f>B110*Premissas!$E$28</f>
        <v/>
      </c>
      <c r="F110">
        <f>B110*Premissas!$E$13/12*MIN(1,A110/Premissas!$E$17)</f>
        <v/>
      </c>
      <c r="G110">
        <f>F110*Premissas!$E$14</f>
        <v/>
      </c>
      <c r="H110">
        <f>IF(IF(A110-1-Premissas!$E$16&gt;=0,OFFSET($J$4,A110-1-Premissas!$E$16,0),0)&gt;0,ROUND(IF(A110-1-Premissas!$E$16&gt;=0,OFFSET($J$4,A110-1-Premissas!$E$16,0),0)*10000/Premissas!$E$5*Premissas!$E$15,0),0)</f>
        <v/>
      </c>
      <c r="I110">
        <f>ROUND(G110*Premissas!$E$6/10000,0)</f>
        <v/>
      </c>
      <c r="J110">
        <f>ROUND(G110*Premissas!$E$5/10000,0)</f>
        <v/>
      </c>
      <c r="K110">
        <f>IF(IF(A110-1-Premissas!$E$16&gt;=0,OFFSET($A$4,A110-1-Premissas!$E$16,0)&gt;=Premissas!$E$19,FALSE),ROUND(IF(A110-1-Premissas!$E$16&gt;=0,OFFSET($J$4,A110-1-Premissas!$E$16,0),0)*Premissas!$E$15,0),0)</f>
        <v/>
      </c>
      <c r="L110">
        <f>ROUND(C110*Premissas!$E$24/12,0)</f>
        <v/>
      </c>
      <c r="M110">
        <f>ROUND(D110*Premissas!$E$25,0)</f>
        <v/>
      </c>
      <c r="N110">
        <f>ROUND(E110*Premissas!$E$29+B110*Premissas!$E$30,0)</f>
        <v/>
      </c>
      <c r="O110">
        <f>K110+L110+M110+N110</f>
        <v/>
      </c>
      <c r="P110">
        <f>K110+ROUND(AC110*Premissas!$E$24,0)+M110+N110</f>
        <v/>
      </c>
      <c r="Q110">
        <f>ROUND(IF(A110-1-Premissas!$E$21&gt;=0,OFFSET($P$4,A110-1-Premissas!$E$21,0),0)*(1-Premissas!$E$20/100),0)</f>
        <v/>
      </c>
      <c r="R110">
        <f>ROUND(F110*Premissas!$E$11+N110*Premissas!$E$31/100,0)+ROUND((E110+B110)*Premissas!$E$10,0)+ROUND(Q110*Premissas!$E$8/100,0)+ROUND(Premissas!$E$35+(B110+C110)*Premissas!$E$36,0)</f>
        <v/>
      </c>
      <c r="S110">
        <f>O110-R110</f>
        <v/>
      </c>
      <c r="T110">
        <f>ROUND(O110*Premissas!$E$9/100,0)</f>
        <v/>
      </c>
      <c r="U110">
        <f>ROUND(AB110*Premissas!$E$33,0)</f>
        <v/>
      </c>
      <c r="V110">
        <f>Premissas!$E$37+ROUND(Premissas!$E$12*Premissas!$E$38+D110*Premissas!$E$27,0)</f>
        <v/>
      </c>
      <c r="W110">
        <f>Premissas!$E$39</f>
        <v/>
      </c>
      <c r="X110">
        <f>S110-T110-ROUND(Premissas!$E$12*Premissas!$E$38+D110*Premissas!$E$27,0)</f>
        <v/>
      </c>
      <c r="Y110">
        <f>O110-R110-T110-U110-V110-W110</f>
        <v/>
      </c>
      <c r="Z110">
        <f>Q110-R110-T110-U110-V110-W110</f>
        <v/>
      </c>
      <c r="AA110">
        <f>AA109+Z110</f>
        <v/>
      </c>
      <c r="AB110">
        <f>Premissas!$E$32+(B110+C110)/Premissas!$E$34</f>
        <v/>
      </c>
      <c r="AC110">
        <f>D110+AC98*(1-Premissas!$E$26/12)^12</f>
        <v/>
      </c>
    </row>
    <row r="111">
      <c r="A111" t="n">
        <v>108</v>
      </c>
      <c r="B111">
        <f>B110*(1-Premissas!$E$18/12)+Premissas!$E$12</f>
        <v/>
      </c>
      <c r="C111">
        <f>IF($B$2=1,C110*(1-Premissas!$E$26/12)+D111,0)</f>
        <v/>
      </c>
      <c r="D111">
        <f>IF(AND($B$2=1,A111&gt;=Premissas!$E$23),Premissas!$E$22,0)</f>
        <v/>
      </c>
      <c r="E111">
        <f>B111*Premissas!$E$28</f>
        <v/>
      </c>
      <c r="F111">
        <f>B111*Premissas!$E$13/12*MIN(1,A111/Premissas!$E$17)</f>
        <v/>
      </c>
      <c r="G111">
        <f>F111*Premissas!$E$14</f>
        <v/>
      </c>
      <c r="H111">
        <f>IF(IF(A111-1-Premissas!$E$16&gt;=0,OFFSET($J$4,A111-1-Premissas!$E$16,0),0)&gt;0,ROUND(IF(A111-1-Premissas!$E$16&gt;=0,OFFSET($J$4,A111-1-Premissas!$E$16,0),0)*10000/Premissas!$E$5*Premissas!$E$15,0),0)</f>
        <v/>
      </c>
      <c r="I111">
        <f>ROUND(G111*Premissas!$E$6/10000,0)</f>
        <v/>
      </c>
      <c r="J111">
        <f>ROUND(G111*Premissas!$E$5/10000,0)</f>
        <v/>
      </c>
      <c r="K111">
        <f>IF(IF(A111-1-Premissas!$E$16&gt;=0,OFFSET($A$4,A111-1-Premissas!$E$16,0)&gt;=Premissas!$E$19,FALSE),ROUND(IF(A111-1-Premissas!$E$16&gt;=0,OFFSET($J$4,A111-1-Premissas!$E$16,0),0)*Premissas!$E$15,0),0)</f>
        <v/>
      </c>
      <c r="L111">
        <f>ROUND(C111*Premissas!$E$24/12,0)</f>
        <v/>
      </c>
      <c r="M111">
        <f>ROUND(D111*Premissas!$E$25,0)</f>
        <v/>
      </c>
      <c r="N111">
        <f>ROUND(E111*Premissas!$E$29+B111*Premissas!$E$30,0)</f>
        <v/>
      </c>
      <c r="O111">
        <f>K111+L111+M111+N111</f>
        <v/>
      </c>
      <c r="P111">
        <f>K111+ROUND(AC111*Premissas!$E$24,0)+M111+N111</f>
        <v/>
      </c>
      <c r="Q111">
        <f>ROUND(IF(A111-1-Premissas!$E$21&gt;=0,OFFSET($P$4,A111-1-Premissas!$E$21,0),0)*(1-Premissas!$E$20/100),0)</f>
        <v/>
      </c>
      <c r="R111">
        <f>ROUND(F111*Premissas!$E$11+N111*Premissas!$E$31/100,0)+ROUND((E111+B111)*Premissas!$E$10,0)+ROUND(Q111*Premissas!$E$8/100,0)+ROUND(Premissas!$E$35+(B111+C111)*Premissas!$E$36,0)</f>
        <v/>
      </c>
      <c r="S111">
        <f>O111-R111</f>
        <v/>
      </c>
      <c r="T111">
        <f>ROUND(O111*Premissas!$E$9/100,0)</f>
        <v/>
      </c>
      <c r="U111">
        <f>ROUND(AB111*Premissas!$E$33,0)</f>
        <v/>
      </c>
      <c r="V111">
        <f>Premissas!$E$37+ROUND(Premissas!$E$12*Premissas!$E$38+D111*Premissas!$E$27,0)</f>
        <v/>
      </c>
      <c r="W111">
        <f>Premissas!$E$39</f>
        <v/>
      </c>
      <c r="X111">
        <f>S111-T111-ROUND(Premissas!$E$12*Premissas!$E$38+D111*Premissas!$E$27,0)</f>
        <v/>
      </c>
      <c r="Y111">
        <f>O111-R111-T111-U111-V111-W111</f>
        <v/>
      </c>
      <c r="Z111">
        <f>Q111-R111-T111-U111-V111-W111</f>
        <v/>
      </c>
      <c r="AA111">
        <f>AA110+Z111</f>
        <v/>
      </c>
      <c r="AB111">
        <f>Premissas!$E$32+(B111+C111)/Premissas!$E$34</f>
        <v/>
      </c>
      <c r="AC111">
        <f>D111+AC99*(1-Premissas!$E$26/12)^12</f>
        <v/>
      </c>
    </row>
    <row r="112">
      <c r="A112" t="n">
        <v>109</v>
      </c>
      <c r="B112">
        <f>B111*(1-Premissas!$E$18/12)+Premissas!$E$12</f>
        <v/>
      </c>
      <c r="C112">
        <f>IF($B$2=1,C111*(1-Premissas!$E$26/12)+D112,0)</f>
        <v/>
      </c>
      <c r="D112">
        <f>IF(AND($B$2=1,A112&gt;=Premissas!$E$23),Premissas!$E$22,0)</f>
        <v/>
      </c>
      <c r="E112">
        <f>B112*Premissas!$E$28</f>
        <v/>
      </c>
      <c r="F112">
        <f>B112*Premissas!$E$13/12*MIN(1,A112/Premissas!$E$17)</f>
        <v/>
      </c>
      <c r="G112">
        <f>F112*Premissas!$E$14</f>
        <v/>
      </c>
      <c r="H112">
        <f>IF(IF(A112-1-Premissas!$E$16&gt;=0,OFFSET($J$4,A112-1-Premissas!$E$16,0),0)&gt;0,ROUND(IF(A112-1-Premissas!$E$16&gt;=0,OFFSET($J$4,A112-1-Premissas!$E$16,0),0)*10000/Premissas!$E$5*Premissas!$E$15,0),0)</f>
        <v/>
      </c>
      <c r="I112">
        <f>ROUND(G112*Premissas!$E$6/10000,0)</f>
        <v/>
      </c>
      <c r="J112">
        <f>ROUND(G112*Premissas!$E$5/10000,0)</f>
        <v/>
      </c>
      <c r="K112">
        <f>IF(IF(A112-1-Premissas!$E$16&gt;=0,OFFSET($A$4,A112-1-Premissas!$E$16,0)&gt;=Premissas!$E$19,FALSE),ROUND(IF(A112-1-Premissas!$E$16&gt;=0,OFFSET($J$4,A112-1-Premissas!$E$16,0),0)*Premissas!$E$15,0),0)</f>
        <v/>
      </c>
      <c r="L112">
        <f>ROUND(C112*Premissas!$E$24/12,0)</f>
        <v/>
      </c>
      <c r="M112">
        <f>ROUND(D112*Premissas!$E$25,0)</f>
        <v/>
      </c>
      <c r="N112">
        <f>ROUND(E112*Premissas!$E$29+B112*Premissas!$E$30,0)</f>
        <v/>
      </c>
      <c r="O112">
        <f>K112+L112+M112+N112</f>
        <v/>
      </c>
      <c r="P112">
        <f>K112+ROUND(AC112*Premissas!$E$24,0)+M112+N112</f>
        <v/>
      </c>
      <c r="Q112">
        <f>ROUND(IF(A112-1-Premissas!$E$21&gt;=0,OFFSET($P$4,A112-1-Premissas!$E$21,0),0)*(1-Premissas!$E$20/100),0)</f>
        <v/>
      </c>
      <c r="R112">
        <f>ROUND(F112*Premissas!$E$11+N112*Premissas!$E$31/100,0)+ROUND((E112+B112)*Premissas!$E$10,0)+ROUND(Q112*Premissas!$E$8/100,0)+ROUND(Premissas!$E$35+(B112+C112)*Premissas!$E$36,0)</f>
        <v/>
      </c>
      <c r="S112">
        <f>O112-R112</f>
        <v/>
      </c>
      <c r="T112">
        <f>ROUND(O112*Premissas!$E$9/100,0)</f>
        <v/>
      </c>
      <c r="U112">
        <f>ROUND(AB112*Premissas!$E$33,0)</f>
        <v/>
      </c>
      <c r="V112">
        <f>Premissas!$E$37+ROUND(Premissas!$E$12*Premissas!$E$38+D112*Premissas!$E$27,0)</f>
        <v/>
      </c>
      <c r="W112">
        <f>Premissas!$E$39</f>
        <v/>
      </c>
      <c r="X112">
        <f>S112-T112-ROUND(Premissas!$E$12*Premissas!$E$38+D112*Premissas!$E$27,0)</f>
        <v/>
      </c>
      <c r="Y112">
        <f>O112-R112-T112-U112-V112-W112</f>
        <v/>
      </c>
      <c r="Z112">
        <f>Q112-R112-T112-U112-V112-W112</f>
        <v/>
      </c>
      <c r="AA112">
        <f>AA111+Z112</f>
        <v/>
      </c>
      <c r="AB112">
        <f>Premissas!$E$32+(B112+C112)/Premissas!$E$34</f>
        <v/>
      </c>
      <c r="AC112">
        <f>D112+AC100*(1-Premissas!$E$26/12)^12</f>
        <v/>
      </c>
    </row>
    <row r="113">
      <c r="A113" t="n">
        <v>110</v>
      </c>
      <c r="B113">
        <f>B112*(1-Premissas!$E$18/12)+Premissas!$E$12</f>
        <v/>
      </c>
      <c r="C113">
        <f>IF($B$2=1,C112*(1-Premissas!$E$26/12)+D113,0)</f>
        <v/>
      </c>
      <c r="D113">
        <f>IF(AND($B$2=1,A113&gt;=Premissas!$E$23),Premissas!$E$22,0)</f>
        <v/>
      </c>
      <c r="E113">
        <f>B113*Premissas!$E$28</f>
        <v/>
      </c>
      <c r="F113">
        <f>B113*Premissas!$E$13/12*MIN(1,A113/Premissas!$E$17)</f>
        <v/>
      </c>
      <c r="G113">
        <f>F113*Premissas!$E$14</f>
        <v/>
      </c>
      <c r="H113">
        <f>IF(IF(A113-1-Premissas!$E$16&gt;=0,OFFSET($J$4,A113-1-Premissas!$E$16,0),0)&gt;0,ROUND(IF(A113-1-Premissas!$E$16&gt;=0,OFFSET($J$4,A113-1-Premissas!$E$16,0),0)*10000/Premissas!$E$5*Premissas!$E$15,0),0)</f>
        <v/>
      </c>
      <c r="I113">
        <f>ROUND(G113*Premissas!$E$6/10000,0)</f>
        <v/>
      </c>
      <c r="J113">
        <f>ROUND(G113*Premissas!$E$5/10000,0)</f>
        <v/>
      </c>
      <c r="K113">
        <f>IF(IF(A113-1-Premissas!$E$16&gt;=0,OFFSET($A$4,A113-1-Premissas!$E$16,0)&gt;=Premissas!$E$19,FALSE),ROUND(IF(A113-1-Premissas!$E$16&gt;=0,OFFSET($J$4,A113-1-Premissas!$E$16,0),0)*Premissas!$E$15,0),0)</f>
        <v/>
      </c>
      <c r="L113">
        <f>ROUND(C113*Premissas!$E$24/12,0)</f>
        <v/>
      </c>
      <c r="M113">
        <f>ROUND(D113*Premissas!$E$25,0)</f>
        <v/>
      </c>
      <c r="N113">
        <f>ROUND(E113*Premissas!$E$29+B113*Premissas!$E$30,0)</f>
        <v/>
      </c>
      <c r="O113">
        <f>K113+L113+M113+N113</f>
        <v/>
      </c>
      <c r="P113">
        <f>K113+ROUND(AC113*Premissas!$E$24,0)+M113+N113</f>
        <v/>
      </c>
      <c r="Q113">
        <f>ROUND(IF(A113-1-Premissas!$E$21&gt;=0,OFFSET($P$4,A113-1-Premissas!$E$21,0),0)*(1-Premissas!$E$20/100),0)</f>
        <v/>
      </c>
      <c r="R113">
        <f>ROUND(F113*Premissas!$E$11+N113*Premissas!$E$31/100,0)+ROUND((E113+B113)*Premissas!$E$10,0)+ROUND(Q113*Premissas!$E$8/100,0)+ROUND(Premissas!$E$35+(B113+C113)*Premissas!$E$36,0)</f>
        <v/>
      </c>
      <c r="S113">
        <f>O113-R113</f>
        <v/>
      </c>
      <c r="T113">
        <f>ROUND(O113*Premissas!$E$9/100,0)</f>
        <v/>
      </c>
      <c r="U113">
        <f>ROUND(AB113*Premissas!$E$33,0)</f>
        <v/>
      </c>
      <c r="V113">
        <f>Premissas!$E$37+ROUND(Premissas!$E$12*Premissas!$E$38+D113*Premissas!$E$27,0)</f>
        <v/>
      </c>
      <c r="W113">
        <f>Premissas!$E$39</f>
        <v/>
      </c>
      <c r="X113">
        <f>S113-T113-ROUND(Premissas!$E$12*Premissas!$E$38+D113*Premissas!$E$27,0)</f>
        <v/>
      </c>
      <c r="Y113">
        <f>O113-R113-T113-U113-V113-W113</f>
        <v/>
      </c>
      <c r="Z113">
        <f>Q113-R113-T113-U113-V113-W113</f>
        <v/>
      </c>
      <c r="AA113">
        <f>AA112+Z113</f>
        <v/>
      </c>
      <c r="AB113">
        <f>Premissas!$E$32+(B113+C113)/Premissas!$E$34</f>
        <v/>
      </c>
      <c r="AC113">
        <f>D113+AC101*(1-Premissas!$E$26/12)^12</f>
        <v/>
      </c>
    </row>
    <row r="114">
      <c r="A114" t="n">
        <v>111</v>
      </c>
      <c r="B114">
        <f>B113*(1-Premissas!$E$18/12)+Premissas!$E$12</f>
        <v/>
      </c>
      <c r="C114">
        <f>IF($B$2=1,C113*(1-Premissas!$E$26/12)+D114,0)</f>
        <v/>
      </c>
      <c r="D114">
        <f>IF(AND($B$2=1,A114&gt;=Premissas!$E$23),Premissas!$E$22,0)</f>
        <v/>
      </c>
      <c r="E114">
        <f>B114*Premissas!$E$28</f>
        <v/>
      </c>
      <c r="F114">
        <f>B114*Premissas!$E$13/12*MIN(1,A114/Premissas!$E$17)</f>
        <v/>
      </c>
      <c r="G114">
        <f>F114*Premissas!$E$14</f>
        <v/>
      </c>
      <c r="H114">
        <f>IF(IF(A114-1-Premissas!$E$16&gt;=0,OFFSET($J$4,A114-1-Premissas!$E$16,0),0)&gt;0,ROUND(IF(A114-1-Premissas!$E$16&gt;=0,OFFSET($J$4,A114-1-Premissas!$E$16,0),0)*10000/Premissas!$E$5*Premissas!$E$15,0),0)</f>
        <v/>
      </c>
      <c r="I114">
        <f>ROUND(G114*Premissas!$E$6/10000,0)</f>
        <v/>
      </c>
      <c r="J114">
        <f>ROUND(G114*Premissas!$E$5/10000,0)</f>
        <v/>
      </c>
      <c r="K114">
        <f>IF(IF(A114-1-Premissas!$E$16&gt;=0,OFFSET($A$4,A114-1-Premissas!$E$16,0)&gt;=Premissas!$E$19,FALSE),ROUND(IF(A114-1-Premissas!$E$16&gt;=0,OFFSET($J$4,A114-1-Premissas!$E$16,0),0)*Premissas!$E$15,0),0)</f>
        <v/>
      </c>
      <c r="L114">
        <f>ROUND(C114*Premissas!$E$24/12,0)</f>
        <v/>
      </c>
      <c r="M114">
        <f>ROUND(D114*Premissas!$E$25,0)</f>
        <v/>
      </c>
      <c r="N114">
        <f>ROUND(E114*Premissas!$E$29+B114*Premissas!$E$30,0)</f>
        <v/>
      </c>
      <c r="O114">
        <f>K114+L114+M114+N114</f>
        <v/>
      </c>
      <c r="P114">
        <f>K114+ROUND(AC114*Premissas!$E$24,0)+M114+N114</f>
        <v/>
      </c>
      <c r="Q114">
        <f>ROUND(IF(A114-1-Premissas!$E$21&gt;=0,OFFSET($P$4,A114-1-Premissas!$E$21,0),0)*(1-Premissas!$E$20/100),0)</f>
        <v/>
      </c>
      <c r="R114">
        <f>ROUND(F114*Premissas!$E$11+N114*Premissas!$E$31/100,0)+ROUND((E114+B114)*Premissas!$E$10,0)+ROUND(Q114*Premissas!$E$8/100,0)+ROUND(Premissas!$E$35+(B114+C114)*Premissas!$E$36,0)</f>
        <v/>
      </c>
      <c r="S114">
        <f>O114-R114</f>
        <v/>
      </c>
      <c r="T114">
        <f>ROUND(O114*Premissas!$E$9/100,0)</f>
        <v/>
      </c>
      <c r="U114">
        <f>ROUND(AB114*Premissas!$E$33,0)</f>
        <v/>
      </c>
      <c r="V114">
        <f>Premissas!$E$37+ROUND(Premissas!$E$12*Premissas!$E$38+D114*Premissas!$E$27,0)</f>
        <v/>
      </c>
      <c r="W114">
        <f>Premissas!$E$39</f>
        <v/>
      </c>
      <c r="X114">
        <f>S114-T114-ROUND(Premissas!$E$12*Premissas!$E$38+D114*Premissas!$E$27,0)</f>
        <v/>
      </c>
      <c r="Y114">
        <f>O114-R114-T114-U114-V114-W114</f>
        <v/>
      </c>
      <c r="Z114">
        <f>Q114-R114-T114-U114-V114-W114</f>
        <v/>
      </c>
      <c r="AA114">
        <f>AA113+Z114</f>
        <v/>
      </c>
      <c r="AB114">
        <f>Premissas!$E$32+(B114+C114)/Premissas!$E$34</f>
        <v/>
      </c>
      <c r="AC114">
        <f>D114+AC102*(1-Premissas!$E$26/12)^12</f>
        <v/>
      </c>
    </row>
    <row r="115">
      <c r="A115" t="n">
        <v>112</v>
      </c>
      <c r="B115">
        <f>B114*(1-Premissas!$E$18/12)+Premissas!$E$12</f>
        <v/>
      </c>
      <c r="C115">
        <f>IF($B$2=1,C114*(1-Premissas!$E$26/12)+D115,0)</f>
        <v/>
      </c>
      <c r="D115">
        <f>IF(AND($B$2=1,A115&gt;=Premissas!$E$23),Premissas!$E$22,0)</f>
        <v/>
      </c>
      <c r="E115">
        <f>B115*Premissas!$E$28</f>
        <v/>
      </c>
      <c r="F115">
        <f>B115*Premissas!$E$13/12*MIN(1,A115/Premissas!$E$17)</f>
        <v/>
      </c>
      <c r="G115">
        <f>F115*Premissas!$E$14</f>
        <v/>
      </c>
      <c r="H115">
        <f>IF(IF(A115-1-Premissas!$E$16&gt;=0,OFFSET($J$4,A115-1-Premissas!$E$16,0),0)&gt;0,ROUND(IF(A115-1-Premissas!$E$16&gt;=0,OFFSET($J$4,A115-1-Premissas!$E$16,0),0)*10000/Premissas!$E$5*Premissas!$E$15,0),0)</f>
        <v/>
      </c>
      <c r="I115">
        <f>ROUND(G115*Premissas!$E$6/10000,0)</f>
        <v/>
      </c>
      <c r="J115">
        <f>ROUND(G115*Premissas!$E$5/10000,0)</f>
        <v/>
      </c>
      <c r="K115">
        <f>IF(IF(A115-1-Premissas!$E$16&gt;=0,OFFSET($A$4,A115-1-Premissas!$E$16,0)&gt;=Premissas!$E$19,FALSE),ROUND(IF(A115-1-Premissas!$E$16&gt;=0,OFFSET($J$4,A115-1-Premissas!$E$16,0),0)*Premissas!$E$15,0),0)</f>
        <v/>
      </c>
      <c r="L115">
        <f>ROUND(C115*Premissas!$E$24/12,0)</f>
        <v/>
      </c>
      <c r="M115">
        <f>ROUND(D115*Premissas!$E$25,0)</f>
        <v/>
      </c>
      <c r="N115">
        <f>ROUND(E115*Premissas!$E$29+B115*Premissas!$E$30,0)</f>
        <v/>
      </c>
      <c r="O115">
        <f>K115+L115+M115+N115</f>
        <v/>
      </c>
      <c r="P115">
        <f>K115+ROUND(AC115*Premissas!$E$24,0)+M115+N115</f>
        <v/>
      </c>
      <c r="Q115">
        <f>ROUND(IF(A115-1-Premissas!$E$21&gt;=0,OFFSET($P$4,A115-1-Premissas!$E$21,0),0)*(1-Premissas!$E$20/100),0)</f>
        <v/>
      </c>
      <c r="R115">
        <f>ROUND(F115*Premissas!$E$11+N115*Premissas!$E$31/100,0)+ROUND((E115+B115)*Premissas!$E$10,0)+ROUND(Q115*Premissas!$E$8/100,0)+ROUND(Premissas!$E$35+(B115+C115)*Premissas!$E$36,0)</f>
        <v/>
      </c>
      <c r="S115">
        <f>O115-R115</f>
        <v/>
      </c>
      <c r="T115">
        <f>ROUND(O115*Premissas!$E$9/100,0)</f>
        <v/>
      </c>
      <c r="U115">
        <f>ROUND(AB115*Premissas!$E$33,0)</f>
        <v/>
      </c>
      <c r="V115">
        <f>Premissas!$E$37+ROUND(Premissas!$E$12*Premissas!$E$38+D115*Premissas!$E$27,0)</f>
        <v/>
      </c>
      <c r="W115">
        <f>Premissas!$E$39</f>
        <v/>
      </c>
      <c r="X115">
        <f>S115-T115-ROUND(Premissas!$E$12*Premissas!$E$38+D115*Premissas!$E$27,0)</f>
        <v/>
      </c>
      <c r="Y115">
        <f>O115-R115-T115-U115-V115-W115</f>
        <v/>
      </c>
      <c r="Z115">
        <f>Q115-R115-T115-U115-V115-W115</f>
        <v/>
      </c>
      <c r="AA115">
        <f>AA114+Z115</f>
        <v/>
      </c>
      <c r="AB115">
        <f>Premissas!$E$32+(B115+C115)/Premissas!$E$34</f>
        <v/>
      </c>
      <c r="AC115">
        <f>D115+AC103*(1-Premissas!$E$26/12)^12</f>
        <v/>
      </c>
    </row>
    <row r="116">
      <c r="A116" t="n">
        <v>113</v>
      </c>
      <c r="B116">
        <f>B115*(1-Premissas!$E$18/12)+Premissas!$E$12</f>
        <v/>
      </c>
      <c r="C116">
        <f>IF($B$2=1,C115*(1-Premissas!$E$26/12)+D116,0)</f>
        <v/>
      </c>
      <c r="D116">
        <f>IF(AND($B$2=1,A116&gt;=Premissas!$E$23),Premissas!$E$22,0)</f>
        <v/>
      </c>
      <c r="E116">
        <f>B116*Premissas!$E$28</f>
        <v/>
      </c>
      <c r="F116">
        <f>B116*Premissas!$E$13/12*MIN(1,A116/Premissas!$E$17)</f>
        <v/>
      </c>
      <c r="G116">
        <f>F116*Premissas!$E$14</f>
        <v/>
      </c>
      <c r="H116">
        <f>IF(IF(A116-1-Premissas!$E$16&gt;=0,OFFSET($J$4,A116-1-Premissas!$E$16,0),0)&gt;0,ROUND(IF(A116-1-Premissas!$E$16&gt;=0,OFFSET($J$4,A116-1-Premissas!$E$16,0),0)*10000/Premissas!$E$5*Premissas!$E$15,0),0)</f>
        <v/>
      </c>
      <c r="I116">
        <f>ROUND(G116*Premissas!$E$6/10000,0)</f>
        <v/>
      </c>
      <c r="J116">
        <f>ROUND(G116*Premissas!$E$5/10000,0)</f>
        <v/>
      </c>
      <c r="K116">
        <f>IF(IF(A116-1-Premissas!$E$16&gt;=0,OFFSET($A$4,A116-1-Premissas!$E$16,0)&gt;=Premissas!$E$19,FALSE),ROUND(IF(A116-1-Premissas!$E$16&gt;=0,OFFSET($J$4,A116-1-Premissas!$E$16,0),0)*Premissas!$E$15,0),0)</f>
        <v/>
      </c>
      <c r="L116">
        <f>ROUND(C116*Premissas!$E$24/12,0)</f>
        <v/>
      </c>
      <c r="M116">
        <f>ROUND(D116*Premissas!$E$25,0)</f>
        <v/>
      </c>
      <c r="N116">
        <f>ROUND(E116*Premissas!$E$29+B116*Premissas!$E$30,0)</f>
        <v/>
      </c>
      <c r="O116">
        <f>K116+L116+M116+N116</f>
        <v/>
      </c>
      <c r="P116">
        <f>K116+ROUND(AC116*Premissas!$E$24,0)+M116+N116</f>
        <v/>
      </c>
      <c r="Q116">
        <f>ROUND(IF(A116-1-Premissas!$E$21&gt;=0,OFFSET($P$4,A116-1-Premissas!$E$21,0),0)*(1-Premissas!$E$20/100),0)</f>
        <v/>
      </c>
      <c r="R116">
        <f>ROUND(F116*Premissas!$E$11+N116*Premissas!$E$31/100,0)+ROUND((E116+B116)*Premissas!$E$10,0)+ROUND(Q116*Premissas!$E$8/100,0)+ROUND(Premissas!$E$35+(B116+C116)*Premissas!$E$36,0)</f>
        <v/>
      </c>
      <c r="S116">
        <f>O116-R116</f>
        <v/>
      </c>
      <c r="T116">
        <f>ROUND(O116*Premissas!$E$9/100,0)</f>
        <v/>
      </c>
      <c r="U116">
        <f>ROUND(AB116*Premissas!$E$33,0)</f>
        <v/>
      </c>
      <c r="V116">
        <f>Premissas!$E$37+ROUND(Premissas!$E$12*Premissas!$E$38+D116*Premissas!$E$27,0)</f>
        <v/>
      </c>
      <c r="W116">
        <f>Premissas!$E$39</f>
        <v/>
      </c>
      <c r="X116">
        <f>S116-T116-ROUND(Premissas!$E$12*Premissas!$E$38+D116*Premissas!$E$27,0)</f>
        <v/>
      </c>
      <c r="Y116">
        <f>O116-R116-T116-U116-V116-W116</f>
        <v/>
      </c>
      <c r="Z116">
        <f>Q116-R116-T116-U116-V116-W116</f>
        <v/>
      </c>
      <c r="AA116">
        <f>AA115+Z116</f>
        <v/>
      </c>
      <c r="AB116">
        <f>Premissas!$E$32+(B116+C116)/Premissas!$E$34</f>
        <v/>
      </c>
      <c r="AC116">
        <f>D116+AC104*(1-Premissas!$E$26/12)^12</f>
        <v/>
      </c>
    </row>
    <row r="117">
      <c r="A117" t="n">
        <v>114</v>
      </c>
      <c r="B117">
        <f>B116*(1-Premissas!$E$18/12)+Premissas!$E$12</f>
        <v/>
      </c>
      <c r="C117">
        <f>IF($B$2=1,C116*(1-Premissas!$E$26/12)+D117,0)</f>
        <v/>
      </c>
      <c r="D117">
        <f>IF(AND($B$2=1,A117&gt;=Premissas!$E$23),Premissas!$E$22,0)</f>
        <v/>
      </c>
      <c r="E117">
        <f>B117*Premissas!$E$28</f>
        <v/>
      </c>
      <c r="F117">
        <f>B117*Premissas!$E$13/12*MIN(1,A117/Premissas!$E$17)</f>
        <v/>
      </c>
      <c r="G117">
        <f>F117*Premissas!$E$14</f>
        <v/>
      </c>
      <c r="H117">
        <f>IF(IF(A117-1-Premissas!$E$16&gt;=0,OFFSET($J$4,A117-1-Premissas!$E$16,0),0)&gt;0,ROUND(IF(A117-1-Premissas!$E$16&gt;=0,OFFSET($J$4,A117-1-Premissas!$E$16,0),0)*10000/Premissas!$E$5*Premissas!$E$15,0),0)</f>
        <v/>
      </c>
      <c r="I117">
        <f>ROUND(G117*Premissas!$E$6/10000,0)</f>
        <v/>
      </c>
      <c r="J117">
        <f>ROUND(G117*Premissas!$E$5/10000,0)</f>
        <v/>
      </c>
      <c r="K117">
        <f>IF(IF(A117-1-Premissas!$E$16&gt;=0,OFFSET($A$4,A117-1-Premissas!$E$16,0)&gt;=Premissas!$E$19,FALSE),ROUND(IF(A117-1-Premissas!$E$16&gt;=0,OFFSET($J$4,A117-1-Premissas!$E$16,0),0)*Premissas!$E$15,0),0)</f>
        <v/>
      </c>
      <c r="L117">
        <f>ROUND(C117*Premissas!$E$24/12,0)</f>
        <v/>
      </c>
      <c r="M117">
        <f>ROUND(D117*Premissas!$E$25,0)</f>
        <v/>
      </c>
      <c r="N117">
        <f>ROUND(E117*Premissas!$E$29+B117*Premissas!$E$30,0)</f>
        <v/>
      </c>
      <c r="O117">
        <f>K117+L117+M117+N117</f>
        <v/>
      </c>
      <c r="P117">
        <f>K117+ROUND(AC117*Premissas!$E$24,0)+M117+N117</f>
        <v/>
      </c>
      <c r="Q117">
        <f>ROUND(IF(A117-1-Premissas!$E$21&gt;=0,OFFSET($P$4,A117-1-Premissas!$E$21,0),0)*(1-Premissas!$E$20/100),0)</f>
        <v/>
      </c>
      <c r="R117">
        <f>ROUND(F117*Premissas!$E$11+N117*Premissas!$E$31/100,0)+ROUND((E117+B117)*Premissas!$E$10,0)+ROUND(Q117*Premissas!$E$8/100,0)+ROUND(Premissas!$E$35+(B117+C117)*Premissas!$E$36,0)</f>
        <v/>
      </c>
      <c r="S117">
        <f>O117-R117</f>
        <v/>
      </c>
      <c r="T117">
        <f>ROUND(O117*Premissas!$E$9/100,0)</f>
        <v/>
      </c>
      <c r="U117">
        <f>ROUND(AB117*Premissas!$E$33,0)</f>
        <v/>
      </c>
      <c r="V117">
        <f>Premissas!$E$37+ROUND(Premissas!$E$12*Premissas!$E$38+D117*Premissas!$E$27,0)</f>
        <v/>
      </c>
      <c r="W117">
        <f>Premissas!$E$39</f>
        <v/>
      </c>
      <c r="X117">
        <f>S117-T117-ROUND(Premissas!$E$12*Premissas!$E$38+D117*Premissas!$E$27,0)</f>
        <v/>
      </c>
      <c r="Y117">
        <f>O117-R117-T117-U117-V117-W117</f>
        <v/>
      </c>
      <c r="Z117">
        <f>Q117-R117-T117-U117-V117-W117</f>
        <v/>
      </c>
      <c r="AA117">
        <f>AA116+Z117</f>
        <v/>
      </c>
      <c r="AB117">
        <f>Premissas!$E$32+(B117+C117)/Premissas!$E$34</f>
        <v/>
      </c>
      <c r="AC117">
        <f>D117+AC105*(1-Premissas!$E$26/12)^12</f>
        <v/>
      </c>
    </row>
    <row r="118">
      <c r="A118" t="n">
        <v>115</v>
      </c>
      <c r="B118">
        <f>B117*(1-Premissas!$E$18/12)+Premissas!$E$12</f>
        <v/>
      </c>
      <c r="C118">
        <f>IF($B$2=1,C117*(1-Premissas!$E$26/12)+D118,0)</f>
        <v/>
      </c>
      <c r="D118">
        <f>IF(AND($B$2=1,A118&gt;=Premissas!$E$23),Premissas!$E$22,0)</f>
        <v/>
      </c>
      <c r="E118">
        <f>B118*Premissas!$E$28</f>
        <v/>
      </c>
      <c r="F118">
        <f>B118*Premissas!$E$13/12*MIN(1,A118/Premissas!$E$17)</f>
        <v/>
      </c>
      <c r="G118">
        <f>F118*Premissas!$E$14</f>
        <v/>
      </c>
      <c r="H118">
        <f>IF(IF(A118-1-Premissas!$E$16&gt;=0,OFFSET($J$4,A118-1-Premissas!$E$16,0),0)&gt;0,ROUND(IF(A118-1-Premissas!$E$16&gt;=0,OFFSET($J$4,A118-1-Premissas!$E$16,0),0)*10000/Premissas!$E$5*Premissas!$E$15,0),0)</f>
        <v/>
      </c>
      <c r="I118">
        <f>ROUND(G118*Premissas!$E$6/10000,0)</f>
        <v/>
      </c>
      <c r="J118">
        <f>ROUND(G118*Premissas!$E$5/10000,0)</f>
        <v/>
      </c>
      <c r="K118">
        <f>IF(IF(A118-1-Premissas!$E$16&gt;=0,OFFSET($A$4,A118-1-Premissas!$E$16,0)&gt;=Premissas!$E$19,FALSE),ROUND(IF(A118-1-Premissas!$E$16&gt;=0,OFFSET($J$4,A118-1-Premissas!$E$16,0),0)*Premissas!$E$15,0),0)</f>
        <v/>
      </c>
      <c r="L118">
        <f>ROUND(C118*Premissas!$E$24/12,0)</f>
        <v/>
      </c>
      <c r="M118">
        <f>ROUND(D118*Premissas!$E$25,0)</f>
        <v/>
      </c>
      <c r="N118">
        <f>ROUND(E118*Premissas!$E$29+B118*Premissas!$E$30,0)</f>
        <v/>
      </c>
      <c r="O118">
        <f>K118+L118+M118+N118</f>
        <v/>
      </c>
      <c r="P118">
        <f>K118+ROUND(AC118*Premissas!$E$24,0)+M118+N118</f>
        <v/>
      </c>
      <c r="Q118">
        <f>ROUND(IF(A118-1-Premissas!$E$21&gt;=0,OFFSET($P$4,A118-1-Premissas!$E$21,0),0)*(1-Premissas!$E$20/100),0)</f>
        <v/>
      </c>
      <c r="R118">
        <f>ROUND(F118*Premissas!$E$11+N118*Premissas!$E$31/100,0)+ROUND((E118+B118)*Premissas!$E$10,0)+ROUND(Q118*Premissas!$E$8/100,0)+ROUND(Premissas!$E$35+(B118+C118)*Premissas!$E$36,0)</f>
        <v/>
      </c>
      <c r="S118">
        <f>O118-R118</f>
        <v/>
      </c>
      <c r="T118">
        <f>ROUND(O118*Premissas!$E$9/100,0)</f>
        <v/>
      </c>
      <c r="U118">
        <f>ROUND(AB118*Premissas!$E$33,0)</f>
        <v/>
      </c>
      <c r="V118">
        <f>Premissas!$E$37+ROUND(Premissas!$E$12*Premissas!$E$38+D118*Premissas!$E$27,0)</f>
        <v/>
      </c>
      <c r="W118">
        <f>Premissas!$E$39</f>
        <v/>
      </c>
      <c r="X118">
        <f>S118-T118-ROUND(Premissas!$E$12*Premissas!$E$38+D118*Premissas!$E$27,0)</f>
        <v/>
      </c>
      <c r="Y118">
        <f>O118-R118-T118-U118-V118-W118</f>
        <v/>
      </c>
      <c r="Z118">
        <f>Q118-R118-T118-U118-V118-W118</f>
        <v/>
      </c>
      <c r="AA118">
        <f>AA117+Z118</f>
        <v/>
      </c>
      <c r="AB118">
        <f>Premissas!$E$32+(B118+C118)/Premissas!$E$34</f>
        <v/>
      </c>
      <c r="AC118">
        <f>D118+AC106*(1-Premissas!$E$26/12)^12</f>
        <v/>
      </c>
    </row>
    <row r="119">
      <c r="A119" t="n">
        <v>116</v>
      </c>
      <c r="B119">
        <f>B118*(1-Premissas!$E$18/12)+Premissas!$E$12</f>
        <v/>
      </c>
      <c r="C119">
        <f>IF($B$2=1,C118*(1-Premissas!$E$26/12)+D119,0)</f>
        <v/>
      </c>
      <c r="D119">
        <f>IF(AND($B$2=1,A119&gt;=Premissas!$E$23),Premissas!$E$22,0)</f>
        <v/>
      </c>
      <c r="E119">
        <f>B119*Premissas!$E$28</f>
        <v/>
      </c>
      <c r="F119">
        <f>B119*Premissas!$E$13/12*MIN(1,A119/Premissas!$E$17)</f>
        <v/>
      </c>
      <c r="G119">
        <f>F119*Premissas!$E$14</f>
        <v/>
      </c>
      <c r="H119">
        <f>IF(IF(A119-1-Premissas!$E$16&gt;=0,OFFSET($J$4,A119-1-Premissas!$E$16,0),0)&gt;0,ROUND(IF(A119-1-Premissas!$E$16&gt;=0,OFFSET($J$4,A119-1-Premissas!$E$16,0),0)*10000/Premissas!$E$5*Premissas!$E$15,0),0)</f>
        <v/>
      </c>
      <c r="I119">
        <f>ROUND(G119*Premissas!$E$6/10000,0)</f>
        <v/>
      </c>
      <c r="J119">
        <f>ROUND(G119*Premissas!$E$5/10000,0)</f>
        <v/>
      </c>
      <c r="K119">
        <f>IF(IF(A119-1-Premissas!$E$16&gt;=0,OFFSET($A$4,A119-1-Premissas!$E$16,0)&gt;=Premissas!$E$19,FALSE),ROUND(IF(A119-1-Premissas!$E$16&gt;=0,OFFSET($J$4,A119-1-Premissas!$E$16,0),0)*Premissas!$E$15,0),0)</f>
        <v/>
      </c>
      <c r="L119">
        <f>ROUND(C119*Premissas!$E$24/12,0)</f>
        <v/>
      </c>
      <c r="M119">
        <f>ROUND(D119*Premissas!$E$25,0)</f>
        <v/>
      </c>
      <c r="N119">
        <f>ROUND(E119*Premissas!$E$29+B119*Premissas!$E$30,0)</f>
        <v/>
      </c>
      <c r="O119">
        <f>K119+L119+M119+N119</f>
        <v/>
      </c>
      <c r="P119">
        <f>K119+ROUND(AC119*Premissas!$E$24,0)+M119+N119</f>
        <v/>
      </c>
      <c r="Q119">
        <f>ROUND(IF(A119-1-Premissas!$E$21&gt;=0,OFFSET($P$4,A119-1-Premissas!$E$21,0),0)*(1-Premissas!$E$20/100),0)</f>
        <v/>
      </c>
      <c r="R119">
        <f>ROUND(F119*Premissas!$E$11+N119*Premissas!$E$31/100,0)+ROUND((E119+B119)*Premissas!$E$10,0)+ROUND(Q119*Premissas!$E$8/100,0)+ROUND(Premissas!$E$35+(B119+C119)*Premissas!$E$36,0)</f>
        <v/>
      </c>
      <c r="S119">
        <f>O119-R119</f>
        <v/>
      </c>
      <c r="T119">
        <f>ROUND(O119*Premissas!$E$9/100,0)</f>
        <v/>
      </c>
      <c r="U119">
        <f>ROUND(AB119*Premissas!$E$33,0)</f>
        <v/>
      </c>
      <c r="V119">
        <f>Premissas!$E$37+ROUND(Premissas!$E$12*Premissas!$E$38+D119*Premissas!$E$27,0)</f>
        <v/>
      </c>
      <c r="W119">
        <f>Premissas!$E$39</f>
        <v/>
      </c>
      <c r="X119">
        <f>S119-T119-ROUND(Premissas!$E$12*Premissas!$E$38+D119*Premissas!$E$27,0)</f>
        <v/>
      </c>
      <c r="Y119">
        <f>O119-R119-T119-U119-V119-W119</f>
        <v/>
      </c>
      <c r="Z119">
        <f>Q119-R119-T119-U119-V119-W119</f>
        <v/>
      </c>
      <c r="AA119">
        <f>AA118+Z119</f>
        <v/>
      </c>
      <c r="AB119">
        <f>Premissas!$E$32+(B119+C119)/Premissas!$E$34</f>
        <v/>
      </c>
      <c r="AC119">
        <f>D119+AC107*(1-Premissas!$E$26/12)^12</f>
        <v/>
      </c>
    </row>
    <row r="120">
      <c r="A120" t="n">
        <v>117</v>
      </c>
      <c r="B120">
        <f>B119*(1-Premissas!$E$18/12)+Premissas!$E$12</f>
        <v/>
      </c>
      <c r="C120">
        <f>IF($B$2=1,C119*(1-Premissas!$E$26/12)+D120,0)</f>
        <v/>
      </c>
      <c r="D120">
        <f>IF(AND($B$2=1,A120&gt;=Premissas!$E$23),Premissas!$E$22,0)</f>
        <v/>
      </c>
      <c r="E120">
        <f>B120*Premissas!$E$28</f>
        <v/>
      </c>
      <c r="F120">
        <f>B120*Premissas!$E$13/12*MIN(1,A120/Premissas!$E$17)</f>
        <v/>
      </c>
      <c r="G120">
        <f>F120*Premissas!$E$14</f>
        <v/>
      </c>
      <c r="H120">
        <f>IF(IF(A120-1-Premissas!$E$16&gt;=0,OFFSET($J$4,A120-1-Premissas!$E$16,0),0)&gt;0,ROUND(IF(A120-1-Premissas!$E$16&gt;=0,OFFSET($J$4,A120-1-Premissas!$E$16,0),0)*10000/Premissas!$E$5*Premissas!$E$15,0),0)</f>
        <v/>
      </c>
      <c r="I120">
        <f>ROUND(G120*Premissas!$E$6/10000,0)</f>
        <v/>
      </c>
      <c r="J120">
        <f>ROUND(G120*Premissas!$E$5/10000,0)</f>
        <v/>
      </c>
      <c r="K120">
        <f>IF(IF(A120-1-Premissas!$E$16&gt;=0,OFFSET($A$4,A120-1-Premissas!$E$16,0)&gt;=Premissas!$E$19,FALSE),ROUND(IF(A120-1-Premissas!$E$16&gt;=0,OFFSET($J$4,A120-1-Premissas!$E$16,0),0)*Premissas!$E$15,0),0)</f>
        <v/>
      </c>
      <c r="L120">
        <f>ROUND(C120*Premissas!$E$24/12,0)</f>
        <v/>
      </c>
      <c r="M120">
        <f>ROUND(D120*Premissas!$E$25,0)</f>
        <v/>
      </c>
      <c r="N120">
        <f>ROUND(E120*Premissas!$E$29+B120*Premissas!$E$30,0)</f>
        <v/>
      </c>
      <c r="O120">
        <f>K120+L120+M120+N120</f>
        <v/>
      </c>
      <c r="P120">
        <f>K120+ROUND(AC120*Premissas!$E$24,0)+M120+N120</f>
        <v/>
      </c>
      <c r="Q120">
        <f>ROUND(IF(A120-1-Premissas!$E$21&gt;=0,OFFSET($P$4,A120-1-Premissas!$E$21,0),0)*(1-Premissas!$E$20/100),0)</f>
        <v/>
      </c>
      <c r="R120">
        <f>ROUND(F120*Premissas!$E$11+N120*Premissas!$E$31/100,0)+ROUND((E120+B120)*Premissas!$E$10,0)+ROUND(Q120*Premissas!$E$8/100,0)+ROUND(Premissas!$E$35+(B120+C120)*Premissas!$E$36,0)</f>
        <v/>
      </c>
      <c r="S120">
        <f>O120-R120</f>
        <v/>
      </c>
      <c r="T120">
        <f>ROUND(O120*Premissas!$E$9/100,0)</f>
        <v/>
      </c>
      <c r="U120">
        <f>ROUND(AB120*Premissas!$E$33,0)</f>
        <v/>
      </c>
      <c r="V120">
        <f>Premissas!$E$37+ROUND(Premissas!$E$12*Premissas!$E$38+D120*Premissas!$E$27,0)</f>
        <v/>
      </c>
      <c r="W120">
        <f>Premissas!$E$39</f>
        <v/>
      </c>
      <c r="X120">
        <f>S120-T120-ROUND(Premissas!$E$12*Premissas!$E$38+D120*Premissas!$E$27,0)</f>
        <v/>
      </c>
      <c r="Y120">
        <f>O120-R120-T120-U120-V120-W120</f>
        <v/>
      </c>
      <c r="Z120">
        <f>Q120-R120-T120-U120-V120-W120</f>
        <v/>
      </c>
      <c r="AA120">
        <f>AA119+Z120</f>
        <v/>
      </c>
      <c r="AB120">
        <f>Premissas!$E$32+(B120+C120)/Premissas!$E$34</f>
        <v/>
      </c>
      <c r="AC120">
        <f>D120+AC108*(1-Premissas!$E$26/12)^12</f>
        <v/>
      </c>
    </row>
    <row r="121">
      <c r="A121" t="n">
        <v>118</v>
      </c>
      <c r="B121">
        <f>B120*(1-Premissas!$E$18/12)+Premissas!$E$12</f>
        <v/>
      </c>
      <c r="C121">
        <f>IF($B$2=1,C120*(1-Premissas!$E$26/12)+D121,0)</f>
        <v/>
      </c>
      <c r="D121">
        <f>IF(AND($B$2=1,A121&gt;=Premissas!$E$23),Premissas!$E$22,0)</f>
        <v/>
      </c>
      <c r="E121">
        <f>B121*Premissas!$E$28</f>
        <v/>
      </c>
      <c r="F121">
        <f>B121*Premissas!$E$13/12*MIN(1,A121/Premissas!$E$17)</f>
        <v/>
      </c>
      <c r="G121">
        <f>F121*Premissas!$E$14</f>
        <v/>
      </c>
      <c r="H121">
        <f>IF(IF(A121-1-Premissas!$E$16&gt;=0,OFFSET($J$4,A121-1-Premissas!$E$16,0),0)&gt;0,ROUND(IF(A121-1-Premissas!$E$16&gt;=0,OFFSET($J$4,A121-1-Premissas!$E$16,0),0)*10000/Premissas!$E$5*Premissas!$E$15,0),0)</f>
        <v/>
      </c>
      <c r="I121">
        <f>ROUND(G121*Premissas!$E$6/10000,0)</f>
        <v/>
      </c>
      <c r="J121">
        <f>ROUND(G121*Premissas!$E$5/10000,0)</f>
        <v/>
      </c>
      <c r="K121">
        <f>IF(IF(A121-1-Premissas!$E$16&gt;=0,OFFSET($A$4,A121-1-Premissas!$E$16,0)&gt;=Premissas!$E$19,FALSE),ROUND(IF(A121-1-Premissas!$E$16&gt;=0,OFFSET($J$4,A121-1-Premissas!$E$16,0),0)*Premissas!$E$15,0),0)</f>
        <v/>
      </c>
      <c r="L121">
        <f>ROUND(C121*Premissas!$E$24/12,0)</f>
        <v/>
      </c>
      <c r="M121">
        <f>ROUND(D121*Premissas!$E$25,0)</f>
        <v/>
      </c>
      <c r="N121">
        <f>ROUND(E121*Premissas!$E$29+B121*Premissas!$E$30,0)</f>
        <v/>
      </c>
      <c r="O121">
        <f>K121+L121+M121+N121</f>
        <v/>
      </c>
      <c r="P121">
        <f>K121+ROUND(AC121*Premissas!$E$24,0)+M121+N121</f>
        <v/>
      </c>
      <c r="Q121">
        <f>ROUND(IF(A121-1-Premissas!$E$21&gt;=0,OFFSET($P$4,A121-1-Premissas!$E$21,0),0)*(1-Premissas!$E$20/100),0)</f>
        <v/>
      </c>
      <c r="R121">
        <f>ROUND(F121*Premissas!$E$11+N121*Premissas!$E$31/100,0)+ROUND((E121+B121)*Premissas!$E$10,0)+ROUND(Q121*Premissas!$E$8/100,0)+ROUND(Premissas!$E$35+(B121+C121)*Premissas!$E$36,0)</f>
        <v/>
      </c>
      <c r="S121">
        <f>O121-R121</f>
        <v/>
      </c>
      <c r="T121">
        <f>ROUND(O121*Premissas!$E$9/100,0)</f>
        <v/>
      </c>
      <c r="U121">
        <f>ROUND(AB121*Premissas!$E$33,0)</f>
        <v/>
      </c>
      <c r="V121">
        <f>Premissas!$E$37+ROUND(Premissas!$E$12*Premissas!$E$38+D121*Premissas!$E$27,0)</f>
        <v/>
      </c>
      <c r="W121">
        <f>Premissas!$E$39</f>
        <v/>
      </c>
      <c r="X121">
        <f>S121-T121-ROUND(Premissas!$E$12*Premissas!$E$38+D121*Premissas!$E$27,0)</f>
        <v/>
      </c>
      <c r="Y121">
        <f>O121-R121-T121-U121-V121-W121</f>
        <v/>
      </c>
      <c r="Z121">
        <f>Q121-R121-T121-U121-V121-W121</f>
        <v/>
      </c>
      <c r="AA121">
        <f>AA120+Z121</f>
        <v/>
      </c>
      <c r="AB121">
        <f>Premissas!$E$32+(B121+C121)/Premissas!$E$34</f>
        <v/>
      </c>
      <c r="AC121">
        <f>D121+AC109*(1-Premissas!$E$26/12)^12</f>
        <v/>
      </c>
    </row>
    <row r="122">
      <c r="A122" t="n">
        <v>119</v>
      </c>
      <c r="B122">
        <f>B121*(1-Premissas!$E$18/12)+Premissas!$E$12</f>
        <v/>
      </c>
      <c r="C122">
        <f>IF($B$2=1,C121*(1-Premissas!$E$26/12)+D122,0)</f>
        <v/>
      </c>
      <c r="D122">
        <f>IF(AND($B$2=1,A122&gt;=Premissas!$E$23),Premissas!$E$22,0)</f>
        <v/>
      </c>
      <c r="E122">
        <f>B122*Premissas!$E$28</f>
        <v/>
      </c>
      <c r="F122">
        <f>B122*Premissas!$E$13/12*MIN(1,A122/Premissas!$E$17)</f>
        <v/>
      </c>
      <c r="G122">
        <f>F122*Premissas!$E$14</f>
        <v/>
      </c>
      <c r="H122">
        <f>IF(IF(A122-1-Premissas!$E$16&gt;=0,OFFSET($J$4,A122-1-Premissas!$E$16,0),0)&gt;0,ROUND(IF(A122-1-Premissas!$E$16&gt;=0,OFFSET($J$4,A122-1-Premissas!$E$16,0),0)*10000/Premissas!$E$5*Premissas!$E$15,0),0)</f>
        <v/>
      </c>
      <c r="I122">
        <f>ROUND(G122*Premissas!$E$6/10000,0)</f>
        <v/>
      </c>
      <c r="J122">
        <f>ROUND(G122*Premissas!$E$5/10000,0)</f>
        <v/>
      </c>
      <c r="K122">
        <f>IF(IF(A122-1-Premissas!$E$16&gt;=0,OFFSET($A$4,A122-1-Premissas!$E$16,0)&gt;=Premissas!$E$19,FALSE),ROUND(IF(A122-1-Premissas!$E$16&gt;=0,OFFSET($J$4,A122-1-Premissas!$E$16,0),0)*Premissas!$E$15,0),0)</f>
        <v/>
      </c>
      <c r="L122">
        <f>ROUND(C122*Premissas!$E$24/12,0)</f>
        <v/>
      </c>
      <c r="M122">
        <f>ROUND(D122*Premissas!$E$25,0)</f>
        <v/>
      </c>
      <c r="N122">
        <f>ROUND(E122*Premissas!$E$29+B122*Premissas!$E$30,0)</f>
        <v/>
      </c>
      <c r="O122">
        <f>K122+L122+M122+N122</f>
        <v/>
      </c>
      <c r="P122">
        <f>K122+ROUND(AC122*Premissas!$E$24,0)+M122+N122</f>
        <v/>
      </c>
      <c r="Q122">
        <f>ROUND(IF(A122-1-Premissas!$E$21&gt;=0,OFFSET($P$4,A122-1-Premissas!$E$21,0),0)*(1-Premissas!$E$20/100),0)</f>
        <v/>
      </c>
      <c r="R122">
        <f>ROUND(F122*Premissas!$E$11+N122*Premissas!$E$31/100,0)+ROUND((E122+B122)*Premissas!$E$10,0)+ROUND(Q122*Premissas!$E$8/100,0)+ROUND(Premissas!$E$35+(B122+C122)*Premissas!$E$36,0)</f>
        <v/>
      </c>
      <c r="S122">
        <f>O122-R122</f>
        <v/>
      </c>
      <c r="T122">
        <f>ROUND(O122*Premissas!$E$9/100,0)</f>
        <v/>
      </c>
      <c r="U122">
        <f>ROUND(AB122*Premissas!$E$33,0)</f>
        <v/>
      </c>
      <c r="V122">
        <f>Premissas!$E$37+ROUND(Premissas!$E$12*Premissas!$E$38+D122*Premissas!$E$27,0)</f>
        <v/>
      </c>
      <c r="W122">
        <f>Premissas!$E$39</f>
        <v/>
      </c>
      <c r="X122">
        <f>S122-T122-ROUND(Premissas!$E$12*Premissas!$E$38+D122*Premissas!$E$27,0)</f>
        <v/>
      </c>
      <c r="Y122">
        <f>O122-R122-T122-U122-V122-W122</f>
        <v/>
      </c>
      <c r="Z122">
        <f>Q122-R122-T122-U122-V122-W122</f>
        <v/>
      </c>
      <c r="AA122">
        <f>AA121+Z122</f>
        <v/>
      </c>
      <c r="AB122">
        <f>Premissas!$E$32+(B122+C122)/Premissas!$E$34</f>
        <v/>
      </c>
      <c r="AC122">
        <f>D122+AC110*(1-Premissas!$E$26/12)^12</f>
        <v/>
      </c>
    </row>
    <row r="123">
      <c r="A123" t="n">
        <v>120</v>
      </c>
      <c r="B123">
        <f>B122*(1-Premissas!$E$18/12)+Premissas!$E$12</f>
        <v/>
      </c>
      <c r="C123">
        <f>IF($B$2=1,C122*(1-Premissas!$E$26/12)+D123,0)</f>
        <v/>
      </c>
      <c r="D123">
        <f>IF(AND($B$2=1,A123&gt;=Premissas!$E$23),Premissas!$E$22,0)</f>
        <v/>
      </c>
      <c r="E123">
        <f>B123*Premissas!$E$28</f>
        <v/>
      </c>
      <c r="F123">
        <f>B123*Premissas!$E$13/12*MIN(1,A123/Premissas!$E$17)</f>
        <v/>
      </c>
      <c r="G123">
        <f>F123*Premissas!$E$14</f>
        <v/>
      </c>
      <c r="H123">
        <f>IF(IF(A123-1-Premissas!$E$16&gt;=0,OFFSET($J$4,A123-1-Premissas!$E$16,0),0)&gt;0,ROUND(IF(A123-1-Premissas!$E$16&gt;=0,OFFSET($J$4,A123-1-Premissas!$E$16,0),0)*10000/Premissas!$E$5*Premissas!$E$15,0),0)</f>
        <v/>
      </c>
      <c r="I123">
        <f>ROUND(G123*Premissas!$E$6/10000,0)</f>
        <v/>
      </c>
      <c r="J123">
        <f>ROUND(G123*Premissas!$E$5/10000,0)</f>
        <v/>
      </c>
      <c r="K123">
        <f>IF(IF(A123-1-Premissas!$E$16&gt;=0,OFFSET($A$4,A123-1-Premissas!$E$16,0)&gt;=Premissas!$E$19,FALSE),ROUND(IF(A123-1-Premissas!$E$16&gt;=0,OFFSET($J$4,A123-1-Premissas!$E$16,0),0)*Premissas!$E$15,0),0)</f>
        <v/>
      </c>
      <c r="L123">
        <f>ROUND(C123*Premissas!$E$24/12,0)</f>
        <v/>
      </c>
      <c r="M123">
        <f>ROUND(D123*Premissas!$E$25,0)</f>
        <v/>
      </c>
      <c r="N123">
        <f>ROUND(E123*Premissas!$E$29+B123*Premissas!$E$30,0)</f>
        <v/>
      </c>
      <c r="O123">
        <f>K123+L123+M123+N123</f>
        <v/>
      </c>
      <c r="P123">
        <f>K123+ROUND(AC123*Premissas!$E$24,0)+M123+N123</f>
        <v/>
      </c>
      <c r="Q123">
        <f>ROUND(IF(A123-1-Premissas!$E$21&gt;=0,OFFSET($P$4,A123-1-Premissas!$E$21,0),0)*(1-Premissas!$E$20/100),0)</f>
        <v/>
      </c>
      <c r="R123">
        <f>ROUND(F123*Premissas!$E$11+N123*Premissas!$E$31/100,0)+ROUND((E123+B123)*Premissas!$E$10,0)+ROUND(Q123*Premissas!$E$8/100,0)+ROUND(Premissas!$E$35+(B123+C123)*Premissas!$E$36,0)</f>
        <v/>
      </c>
      <c r="S123">
        <f>O123-R123</f>
        <v/>
      </c>
      <c r="T123">
        <f>ROUND(O123*Premissas!$E$9/100,0)</f>
        <v/>
      </c>
      <c r="U123">
        <f>ROUND(AB123*Premissas!$E$33,0)</f>
        <v/>
      </c>
      <c r="V123">
        <f>Premissas!$E$37+ROUND(Premissas!$E$12*Premissas!$E$38+D123*Premissas!$E$27,0)</f>
        <v/>
      </c>
      <c r="W123">
        <f>Premissas!$E$39</f>
        <v/>
      </c>
      <c r="X123">
        <f>S123-T123-ROUND(Premissas!$E$12*Premissas!$E$38+D123*Premissas!$E$27,0)</f>
        <v/>
      </c>
      <c r="Y123">
        <f>O123-R123-T123-U123-V123-W123</f>
        <v/>
      </c>
      <c r="Z123">
        <f>Q123-R123-T123-U123-V123-W123</f>
        <v/>
      </c>
      <c r="AA123">
        <f>AA122+Z123</f>
        <v/>
      </c>
      <c r="AB123">
        <f>Premissas!$E$32+(B123+C123)/Premissas!$E$34</f>
        <v/>
      </c>
      <c r="AC123">
        <f>D123+AC111*(1-Premissas!$E$26/12)^12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Marcos M6/M12/M24/M48/M120 — valores em R$ (calculados pelo mesmo motor em Python; a conferência com a planilha recalculada está no relatório)</t>
        </is>
      </c>
    </row>
    <row r="2">
      <c r="A2" t="inlineStr">
        <is>
          <t>cenário</t>
        </is>
      </c>
      <c r="B2" t="inlineStr">
        <is>
          <t>desenho</t>
        </is>
      </c>
      <c r="C2" t="inlineStr">
        <is>
          <t>marco</t>
        </is>
      </c>
      <c r="D2" t="inlineStr">
        <is>
          <t>financiadores</t>
        </is>
      </c>
      <c r="E2" t="inlineStr">
        <is>
          <t>contratos inst.</t>
        </is>
      </c>
      <c r="F2" t="inlineStr">
        <is>
          <t>ARR software</t>
        </is>
      </c>
      <c r="G2" t="inlineStr">
        <is>
          <t>receita 12m</t>
        </is>
      </c>
      <c r="H2" t="inlineStr">
        <is>
          <t>taxa 12m</t>
        </is>
      </c>
      <c r="I2" t="inlineStr">
        <is>
          <t>software 12m</t>
        </is>
      </c>
      <c r="J2" t="inlineStr">
        <is>
          <t>serviços 12m</t>
        </is>
      </c>
      <c r="K2" t="inlineStr">
        <is>
          <t>GMV originado 12m</t>
        </is>
      </c>
      <c r="L2" t="inlineStr">
        <is>
          <t>GMV quitado 12m</t>
        </is>
      </c>
      <c r="M2" t="inlineStr">
        <is>
          <t>EBITDA 12m</t>
        </is>
      </c>
      <c r="N2" t="inlineStr">
        <is>
          <t>caixa</t>
        </is>
      </c>
      <c r="O2" t="inlineStr">
        <is>
          <t>mínimo de caixa até aqui</t>
        </is>
      </c>
      <c r="P2" t="inlineStr">
        <is>
          <t>EV (após desconto)</t>
        </is>
      </c>
      <c r="Q2" t="inlineStr">
        <is>
          <t>patrimônio teórico do fundador</t>
        </is>
      </c>
    </row>
    <row r="3">
      <c r="A3" t="inlineStr">
        <is>
          <t>conservador</t>
        </is>
      </c>
      <c r="B3" t="inlineStr">
        <is>
          <t>atual</t>
        </is>
      </c>
      <c r="C3" t="inlineStr">
        <is>
          <t>M6</t>
        </is>
      </c>
      <c r="D3" t="n">
        <v>17.1</v>
      </c>
      <c r="E3" t="n">
        <v>0</v>
      </c>
      <c r="F3" t="n">
        <v>0</v>
      </c>
      <c r="G3" t="n">
        <v>1582.3</v>
      </c>
      <c r="H3" t="n">
        <v>0</v>
      </c>
      <c r="I3" t="n">
        <v>0</v>
      </c>
      <c r="J3" t="n">
        <v>1582.3</v>
      </c>
      <c r="K3" t="n">
        <v>182156.53</v>
      </c>
      <c r="L3" t="n">
        <v>0</v>
      </c>
      <c r="M3" t="n">
        <v>-368485.3</v>
      </c>
      <c r="N3" t="n">
        <v>-369364.79</v>
      </c>
      <c r="O3" t="n">
        <v>-369364.79</v>
      </c>
      <c r="P3" t="n">
        <v>870.26</v>
      </c>
      <c r="Q3" t="n">
        <v>870.26</v>
      </c>
    </row>
    <row r="4">
      <c r="A4" t="inlineStr">
        <is>
          <t>conservador</t>
        </is>
      </c>
      <c r="B4" t="inlineStr">
        <is>
          <t>atual</t>
        </is>
      </c>
      <c r="C4" t="inlineStr">
        <is>
          <t>M12</t>
        </is>
      </c>
      <c r="D4" t="n">
        <v>32.1</v>
      </c>
      <c r="E4" t="n">
        <v>0</v>
      </c>
      <c r="F4" t="n">
        <v>0</v>
      </c>
      <c r="G4" t="n">
        <v>5642.58</v>
      </c>
      <c r="H4" t="n">
        <v>0</v>
      </c>
      <c r="I4" t="n">
        <v>0</v>
      </c>
      <c r="J4" t="n">
        <v>5642.58</v>
      </c>
      <c r="K4" t="n">
        <v>832842.03</v>
      </c>
      <c r="L4" t="n">
        <v>109293.94</v>
      </c>
      <c r="M4" t="n">
        <v>-816046.13</v>
      </c>
      <c r="N4" t="n">
        <v>-817978.58</v>
      </c>
      <c r="O4" t="n">
        <v>-817978.58</v>
      </c>
      <c r="P4" t="n">
        <v>3103.42</v>
      </c>
      <c r="Q4" t="n">
        <v>2637.91</v>
      </c>
    </row>
    <row r="5">
      <c r="A5" t="inlineStr">
        <is>
          <t>conservador</t>
        </is>
      </c>
      <c r="B5" t="inlineStr">
        <is>
          <t>atual</t>
        </is>
      </c>
      <c r="C5" t="inlineStr">
        <is>
          <t>M24</t>
        </is>
      </c>
      <c r="D5" t="n">
        <v>57.1</v>
      </c>
      <c r="E5" t="n">
        <v>0</v>
      </c>
      <c r="F5" t="n">
        <v>0</v>
      </c>
      <c r="G5" t="n">
        <v>35427.32</v>
      </c>
      <c r="H5" t="n">
        <v>21014.14</v>
      </c>
      <c r="I5" t="n">
        <v>0</v>
      </c>
      <c r="J5" t="n">
        <v>14413.18</v>
      </c>
      <c r="K5" t="n">
        <v>2309803.18</v>
      </c>
      <c r="L5" t="n">
        <v>990815.3199999999</v>
      </c>
      <c r="M5" t="n">
        <v>-1076854.25</v>
      </c>
      <c r="N5" t="n">
        <v>-1906018.39</v>
      </c>
      <c r="O5" t="n">
        <v>-1906018.39</v>
      </c>
      <c r="P5" t="n">
        <v>23764.29</v>
      </c>
      <c r="Q5" t="n">
        <v>16635.01</v>
      </c>
    </row>
    <row r="6">
      <c r="A6" t="inlineStr">
        <is>
          <t>conservador</t>
        </is>
      </c>
      <c r="B6" t="inlineStr">
        <is>
          <t>atual</t>
        </is>
      </c>
      <c r="C6" t="inlineStr">
        <is>
          <t>M48</t>
        </is>
      </c>
      <c r="D6" t="n">
        <v>91.59999999999999</v>
      </c>
      <c r="E6" t="n">
        <v>0</v>
      </c>
      <c r="F6" t="n">
        <v>0</v>
      </c>
      <c r="G6" t="n">
        <v>107415.79</v>
      </c>
      <c r="H6" t="n">
        <v>80898.46000000001</v>
      </c>
      <c r="I6" t="n">
        <v>0</v>
      </c>
      <c r="J6" t="n">
        <v>26517.33</v>
      </c>
      <c r="K6" t="n">
        <v>4249570.57</v>
      </c>
      <c r="L6" t="n">
        <v>2311384.63</v>
      </c>
      <c r="M6" t="n">
        <v>-1409006.57</v>
      </c>
      <c r="N6" t="n">
        <v>-4596607.72</v>
      </c>
      <c r="O6" t="n">
        <v>-4596607.72</v>
      </c>
      <c r="P6" t="n">
        <v>75552.64</v>
      </c>
      <c r="Q6" t="n">
        <v>41553.95</v>
      </c>
    </row>
    <row r="7">
      <c r="A7" t="inlineStr">
        <is>
          <t>conservador</t>
        </is>
      </c>
      <c r="B7" t="inlineStr">
        <is>
          <t>atual</t>
        </is>
      </c>
      <c r="C7" t="inlineStr">
        <is>
          <t>M120</t>
        </is>
      </c>
      <c r="D7" t="n">
        <v>132.5</v>
      </c>
      <c r="E7" t="n">
        <v>0</v>
      </c>
      <c r="F7" t="n">
        <v>0</v>
      </c>
      <c r="G7" t="n">
        <v>176644.8</v>
      </c>
      <c r="H7" t="n">
        <v>135760.19</v>
      </c>
      <c r="I7" t="n">
        <v>0</v>
      </c>
      <c r="J7" t="n">
        <v>40884.61</v>
      </c>
      <c r="K7" t="n">
        <v>6552019.54</v>
      </c>
      <c r="L7" t="n">
        <v>3878862.86</v>
      </c>
      <c r="M7" t="n">
        <v>-1817898.97</v>
      </c>
      <c r="N7" t="n">
        <v>-14856227.83</v>
      </c>
      <c r="O7" t="n">
        <v>-14856227.83</v>
      </c>
      <c r="P7" t="n">
        <v>124800.51</v>
      </c>
      <c r="Q7" t="n">
        <v>56160.23</v>
      </c>
    </row>
    <row r="8">
      <c r="A8" t="inlineStr">
        <is>
          <t>conservador</t>
        </is>
      </c>
      <c r="B8" t="inlineStr">
        <is>
          <t>hibrido</t>
        </is>
      </c>
      <c r="C8" t="inlineStr">
        <is>
          <t>M6</t>
        </is>
      </c>
      <c r="D8" t="n">
        <v>17.1</v>
      </c>
      <c r="E8" t="n">
        <v>0</v>
      </c>
      <c r="F8" t="n">
        <v>0</v>
      </c>
      <c r="G8" t="n">
        <v>1582.3</v>
      </c>
      <c r="H8" t="n">
        <v>0</v>
      </c>
      <c r="I8" t="n">
        <v>0</v>
      </c>
      <c r="J8" t="n">
        <v>1582.3</v>
      </c>
      <c r="K8" t="n">
        <v>182156.53</v>
      </c>
      <c r="L8" t="n">
        <v>0</v>
      </c>
      <c r="M8" t="n">
        <v>-368485.3</v>
      </c>
      <c r="N8" t="n">
        <v>-369364.79</v>
      </c>
      <c r="O8" t="n">
        <v>-369364.79</v>
      </c>
      <c r="P8" t="n">
        <v>870.26</v>
      </c>
      <c r="Q8" t="n">
        <v>870.26</v>
      </c>
    </row>
    <row r="9">
      <c r="A9" t="inlineStr">
        <is>
          <t>conservador</t>
        </is>
      </c>
      <c r="B9" t="inlineStr">
        <is>
          <t>hibrido</t>
        </is>
      </c>
      <c r="C9" t="inlineStr">
        <is>
          <t>M12</t>
        </is>
      </c>
      <c r="D9" t="n">
        <v>32.1</v>
      </c>
      <c r="E9" t="n">
        <v>1.5</v>
      </c>
      <c r="F9" t="n">
        <v>53105.04</v>
      </c>
      <c r="G9" t="n">
        <v>29543</v>
      </c>
      <c r="H9" t="n">
        <v>0</v>
      </c>
      <c r="I9" t="n">
        <v>23900.42</v>
      </c>
      <c r="J9" t="n">
        <v>5642.58</v>
      </c>
      <c r="K9" t="n">
        <v>832842.03</v>
      </c>
      <c r="L9" t="n">
        <v>109293.94</v>
      </c>
      <c r="M9" t="n">
        <v>-819416.8100000001</v>
      </c>
      <c r="N9" t="n">
        <v>-824089.6800000001</v>
      </c>
      <c r="O9" t="n">
        <v>-824089.6800000001</v>
      </c>
      <c r="P9" t="n">
        <v>76122.85000000001</v>
      </c>
      <c r="Q9" t="n">
        <v>64704.42</v>
      </c>
    </row>
    <row r="10">
      <c r="A10" t="inlineStr">
        <is>
          <t>conservador</t>
        </is>
      </c>
      <c r="B10" t="inlineStr">
        <is>
          <t>hibrido</t>
        </is>
      </c>
      <c r="C10" t="inlineStr">
        <is>
          <t>M24</t>
        </is>
      </c>
      <c r="D10" t="n">
        <v>57.1</v>
      </c>
      <c r="E10" t="n">
        <v>6.7</v>
      </c>
      <c r="F10" t="n">
        <v>240665.28</v>
      </c>
      <c r="G10" t="n">
        <v>253255.8</v>
      </c>
      <c r="H10" t="n">
        <v>21014.14</v>
      </c>
      <c r="I10" t="n">
        <v>217828.48</v>
      </c>
      <c r="J10" t="n">
        <v>14413.18</v>
      </c>
      <c r="K10" t="n">
        <v>2309803.18</v>
      </c>
      <c r="L10" t="n">
        <v>990815.3199999999</v>
      </c>
      <c r="M10" t="n">
        <v>-1014734.46</v>
      </c>
      <c r="N10" t="n">
        <v>-1800382.83</v>
      </c>
      <c r="O10" t="n">
        <v>-1800382.83</v>
      </c>
      <c r="P10" t="n">
        <v>354679.05</v>
      </c>
      <c r="Q10" t="n">
        <v>248275.34</v>
      </c>
    </row>
    <row r="11">
      <c r="A11" t="inlineStr">
        <is>
          <t>conservador</t>
        </is>
      </c>
      <c r="B11" t="inlineStr">
        <is>
          <t>hibrido</t>
        </is>
      </c>
      <c r="C11" t="inlineStr">
        <is>
          <t>M48</t>
        </is>
      </c>
      <c r="D11" t="n">
        <v>91.59999999999999</v>
      </c>
      <c r="E11" t="n">
        <v>14.4</v>
      </c>
      <c r="F11" t="n">
        <v>519270.48</v>
      </c>
      <c r="G11" t="n">
        <v>631345.9300000001</v>
      </c>
      <c r="H11" t="n">
        <v>80898.46000000001</v>
      </c>
      <c r="I11" t="n">
        <v>523930.14</v>
      </c>
      <c r="J11" t="n">
        <v>26517.33</v>
      </c>
      <c r="K11" t="n">
        <v>4249570.57</v>
      </c>
      <c r="L11" t="n">
        <v>2311384.63</v>
      </c>
      <c r="M11" t="n">
        <v>-1155878.26</v>
      </c>
      <c r="N11" t="n">
        <v>-3995261.12</v>
      </c>
      <c r="O11" t="n">
        <v>-3995261.12</v>
      </c>
      <c r="P11" t="n">
        <v>789549.55</v>
      </c>
      <c r="Q11" t="n">
        <v>434252.26</v>
      </c>
    </row>
    <row r="12">
      <c r="A12" t="inlineStr">
        <is>
          <t>conservador</t>
        </is>
      </c>
      <c r="B12" t="inlineStr">
        <is>
          <t>hibrido</t>
        </is>
      </c>
      <c r="C12" t="inlineStr">
        <is>
          <t>M120</t>
        </is>
      </c>
      <c r="D12" t="n">
        <v>132.5</v>
      </c>
      <c r="E12" t="n">
        <v>25.4</v>
      </c>
      <c r="F12" t="n">
        <v>912810.84</v>
      </c>
      <c r="G12" t="n">
        <v>1132955.12</v>
      </c>
      <c r="H12" t="n">
        <v>135760.19</v>
      </c>
      <c r="I12" t="n">
        <v>956310.3199999999</v>
      </c>
      <c r="J12" t="n">
        <v>40884.61</v>
      </c>
      <c r="K12" t="n">
        <v>6552019.54</v>
      </c>
      <c r="L12" t="n">
        <v>3878862.86</v>
      </c>
      <c r="M12" t="n">
        <v>-1294963.88</v>
      </c>
      <c r="N12" t="n">
        <v>-11520329.84</v>
      </c>
      <c r="O12" t="n">
        <v>-11520329.84</v>
      </c>
      <c r="P12" t="n">
        <v>1379915.41</v>
      </c>
      <c r="Q12" t="n">
        <v>620961.9300000001</v>
      </c>
    </row>
    <row r="13">
      <c r="A13" t="inlineStr">
        <is>
          <t>base</t>
        </is>
      </c>
      <c r="B13" t="inlineStr">
        <is>
          <t>atual</t>
        </is>
      </c>
      <c r="C13" t="inlineStr">
        <is>
          <t>M6</t>
        </is>
      </c>
      <c r="D13" t="n">
        <v>17.4</v>
      </c>
      <c r="E13" t="n">
        <v>0</v>
      </c>
      <c r="F13" t="n">
        <v>0</v>
      </c>
      <c r="G13" t="n">
        <v>5676.74</v>
      </c>
      <c r="H13" t="n">
        <v>0</v>
      </c>
      <c r="I13" t="n">
        <v>0</v>
      </c>
      <c r="J13" t="n">
        <v>5676.74</v>
      </c>
      <c r="K13" t="n">
        <v>1356263.54</v>
      </c>
      <c r="L13" t="n">
        <v>14062.5</v>
      </c>
      <c r="M13" t="n">
        <v>-535370.03</v>
      </c>
      <c r="N13" t="n">
        <v>-537138</v>
      </c>
      <c r="O13" t="n">
        <v>-537138</v>
      </c>
      <c r="P13" t="n">
        <v>5534.82</v>
      </c>
      <c r="Q13" t="n">
        <v>5534.82</v>
      </c>
    </row>
    <row r="14">
      <c r="A14" t="inlineStr">
        <is>
          <t>base</t>
        </is>
      </c>
      <c r="B14" t="inlineStr">
        <is>
          <t>atual</t>
        </is>
      </c>
      <c r="C14" t="inlineStr">
        <is>
          <t>M12</t>
        </is>
      </c>
      <c r="D14" t="n">
        <v>33.6</v>
      </c>
      <c r="E14" t="n">
        <v>0</v>
      </c>
      <c r="F14" t="n">
        <v>0</v>
      </c>
      <c r="G14" t="n">
        <v>33846.53</v>
      </c>
      <c r="H14" t="n">
        <v>13275.08</v>
      </c>
      <c r="I14" t="n">
        <v>0</v>
      </c>
      <c r="J14" t="n">
        <v>20571.45</v>
      </c>
      <c r="K14" t="n">
        <v>5403737.43</v>
      </c>
      <c r="L14" t="n">
        <v>1396485.65</v>
      </c>
      <c r="M14" t="n">
        <v>-1133935.59</v>
      </c>
      <c r="N14" t="n">
        <v>-1151003.31</v>
      </c>
      <c r="O14" t="n">
        <v>-1151003.31</v>
      </c>
      <c r="P14" t="n">
        <v>38186.71</v>
      </c>
      <c r="Q14" t="n">
        <v>32458.7</v>
      </c>
    </row>
    <row r="15">
      <c r="A15" t="inlineStr">
        <is>
          <t>base</t>
        </is>
      </c>
      <c r="B15" t="inlineStr">
        <is>
          <t>atual</t>
        </is>
      </c>
      <c r="C15" t="inlineStr">
        <is>
          <t>M24</t>
        </is>
      </c>
      <c r="D15" t="n">
        <v>62.5</v>
      </c>
      <c r="E15" t="n">
        <v>0</v>
      </c>
      <c r="F15" t="n">
        <v>0</v>
      </c>
      <c r="G15" t="n">
        <v>348483.83</v>
      </c>
      <c r="H15" t="n">
        <v>293672.24</v>
      </c>
      <c r="I15" t="n">
        <v>0</v>
      </c>
      <c r="J15" t="n">
        <v>54811.59</v>
      </c>
      <c r="K15" t="n">
        <v>14894454.57</v>
      </c>
      <c r="L15" t="n">
        <v>8390635.289999999</v>
      </c>
      <c r="M15" t="n">
        <v>-1160203.1</v>
      </c>
      <c r="N15" t="n">
        <v>-2347097.88</v>
      </c>
      <c r="O15" t="n">
        <v>-2347097.88</v>
      </c>
      <c r="P15" t="n">
        <v>454504.34</v>
      </c>
      <c r="Q15" t="n">
        <v>318153.04</v>
      </c>
    </row>
    <row r="16">
      <c r="A16" t="inlineStr">
        <is>
          <t>base</t>
        </is>
      </c>
      <c r="B16" t="inlineStr">
        <is>
          <t>atual</t>
        </is>
      </c>
      <c r="C16" t="inlineStr">
        <is>
          <t>M48</t>
        </is>
      </c>
      <c r="D16" t="n">
        <v>108.8</v>
      </c>
      <c r="E16" t="n">
        <v>0</v>
      </c>
      <c r="F16" t="n">
        <v>0</v>
      </c>
      <c r="G16" t="n">
        <v>819217.5</v>
      </c>
      <c r="H16" t="n">
        <v>709645.1899999999</v>
      </c>
      <c r="I16" t="n">
        <v>0</v>
      </c>
      <c r="J16" t="n">
        <v>109572.31</v>
      </c>
      <c r="K16" t="n">
        <v>29775084.71</v>
      </c>
      <c r="L16" t="n">
        <v>20275576.91</v>
      </c>
      <c r="M16" t="n">
        <v>-1231719.71</v>
      </c>
      <c r="N16" t="n">
        <v>-4869412.93</v>
      </c>
      <c r="O16" t="n">
        <v>-4869412.93</v>
      </c>
      <c r="P16" t="n">
        <v>1075983.02</v>
      </c>
      <c r="Q16" t="n">
        <v>591790.66</v>
      </c>
    </row>
    <row r="17">
      <c r="A17" t="inlineStr">
        <is>
          <t>base</t>
        </is>
      </c>
      <c r="B17" t="inlineStr">
        <is>
          <t>atual</t>
        </is>
      </c>
      <c r="C17" t="inlineStr">
        <is>
          <t>M120</t>
        </is>
      </c>
      <c r="D17" t="n">
        <v>187</v>
      </c>
      <c r="E17" t="n">
        <v>0</v>
      </c>
      <c r="F17" t="n">
        <v>0</v>
      </c>
      <c r="G17" t="n">
        <v>1614959.38</v>
      </c>
      <c r="H17" t="n">
        <v>1412817.97</v>
      </c>
      <c r="I17" t="n">
        <v>0</v>
      </c>
      <c r="J17" t="n">
        <v>202141.41</v>
      </c>
      <c r="K17" t="n">
        <v>54929733.68</v>
      </c>
      <c r="L17" t="n">
        <v>40366227.62</v>
      </c>
      <c r="M17" t="n">
        <v>-1352613.27</v>
      </c>
      <c r="N17" t="n">
        <v>-13116533.68</v>
      </c>
      <c r="O17" t="n">
        <v>-13116533.68</v>
      </c>
      <c r="P17" t="n">
        <v>2126548.65</v>
      </c>
      <c r="Q17" t="n">
        <v>956946.89</v>
      </c>
    </row>
    <row r="18">
      <c r="A18" t="inlineStr">
        <is>
          <t>base</t>
        </is>
      </c>
      <c r="B18" t="inlineStr">
        <is>
          <t>hibrido</t>
        </is>
      </c>
      <c r="C18" t="inlineStr">
        <is>
          <t>M6</t>
        </is>
      </c>
      <c r="D18" t="n">
        <v>17.4</v>
      </c>
      <c r="E18" t="n">
        <v>0</v>
      </c>
      <c r="F18" t="n">
        <v>0</v>
      </c>
      <c r="G18" t="n">
        <v>5676.74</v>
      </c>
      <c r="H18" t="n">
        <v>0</v>
      </c>
      <c r="I18" t="n">
        <v>0</v>
      </c>
      <c r="J18" t="n">
        <v>5676.74</v>
      </c>
      <c r="K18" t="n">
        <v>1356263.54</v>
      </c>
      <c r="L18" t="n">
        <v>14062.5</v>
      </c>
      <c r="M18" t="n">
        <v>-535370.03</v>
      </c>
      <c r="N18" t="n">
        <v>-537138</v>
      </c>
      <c r="O18" t="n">
        <v>-537138</v>
      </c>
      <c r="P18" t="n">
        <v>5534.82</v>
      </c>
      <c r="Q18" t="n">
        <v>5534.82</v>
      </c>
    </row>
    <row r="19">
      <c r="A19" t="inlineStr">
        <is>
          <t>base</t>
        </is>
      </c>
      <c r="B19" t="inlineStr">
        <is>
          <t>hibrido</t>
        </is>
      </c>
      <c r="C19" t="inlineStr">
        <is>
          <t>M12</t>
        </is>
      </c>
      <c r="D19" t="n">
        <v>33.6</v>
      </c>
      <c r="E19" t="n">
        <v>5.9</v>
      </c>
      <c r="F19" t="n">
        <v>421342.92</v>
      </c>
      <c r="G19" t="n">
        <v>277767.4</v>
      </c>
      <c r="H19" t="n">
        <v>13275.08</v>
      </c>
      <c r="I19" t="n">
        <v>243920.87</v>
      </c>
      <c r="J19" t="n">
        <v>20571.45</v>
      </c>
      <c r="K19" t="n">
        <v>5403737.43</v>
      </c>
      <c r="L19" t="n">
        <v>1396485.65</v>
      </c>
      <c r="M19" t="n">
        <v>-1004052.67</v>
      </c>
      <c r="N19" t="n">
        <v>-823441.26</v>
      </c>
      <c r="O19" t="n">
        <v>-823441.26</v>
      </c>
      <c r="P19" t="n">
        <v>1133678.3</v>
      </c>
      <c r="Q19" t="n">
        <v>963626.5600000001</v>
      </c>
    </row>
    <row r="20">
      <c r="A20" t="inlineStr">
        <is>
          <t>base</t>
        </is>
      </c>
      <c r="B20" t="inlineStr">
        <is>
          <t>hibrido</t>
        </is>
      </c>
      <c r="C20" t="inlineStr">
        <is>
          <t>M24</t>
        </is>
      </c>
      <c r="D20" t="n">
        <v>62.5</v>
      </c>
      <c r="E20" t="n">
        <v>16.5</v>
      </c>
      <c r="F20" t="n">
        <v>1191500.88</v>
      </c>
      <c r="G20" t="n">
        <v>1434680.38</v>
      </c>
      <c r="H20" t="n">
        <v>293672.24</v>
      </c>
      <c r="I20" t="n">
        <v>1086196.55</v>
      </c>
      <c r="J20" t="n">
        <v>54811.59</v>
      </c>
      <c r="K20" t="n">
        <v>14894454.57</v>
      </c>
      <c r="L20" t="n">
        <v>8390635.289999999</v>
      </c>
      <c r="M20" t="n">
        <v>-438450.53</v>
      </c>
      <c r="N20" t="n">
        <v>-1017805.19</v>
      </c>
      <c r="O20" t="n">
        <v>-1087401.17</v>
      </c>
      <c r="P20" t="n">
        <v>3552406.63</v>
      </c>
      <c r="Q20" t="n">
        <v>2486684.64</v>
      </c>
    </row>
    <row r="21">
      <c r="A21" t="inlineStr">
        <is>
          <t>base</t>
        </is>
      </c>
      <c r="B21" t="inlineStr">
        <is>
          <t>hibrido</t>
        </is>
      </c>
      <c r="C21" t="inlineStr">
        <is>
          <t>M48</t>
        </is>
      </c>
      <c r="D21" t="n">
        <v>108.8</v>
      </c>
      <c r="E21" t="n">
        <v>34.4</v>
      </c>
      <c r="F21" t="n">
        <v>2479253.64</v>
      </c>
      <c r="G21" t="n">
        <v>3267173.02</v>
      </c>
      <c r="H21" t="n">
        <v>709645.1899999999</v>
      </c>
      <c r="I21" t="n">
        <v>2447955.52</v>
      </c>
      <c r="J21" t="n">
        <v>109572.31</v>
      </c>
      <c r="K21" t="n">
        <v>29775084.71</v>
      </c>
      <c r="L21" t="n">
        <v>20275576.91</v>
      </c>
      <c r="M21" t="n">
        <v>539219.62</v>
      </c>
      <c r="N21" t="n">
        <v>6690.41</v>
      </c>
      <c r="O21" t="n">
        <v>-1087401.17</v>
      </c>
      <c r="P21" t="n">
        <v>7522042.48</v>
      </c>
      <c r="Q21" t="n">
        <v>4137123.37</v>
      </c>
    </row>
    <row r="22">
      <c r="A22" t="inlineStr">
        <is>
          <t>base</t>
        </is>
      </c>
      <c r="B22" t="inlineStr">
        <is>
          <t>hibrido</t>
        </is>
      </c>
      <c r="C22" t="inlineStr">
        <is>
          <t>M120</t>
        </is>
      </c>
      <c r="D22" t="n">
        <v>187</v>
      </c>
      <c r="E22" t="n">
        <v>68.2</v>
      </c>
      <c r="F22" t="n">
        <v>4910478.72</v>
      </c>
      <c r="G22" t="n">
        <v>6633860.9</v>
      </c>
      <c r="H22" t="n">
        <v>1412817.97</v>
      </c>
      <c r="I22" t="n">
        <v>5018901.52</v>
      </c>
      <c r="J22" t="n">
        <v>202141.41</v>
      </c>
      <c r="K22" t="n">
        <v>54929733.68</v>
      </c>
      <c r="L22" t="n">
        <v>40366227.62</v>
      </c>
      <c r="M22" t="n">
        <v>2399148.27</v>
      </c>
      <c r="N22" t="n">
        <v>11150785.98</v>
      </c>
      <c r="O22" t="n">
        <v>-1087401.17</v>
      </c>
      <c r="P22" t="n">
        <v>14893793.32</v>
      </c>
      <c r="Q22" t="n">
        <v>6702207</v>
      </c>
    </row>
    <row r="23">
      <c r="A23" t="inlineStr">
        <is>
          <t>agressivo</t>
        </is>
      </c>
      <c r="B23" t="inlineStr">
        <is>
          <t>atual</t>
        </is>
      </c>
      <c r="C23" t="inlineStr">
        <is>
          <t>M6</t>
        </is>
      </c>
      <c r="D23" t="n">
        <v>17.6</v>
      </c>
      <c r="E23" t="n">
        <v>0</v>
      </c>
      <c r="F23" t="n">
        <v>0</v>
      </c>
      <c r="G23" t="n">
        <v>13420.56</v>
      </c>
      <c r="H23" t="n">
        <v>0</v>
      </c>
      <c r="I23" t="n">
        <v>0</v>
      </c>
      <c r="J23" t="n">
        <v>13420.56</v>
      </c>
      <c r="K23" t="n">
        <v>7267573.58</v>
      </c>
      <c r="L23" t="n">
        <v>529479.09</v>
      </c>
      <c r="M23" t="n">
        <v>-880566.45</v>
      </c>
      <c r="N23" t="n">
        <v>-884566.6</v>
      </c>
      <c r="O23" t="n">
        <v>-884566.6</v>
      </c>
      <c r="P23" t="n">
        <v>20130.84</v>
      </c>
      <c r="Q23" t="n">
        <v>20130.84</v>
      </c>
    </row>
    <row r="24">
      <c r="A24" t="inlineStr">
        <is>
          <t>agressivo</t>
        </is>
      </c>
      <c r="B24" t="inlineStr">
        <is>
          <t>atual</t>
        </is>
      </c>
      <c r="C24" t="inlineStr">
        <is>
          <t>M12</t>
        </is>
      </c>
      <c r="D24" t="n">
        <v>34.4</v>
      </c>
      <c r="E24" t="n">
        <v>0</v>
      </c>
      <c r="F24" t="n">
        <v>0</v>
      </c>
      <c r="G24" t="n">
        <v>376377.32</v>
      </c>
      <c r="H24" t="n">
        <v>327346.04</v>
      </c>
      <c r="I24" t="n">
        <v>0</v>
      </c>
      <c r="J24" t="n">
        <v>49031.28</v>
      </c>
      <c r="K24" t="n">
        <v>27875635.23</v>
      </c>
      <c r="L24" t="n">
        <v>10830526.36</v>
      </c>
      <c r="M24" t="n">
        <v>-1531598.69</v>
      </c>
      <c r="N24" t="n">
        <v>-1631362.98</v>
      </c>
      <c r="O24" t="n">
        <v>-1631362.98</v>
      </c>
      <c r="P24" t="n">
        <v>970638.74</v>
      </c>
      <c r="Q24" t="n">
        <v>825042.9300000001</v>
      </c>
    </row>
    <row r="25">
      <c r="A25" t="inlineStr">
        <is>
          <t>agressivo</t>
        </is>
      </c>
      <c r="B25" t="inlineStr">
        <is>
          <t>atual</t>
        </is>
      </c>
      <c r="C25" t="inlineStr">
        <is>
          <t>M24</t>
        </is>
      </c>
      <c r="D25" t="n">
        <v>65.5</v>
      </c>
      <c r="E25" t="n">
        <v>0</v>
      </c>
      <c r="F25" t="n">
        <v>0</v>
      </c>
      <c r="G25" t="n">
        <v>1963258.52</v>
      </c>
      <c r="H25" t="n">
        <v>1829759.94</v>
      </c>
      <c r="I25" t="n">
        <v>0</v>
      </c>
      <c r="J25" t="n">
        <v>133498.58</v>
      </c>
      <c r="K25" t="n">
        <v>77256116.73999999</v>
      </c>
      <c r="L25" t="n">
        <v>52278855.59</v>
      </c>
      <c r="M25" t="n">
        <v>-429106.33</v>
      </c>
      <c r="N25" t="n">
        <v>-2223550.96</v>
      </c>
      <c r="O25" t="n">
        <v>-2223550.96</v>
      </c>
      <c r="P25" t="n">
        <v>5214704.99</v>
      </c>
      <c r="Q25" t="n">
        <v>3650293.49</v>
      </c>
    </row>
    <row r="26">
      <c r="A26" t="inlineStr">
        <is>
          <t>agressivo</t>
        </is>
      </c>
      <c r="B26" t="inlineStr">
        <is>
          <t>atual</t>
        </is>
      </c>
      <c r="C26" t="inlineStr">
        <is>
          <t>M48</t>
        </is>
      </c>
      <c r="D26" t="n">
        <v>119.1</v>
      </c>
      <c r="E26" t="n">
        <v>0</v>
      </c>
      <c r="F26" t="n">
        <v>0</v>
      </c>
      <c r="G26" t="n">
        <v>4698927.48</v>
      </c>
      <c r="H26" t="n">
        <v>4419933.75</v>
      </c>
      <c r="I26" t="n">
        <v>0</v>
      </c>
      <c r="J26" t="n">
        <v>278993.73</v>
      </c>
      <c r="K26" t="n">
        <v>161454702.88</v>
      </c>
      <c r="L26" t="n">
        <v>126283821.44</v>
      </c>
      <c r="M26" t="n">
        <v>1471214.31</v>
      </c>
      <c r="N26" t="n">
        <v>-558862.84</v>
      </c>
      <c r="O26" t="n">
        <v>-2227266.68</v>
      </c>
      <c r="P26" t="n">
        <v>12531319.04</v>
      </c>
      <c r="Q26" t="n">
        <v>6892225.47</v>
      </c>
    </row>
    <row r="27">
      <c r="A27" t="inlineStr">
        <is>
          <t>agressivo</t>
        </is>
      </c>
      <c r="B27" t="inlineStr">
        <is>
          <t>atual</t>
        </is>
      </c>
      <c r="C27" t="inlineStr">
        <is>
          <t>M120</t>
        </is>
      </c>
      <c r="D27" t="n">
        <v>228.1</v>
      </c>
      <c r="E27" t="n">
        <v>0</v>
      </c>
      <c r="F27" t="n">
        <v>0</v>
      </c>
      <c r="G27" t="n">
        <v>10265127.9</v>
      </c>
      <c r="H27" t="n">
        <v>9690098.66</v>
      </c>
      <c r="I27" t="n">
        <v>0</v>
      </c>
      <c r="J27" t="n">
        <v>575029.24</v>
      </c>
      <c r="K27" t="n">
        <v>332771558.93</v>
      </c>
      <c r="L27" t="n">
        <v>276859961.92</v>
      </c>
      <c r="M27" t="n">
        <v>5337751.49</v>
      </c>
      <c r="N27" t="n">
        <v>21506932.35</v>
      </c>
      <c r="O27" t="n">
        <v>-2227266.68</v>
      </c>
      <c r="P27" t="n">
        <v>27418259.24</v>
      </c>
      <c r="Q27" t="n">
        <v>12338216.66</v>
      </c>
    </row>
    <row r="28">
      <c r="A28" t="inlineStr">
        <is>
          <t>agressivo</t>
        </is>
      </c>
      <c r="B28" t="inlineStr">
        <is>
          <t>hibrido</t>
        </is>
      </c>
      <c r="C28" t="inlineStr">
        <is>
          <t>M6</t>
        </is>
      </c>
      <c r="D28" t="n">
        <v>17.6</v>
      </c>
      <c r="E28" t="n">
        <v>6</v>
      </c>
      <c r="F28" t="n">
        <v>715210.6800000001</v>
      </c>
      <c r="G28" t="n">
        <v>312888.12</v>
      </c>
      <c r="H28" t="n">
        <v>0</v>
      </c>
      <c r="I28" t="n">
        <v>299467.56</v>
      </c>
      <c r="J28" t="n">
        <v>13420.56</v>
      </c>
      <c r="K28" t="n">
        <v>7267573.58</v>
      </c>
      <c r="L28" t="n">
        <v>529479.09</v>
      </c>
      <c r="M28" t="n">
        <v>-682201.3</v>
      </c>
      <c r="N28" t="n">
        <v>-397669.01</v>
      </c>
      <c r="O28" t="n">
        <v>-610534.48</v>
      </c>
      <c r="P28" t="n">
        <v>3238578.9</v>
      </c>
      <c r="Q28" t="n">
        <v>3238578.9</v>
      </c>
    </row>
    <row r="29">
      <c r="A29" t="inlineStr">
        <is>
          <t>agressivo</t>
        </is>
      </c>
      <c r="B29" t="inlineStr">
        <is>
          <t>hibrido</t>
        </is>
      </c>
      <c r="C29" t="inlineStr">
        <is>
          <t>M12</t>
        </is>
      </c>
      <c r="D29" t="n">
        <v>34.4</v>
      </c>
      <c r="E29" t="n">
        <v>17.5</v>
      </c>
      <c r="F29" t="n">
        <v>2103287.04</v>
      </c>
      <c r="G29" t="n">
        <v>1800562.5</v>
      </c>
      <c r="H29" t="n">
        <v>327346.04</v>
      </c>
      <c r="I29" t="n">
        <v>1424185.18</v>
      </c>
      <c r="J29" t="n">
        <v>49031.28</v>
      </c>
      <c r="K29" t="n">
        <v>27875635.23</v>
      </c>
      <c r="L29" t="n">
        <v>10830526.36</v>
      </c>
      <c r="M29" t="n">
        <v>-503091.99</v>
      </c>
      <c r="N29" t="n">
        <v>324958.54</v>
      </c>
      <c r="O29" t="n">
        <v>-610534.48</v>
      </c>
      <c r="P29" t="n">
        <v>10435430.42</v>
      </c>
      <c r="Q29" t="n">
        <v>8870115.859999999</v>
      </c>
    </row>
    <row r="30">
      <c r="A30" t="inlineStr">
        <is>
          <t>agressivo</t>
        </is>
      </c>
      <c r="B30" t="inlineStr">
        <is>
          <t>hibrido</t>
        </is>
      </c>
      <c r="C30" t="inlineStr">
        <is>
          <t>M24</t>
        </is>
      </c>
      <c r="D30" t="n">
        <v>65.5</v>
      </c>
      <c r="E30" t="n">
        <v>39.3</v>
      </c>
      <c r="F30" t="n">
        <v>4717770.6</v>
      </c>
      <c r="G30" t="n">
        <v>6220089.08</v>
      </c>
      <c r="H30" t="n">
        <v>1829759.94</v>
      </c>
      <c r="I30" t="n">
        <v>4256830.56</v>
      </c>
      <c r="J30" t="n">
        <v>133498.58</v>
      </c>
      <c r="K30" t="n">
        <v>77256116.73999999</v>
      </c>
      <c r="L30" t="n">
        <v>52278855.59</v>
      </c>
      <c r="M30" t="n">
        <v>2890990.95</v>
      </c>
      <c r="N30" t="n">
        <v>4060507.82</v>
      </c>
      <c r="O30" t="n">
        <v>-610534.48</v>
      </c>
      <c r="P30" t="n">
        <v>26444672.69</v>
      </c>
      <c r="Q30" t="n">
        <v>18511270.88</v>
      </c>
    </row>
    <row r="31">
      <c r="A31" t="inlineStr">
        <is>
          <t>agressivo</t>
        </is>
      </c>
      <c r="B31" t="inlineStr">
        <is>
          <t>hibrido</t>
        </is>
      </c>
      <c r="C31" t="inlineStr">
        <is>
          <t>M48</t>
        </is>
      </c>
      <c r="D31" t="n">
        <v>119.1</v>
      </c>
      <c r="E31" t="n">
        <v>78</v>
      </c>
      <c r="F31" t="n">
        <v>9357319.199999999</v>
      </c>
      <c r="G31" t="n">
        <v>13770454.96</v>
      </c>
      <c r="H31" t="n">
        <v>4419933.75</v>
      </c>
      <c r="I31" t="n">
        <v>9071527.48</v>
      </c>
      <c r="J31" t="n">
        <v>278993.73</v>
      </c>
      <c r="K31" t="n">
        <v>161454702.88</v>
      </c>
      <c r="L31" t="n">
        <v>126283821.44</v>
      </c>
      <c r="M31" t="n">
        <v>8766481.15</v>
      </c>
      <c r="N31" t="n">
        <v>20326279.79</v>
      </c>
      <c r="O31" t="n">
        <v>-610534.48</v>
      </c>
      <c r="P31" t="n">
        <v>54639255.44</v>
      </c>
      <c r="Q31" t="n">
        <v>30051590.49</v>
      </c>
    </row>
    <row r="32">
      <c r="A32" t="inlineStr">
        <is>
          <t>agressivo</t>
        </is>
      </c>
      <c r="B32" t="inlineStr">
        <is>
          <t>hibrido</t>
        </is>
      </c>
      <c r="C32" t="inlineStr">
        <is>
          <t>M120</t>
        </is>
      </c>
      <c r="D32" t="n">
        <v>228.1</v>
      </c>
      <c r="E32" t="n">
        <v>162.8</v>
      </c>
      <c r="F32" t="n">
        <v>19540425.84</v>
      </c>
      <c r="G32" t="n">
        <v>29904185.95</v>
      </c>
      <c r="H32" t="n">
        <v>9690098.66</v>
      </c>
      <c r="I32" t="n">
        <v>19639058.05</v>
      </c>
      <c r="J32" t="n">
        <v>575029.24</v>
      </c>
      <c r="K32" t="n">
        <v>332771558.93</v>
      </c>
      <c r="L32" t="n">
        <v>276859961.92</v>
      </c>
      <c r="M32" t="n">
        <v>21357913.56</v>
      </c>
      <c r="N32" t="n">
        <v>123876647.03</v>
      </c>
      <c r="O32" t="n">
        <v>-610534.48</v>
      </c>
      <c r="P32" t="n">
        <v>115350175.52</v>
      </c>
      <c r="Q32" t="n">
        <v>51907578.98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Fontes externas usadas só para os múltiplos de valuation (datas e limites no relatório):</t>
        </is>
      </c>
    </row>
    <row r="2">
      <c r="A2" t="inlineStr">
        <is>
          <t>Software Equity Group, SaaS Index 2Q26 — mediana EV/Receita TTM pública 3,2× (2Q25: 5,7×); M&amp;A privado mediana 4,0×, média 6,2× (via peony.ink/blog/saas-valuation-multiples, lido em 09/10/2026)</t>
        </is>
      </c>
    </row>
    <row r="3">
      <c r="A3" t="inlineStr">
        <is>
          <t>Aventis Advisors — SaaS Valuation Multiples 2015–2026 (abr/2026): M&amp;A privado mediana Q1 2026 3,1×; mediana período 4,5× (quartis 2,4×/8,1×); negócios US$ 0–5M ≈ 3,3×</t>
        </is>
      </c>
    </row>
    <row r="4">
      <c r="A4" t="inlineStr">
        <is>
          <t>SaaS Capital 2025 — múltiplo de ARR previsto (modelado, não observado): 4,8× bootstrapped / 5,3× com capital</t>
        </is>
      </c>
    </row>
    <row r="5">
      <c r="A5" t="inlineStr">
        <is>
          <t>Aventis Advisors — Marketplace Valuation Multiples 2025 (S&amp;P Capital IQ, mar/2025): público mediana EV/Receita 2,3×; média histórica 5,6×; EV/EBITDA mediana 18×</t>
        </is>
      </c>
    </row>
    <row r="6">
      <c r="A6" t="inlineStr">
        <is>
          <t>Nenhuma dessas fontes é brasileira nem do terceiro setor; são âncoras, não comparáveis diretos. Nenhum múltiplo foi aplicado a GMV.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2026-10-09T16:55:11Z</dcterms:created>
  <dcterms:modified xmlns:dcterms="http://purl.org/dc/terms/" xmlns:xsi="http://www.w3.org/2001/XMLSchema-instance" xsi:type="dcterms:W3CDTF">2026-10-09T16:55:11Z</dcterms:modified>
</cp:coreProperties>
</file>